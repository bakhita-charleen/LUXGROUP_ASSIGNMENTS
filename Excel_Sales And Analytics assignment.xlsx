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755" firstSheet="9" activeTab="12"/>
  </bookViews>
  <sheets>
    <sheet name="Data" sheetId="1" r:id="rId1"/>
    <sheet name="CohortAnalysis" sheetId="10" r:id="rId2"/>
    <sheet name="ABC_Analysis" sheetId="13" r:id="rId3"/>
    <sheet name="SalesPersonProductivity" sheetId="14" r:id="rId4"/>
    <sheet name="ChannelMix" sheetId="15" r:id="rId5"/>
    <sheet name="ServiceLevelProxy" sheetId="17" r:id="rId6"/>
    <sheet name="PriceCompliance" sheetId="18" r:id="rId7"/>
    <sheet name="RevenueByMonth" sheetId="20" r:id="rId8"/>
    <sheet name="ProfitByChannel-Region" sheetId="21" r:id="rId9"/>
    <sheet name="Top10SKUs" sheetId="22" r:id="rId10"/>
    <sheet name="DiscountPct+Outliers" sheetId="24" r:id="rId11"/>
    <sheet name="StagingTable" sheetId="3" r:id="rId12"/>
    <sheet name="Brief" sheetId="2" r:id="rId13"/>
    <sheet name="ReadMe" sheetId="26" r:id="rId14"/>
    <sheet name="Insights" sheetId="25" r:id="rId15"/>
    <sheet name="Dashbord" sheetId="19" r:id="rId16"/>
  </sheets>
  <definedNames>
    <definedName name="_xlnm._FilterDatabase" localSheetId="11" hidden="1">StagingTable!$A$1:$AB$633</definedName>
    <definedName name="kip">#REF!</definedName>
    <definedName name="Slicer_Channel">#N/A</definedName>
    <definedName name="Slicer_Country">#N/A</definedName>
    <definedName name="Slicer_OrderMonth">#N/A</definedName>
    <definedName name="Slicer_ProductCategory">#N/A</definedName>
    <definedName name="Slicer_Region">#N/A</definedName>
    <definedName name="Slicer_Salesperson">#N/A</definedName>
  </definedNames>
  <calcPr calcId="152511"/>
  <pivotCaches>
    <pivotCache cacheId="4" r:id="rId17"/>
    <pivotCache cacheId="5" r:id="rId18"/>
    <pivotCache cacheId="6" r:id="rId19"/>
    <pivotCache cacheId="7"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G24" i="3" l="1"/>
  <c r="AE3" i="3"/>
  <c r="AE4" i="3"/>
  <c r="AE5" i="3"/>
  <c r="AE6" i="3"/>
  <c r="AG22" i="3" s="1"/>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AE2" i="3"/>
  <c r="AG17"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2" i="3"/>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2" i="3"/>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AH2" i="3"/>
  <c r="AG23" i="3" l="1"/>
  <c r="X2" i="3"/>
  <c r="W612" i="3"/>
  <c r="D5" i="18" l="1"/>
  <c r="D6" i="18"/>
  <c r="D7" i="18"/>
  <c r="D8" i="18"/>
  <c r="D9" i="18"/>
  <c r="D10" i="18"/>
  <c r="D11" i="18"/>
  <c r="D12" i="18"/>
  <c r="D13" i="18"/>
  <c r="D14" i="18"/>
  <c r="D15" i="18"/>
  <c r="D16" i="18"/>
  <c r="D17" i="18"/>
  <c r="D18" i="18"/>
  <c r="D19" i="18"/>
  <c r="D20" i="18"/>
  <c r="D22" i="18"/>
  <c r="D23" i="18"/>
  <c r="D24" i="18"/>
  <c r="D25" i="18"/>
  <c r="D26" i="18"/>
  <c r="D27" i="18"/>
  <c r="D28" i="18"/>
  <c r="D29" i="18"/>
  <c r="D30" i="18"/>
  <c r="D31" i="18"/>
  <c r="D32" i="18"/>
  <c r="D33" i="18"/>
  <c r="D34" i="18"/>
  <c r="D35" i="18"/>
  <c r="D36" i="18"/>
  <c r="D37" i="18"/>
  <c r="D39" i="18"/>
  <c r="D40" i="18"/>
  <c r="D41" i="18"/>
  <c r="D42" i="18"/>
  <c r="D43" i="18"/>
  <c r="D44" i="18"/>
  <c r="D45" i="18"/>
  <c r="D46" i="18"/>
  <c r="D47" i="18"/>
  <c r="D48" i="18"/>
  <c r="D49" i="18"/>
  <c r="D50" i="18"/>
  <c r="D51" i="18"/>
  <c r="D52" i="18"/>
  <c r="D53" i="18"/>
  <c r="D54" i="18"/>
  <c r="D56" i="18"/>
  <c r="D57" i="18"/>
  <c r="D58" i="18"/>
  <c r="D59" i="18"/>
  <c r="D60" i="18"/>
  <c r="D61" i="18"/>
  <c r="D62" i="18"/>
  <c r="D63" i="18"/>
  <c r="D64" i="18"/>
  <c r="D65" i="18"/>
  <c r="D66" i="18"/>
  <c r="D67" i="18"/>
  <c r="D68" i="18"/>
  <c r="D69" i="18"/>
  <c r="D70" i="18"/>
  <c r="D71" i="18"/>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2" i="3"/>
  <c r="D4"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45" i="17"/>
  <c r="D46" i="17"/>
  <c r="D47" i="17"/>
  <c r="D48" i="17"/>
  <c r="D49" i="17"/>
  <c r="D50" i="17"/>
  <c r="D51" i="17"/>
  <c r="D44" i="17"/>
  <c r="D37" i="17"/>
  <c r="D38" i="17"/>
  <c r="D39" i="17"/>
  <c r="D40" i="17"/>
  <c r="D41" i="17"/>
  <c r="D42" i="17"/>
  <c r="D43" i="17"/>
  <c r="D36" i="17"/>
  <c r="D29" i="17"/>
  <c r="D30" i="17"/>
  <c r="D31" i="17"/>
  <c r="D32" i="17"/>
  <c r="D33" i="17"/>
  <c r="D34" i="17"/>
  <c r="D35" i="17"/>
  <c r="D28" i="17"/>
  <c r="D21" i="17"/>
  <c r="D22" i="17"/>
  <c r="D23" i="17"/>
  <c r="D24" i="17"/>
  <c r="D25" i="17"/>
  <c r="D26" i="17"/>
  <c r="D27" i="17"/>
  <c r="D20" i="17"/>
  <c r="D13" i="17"/>
  <c r="D14" i="17"/>
  <c r="D15" i="17"/>
  <c r="D16" i="17"/>
  <c r="D17" i="17"/>
  <c r="D18" i="17"/>
  <c r="D19" i="17"/>
  <c r="D12" i="17"/>
  <c r="D6" i="17"/>
  <c r="D7" i="17"/>
  <c r="D8" i="17"/>
  <c r="D9" i="17"/>
  <c r="D10" i="17"/>
  <c r="D11" i="17"/>
  <c r="D5" i="17"/>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3" i="3"/>
  <c r="AC4" i="3"/>
  <c r="AC5" i="3"/>
  <c r="AC6" i="3"/>
  <c r="AC7" i="3"/>
  <c r="AC8" i="3"/>
  <c r="AC2" i="3"/>
  <c r="E4" i="14"/>
  <c r="F4" i="14"/>
  <c r="E5" i="14"/>
  <c r="F5" i="14"/>
  <c r="E6" i="14"/>
  <c r="F6" i="14"/>
  <c r="E7" i="14"/>
  <c r="F7" i="14"/>
  <c r="E8" i="14"/>
  <c r="F8" i="14"/>
  <c r="E9" i="14"/>
  <c r="F9" i="14"/>
  <c r="E10" i="14"/>
  <c r="F10" i="14"/>
  <c r="E11" i="14"/>
  <c r="F11" i="14"/>
  <c r="E12" i="14"/>
  <c r="F12" i="14"/>
  <c r="E13" i="14"/>
  <c r="F13" i="14"/>
  <c r="E14" i="14"/>
  <c r="F14" i="14"/>
  <c r="E15" i="14"/>
  <c r="F15" i="14"/>
  <c r="E16" i="14"/>
  <c r="F16" i="14"/>
  <c r="E17" i="14"/>
  <c r="F17" i="14"/>
  <c r="E18" i="14"/>
  <c r="F18" i="14"/>
  <c r="E19" i="14"/>
  <c r="F19" i="14"/>
  <c r="E20" i="14"/>
  <c r="F20" i="14"/>
  <c r="E21" i="14"/>
  <c r="F21" i="14"/>
  <c r="E22" i="14"/>
  <c r="F22"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F422" i="14"/>
  <c r="F423" i="14"/>
  <c r="F424" i="14"/>
  <c r="F425" i="14"/>
  <c r="F426" i="14"/>
  <c r="F427" i="14"/>
  <c r="F428" i="14"/>
  <c r="F429" i="14"/>
  <c r="F430" i="14"/>
  <c r="F431" i="14"/>
  <c r="F432" i="14"/>
  <c r="F433" i="14"/>
  <c r="F434" i="14"/>
  <c r="F435" i="14"/>
  <c r="F436" i="14"/>
  <c r="F437" i="14"/>
  <c r="F438" i="14"/>
  <c r="F439"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279" i="14"/>
  <c r="E280" i="14"/>
  <c r="E281" i="14"/>
  <c r="E282" i="14"/>
  <c r="E283" i="14"/>
  <c r="E284" i="14"/>
  <c r="E285" i="14"/>
  <c r="E286" i="14"/>
  <c r="E287" i="14"/>
  <c r="E288" i="14"/>
  <c r="E289" i="14"/>
  <c r="E290" i="14"/>
  <c r="E291" i="14"/>
  <c r="E292" i="14"/>
  <c r="E293" i="14"/>
  <c r="E294" i="14"/>
  <c r="E295" i="14"/>
  <c r="E296" i="14"/>
  <c r="E297" i="14"/>
  <c r="E298" i="14"/>
  <c r="E299" i="14"/>
  <c r="E300" i="14"/>
  <c r="E301" i="14"/>
  <c r="E302" i="14"/>
  <c r="E303" i="14"/>
  <c r="E304" i="14"/>
  <c r="E305" i="14"/>
  <c r="E306" i="14"/>
  <c r="E307" i="14"/>
  <c r="E308" i="14"/>
  <c r="E309" i="14"/>
  <c r="E310" i="14"/>
  <c r="E311" i="14"/>
  <c r="E312" i="14"/>
  <c r="E313" i="14"/>
  <c r="E314" i="14"/>
  <c r="E315" i="14"/>
  <c r="E316" i="14"/>
  <c r="E317" i="14"/>
  <c r="E318" i="14"/>
  <c r="E319" i="14"/>
  <c r="E320" i="14"/>
  <c r="E321" i="14"/>
  <c r="E322" i="14"/>
  <c r="E323" i="14"/>
  <c r="E324" i="14"/>
  <c r="E325" i="14"/>
  <c r="E326" i="14"/>
  <c r="E327" i="14"/>
  <c r="E328" i="14"/>
  <c r="E329" i="14"/>
  <c r="E330" i="14"/>
  <c r="E331" i="14"/>
  <c r="E332" i="14"/>
  <c r="E333" i="14"/>
  <c r="E334" i="14"/>
  <c r="E335" i="14"/>
  <c r="E336" i="14"/>
  <c r="E337" i="14"/>
  <c r="E338" i="14"/>
  <c r="E339" i="14"/>
  <c r="E340" i="14"/>
  <c r="E341" i="14"/>
  <c r="E342" i="14"/>
  <c r="E343" i="14"/>
  <c r="E344" i="14"/>
  <c r="E345" i="14"/>
  <c r="E346" i="14"/>
  <c r="E347" i="14"/>
  <c r="E348" i="14"/>
  <c r="E349" i="14"/>
  <c r="E350" i="14"/>
  <c r="E351" i="14"/>
  <c r="E352" i="14"/>
  <c r="E353" i="14"/>
  <c r="E354" i="14"/>
  <c r="E355" i="14"/>
  <c r="E356" i="14"/>
  <c r="E357" i="14"/>
  <c r="E358" i="14"/>
  <c r="E359" i="14"/>
  <c r="E360" i="14"/>
  <c r="E361" i="14"/>
  <c r="E362" i="14"/>
  <c r="E363" i="14"/>
  <c r="E364" i="14"/>
  <c r="E365" i="14"/>
  <c r="E366" i="14"/>
  <c r="E367" i="14"/>
  <c r="E368" i="14"/>
  <c r="E369" i="14"/>
  <c r="E370" i="14"/>
  <c r="E371" i="14"/>
  <c r="E372" i="14"/>
  <c r="E373" i="14"/>
  <c r="E374" i="14"/>
  <c r="E375" i="14"/>
  <c r="E376" i="14"/>
  <c r="E377" i="14"/>
  <c r="E378" i="14"/>
  <c r="E379" i="14"/>
  <c r="E380" i="14"/>
  <c r="E381" i="14"/>
  <c r="E382" i="14"/>
  <c r="E383" i="14"/>
  <c r="E384" i="14"/>
  <c r="E385" i="14"/>
  <c r="E386" i="14"/>
  <c r="E387" i="14"/>
  <c r="E388" i="14"/>
  <c r="E389" i="14"/>
  <c r="E390" i="14"/>
  <c r="E391" i="14"/>
  <c r="E392" i="14"/>
  <c r="E393" i="14"/>
  <c r="E394" i="14"/>
  <c r="E395" i="14"/>
  <c r="E396" i="14"/>
  <c r="E397" i="14"/>
  <c r="E398" i="14"/>
  <c r="E399" i="14"/>
  <c r="E400" i="14"/>
  <c r="E401" i="14"/>
  <c r="E402" i="14"/>
  <c r="E403" i="14"/>
  <c r="E404" i="14"/>
  <c r="E405" i="14"/>
  <c r="E406" i="14"/>
  <c r="E407" i="14"/>
  <c r="E408" i="14"/>
  <c r="E409" i="14"/>
  <c r="E410" i="14"/>
  <c r="E411" i="14"/>
  <c r="E412" i="14"/>
  <c r="E413" i="14"/>
  <c r="E414" i="14"/>
  <c r="E415" i="14"/>
  <c r="E416" i="14"/>
  <c r="E417" i="14"/>
  <c r="E418" i="14"/>
  <c r="E419" i="14"/>
  <c r="E420" i="14"/>
  <c r="E421" i="14"/>
  <c r="E422" i="14"/>
  <c r="E423" i="14"/>
  <c r="E424" i="14"/>
  <c r="E425" i="14"/>
  <c r="E426" i="14"/>
  <c r="E427" i="14"/>
  <c r="E428" i="14"/>
  <c r="E429" i="14"/>
  <c r="E430" i="14"/>
  <c r="E431" i="14"/>
  <c r="E432" i="14"/>
  <c r="E433" i="14"/>
  <c r="E434" i="14"/>
  <c r="E435" i="14"/>
  <c r="E436" i="14"/>
  <c r="E437" i="14"/>
  <c r="E438" i="14"/>
  <c r="E439"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F270" i="13"/>
  <c r="F271" i="13"/>
  <c r="F272" i="13"/>
  <c r="F273" i="13"/>
  <c r="F274" i="13"/>
  <c r="F275" i="13"/>
  <c r="F276" i="13"/>
  <c r="F277" i="13"/>
  <c r="F278" i="13"/>
  <c r="F279" i="13"/>
  <c r="F280" i="13"/>
  <c r="F281" i="13"/>
  <c r="F282" i="13"/>
  <c r="F283" i="13"/>
  <c r="F284" i="13"/>
  <c r="F285" i="13"/>
  <c r="F286" i="13"/>
  <c r="F287" i="13"/>
  <c r="F288" i="13"/>
  <c r="F289" i="13"/>
  <c r="F290" i="13"/>
  <c r="F291" i="13"/>
  <c r="F292" i="13"/>
  <c r="F293" i="13"/>
  <c r="F294" i="13"/>
  <c r="F295" i="13"/>
  <c r="F296" i="13"/>
  <c r="F297" i="13"/>
  <c r="F298" i="13"/>
  <c r="F299" i="13"/>
  <c r="F300" i="13"/>
  <c r="F301" i="13"/>
  <c r="F302" i="13"/>
  <c r="F303" i="13"/>
  <c r="F304" i="13"/>
  <c r="F305" i="13"/>
  <c r="F306" i="13"/>
  <c r="F307" i="13"/>
  <c r="F308" i="13"/>
  <c r="F309" i="13"/>
  <c r="F310" i="13"/>
  <c r="F311" i="13"/>
  <c r="F312" i="13"/>
  <c r="F313" i="13"/>
  <c r="F314" i="13"/>
  <c r="F315" i="13"/>
  <c r="F316" i="13"/>
  <c r="F317" i="13"/>
  <c r="F318" i="13"/>
  <c r="F319" i="13"/>
  <c r="F320" i="13"/>
  <c r="F321" i="13"/>
  <c r="F322" i="13"/>
  <c r="F323" i="13"/>
  <c r="F324" i="13"/>
  <c r="F325" i="13"/>
  <c r="F326" i="13"/>
  <c r="F327" i="13"/>
  <c r="F328" i="13"/>
  <c r="F329" i="13"/>
  <c r="F330" i="13"/>
  <c r="F331" i="13"/>
  <c r="F332" i="13"/>
  <c r="F333" i="13"/>
  <c r="F334" i="13"/>
  <c r="F335" i="13"/>
  <c r="F336" i="13"/>
  <c r="F337" i="13"/>
  <c r="F338" i="13"/>
  <c r="F339" i="13"/>
  <c r="F340" i="13"/>
  <c r="F341" i="13"/>
  <c r="F342" i="13"/>
  <c r="F343" i="13"/>
  <c r="F344" i="13"/>
  <c r="F345" i="13"/>
  <c r="F346" i="13"/>
  <c r="F347" i="13"/>
  <c r="F348" i="13"/>
  <c r="F349" i="13"/>
  <c r="F350" i="13"/>
  <c r="F351" i="13"/>
  <c r="F352" i="13"/>
  <c r="F353" i="13"/>
  <c r="F354" i="13"/>
  <c r="F355" i="13"/>
  <c r="F356" i="13"/>
  <c r="F357" i="13"/>
  <c r="F358" i="13"/>
  <c r="F359" i="13"/>
  <c r="F360" i="13"/>
  <c r="F361" i="13"/>
  <c r="F362" i="13"/>
  <c r="F363" i="13"/>
  <c r="F364" i="13"/>
  <c r="F365" i="13"/>
  <c r="F366" i="13"/>
  <c r="F367" i="13"/>
  <c r="F368" i="13"/>
  <c r="F369" i="13"/>
  <c r="F370" i="13"/>
  <c r="F371" i="13"/>
  <c r="F372" i="13"/>
  <c r="F373" i="13"/>
  <c r="F374" i="13"/>
  <c r="F375" i="13"/>
  <c r="F376" i="13"/>
  <c r="F377" i="13"/>
  <c r="F378" i="13"/>
  <c r="F379" i="13"/>
  <c r="F380" i="13"/>
  <c r="F381" i="13"/>
  <c r="F382" i="13"/>
  <c r="F383" i="13"/>
  <c r="F384" i="13"/>
  <c r="F385" i="13"/>
  <c r="F386" i="13"/>
  <c r="F387" i="13"/>
  <c r="F388" i="13"/>
  <c r="F389" i="13"/>
  <c r="F390" i="13"/>
  <c r="F391" i="13"/>
  <c r="F392" i="13"/>
  <c r="F393" i="13"/>
  <c r="F394" i="13"/>
  <c r="F395" i="13"/>
  <c r="F396" i="13"/>
  <c r="F397" i="13"/>
  <c r="F398" i="13"/>
  <c r="F399" i="13"/>
  <c r="F400" i="13"/>
  <c r="F401" i="13"/>
  <c r="F402" i="13"/>
  <c r="F403" i="13"/>
  <c r="F404" i="13"/>
  <c r="F405" i="13"/>
  <c r="F406" i="13"/>
  <c r="F407" i="13"/>
  <c r="F408" i="13"/>
  <c r="F409" i="13"/>
  <c r="F410" i="13"/>
  <c r="F411" i="13"/>
  <c r="F412" i="13"/>
  <c r="F413" i="13"/>
  <c r="F414" i="13"/>
  <c r="F415" i="13"/>
  <c r="F416" i="13"/>
  <c r="F417" i="13"/>
  <c r="F418" i="13"/>
  <c r="F419" i="13"/>
  <c r="F420" i="13"/>
  <c r="F421" i="13"/>
  <c r="F422" i="13"/>
  <c r="F423" i="13"/>
  <c r="F424" i="13"/>
  <c r="F425" i="13"/>
  <c r="F426" i="13"/>
  <c r="F427" i="13"/>
  <c r="F428" i="13"/>
  <c r="F429" i="13"/>
  <c r="F430" i="13"/>
  <c r="F431" i="13"/>
  <c r="F432" i="13"/>
  <c r="F433" i="13"/>
  <c r="F434" i="13"/>
  <c r="F435" i="13"/>
  <c r="F436" i="13"/>
  <c r="F437" i="13"/>
  <c r="F438" i="13"/>
  <c r="F439" i="13"/>
  <c r="F440" i="13"/>
  <c r="F441" i="13"/>
  <c r="F442" i="13"/>
  <c r="F443" i="13"/>
  <c r="F444" i="13"/>
  <c r="F445" i="13"/>
  <c r="F446" i="13"/>
  <c r="F447" i="13"/>
  <c r="F448" i="13"/>
  <c r="F449" i="13"/>
  <c r="F450" i="13"/>
  <c r="F451" i="13"/>
  <c r="F452" i="13"/>
  <c r="F453" i="13"/>
  <c r="F454" i="13"/>
  <c r="F455" i="13"/>
  <c r="F456" i="13"/>
  <c r="F457" i="13"/>
  <c r="F458" i="13"/>
  <c r="F459" i="13"/>
  <c r="F460" i="13"/>
  <c r="F461" i="13"/>
  <c r="F462" i="13"/>
  <c r="F463" i="13"/>
  <c r="F464" i="13"/>
  <c r="F465" i="13"/>
  <c r="F466" i="13"/>
  <c r="F467" i="13"/>
  <c r="F468" i="13"/>
  <c r="F469" i="13"/>
  <c r="F470" i="13"/>
  <c r="F471" i="13"/>
  <c r="F472" i="13"/>
  <c r="F473" i="13"/>
  <c r="F474" i="13"/>
  <c r="F475" i="13"/>
  <c r="F476" i="13"/>
  <c r="F477" i="13"/>
  <c r="F478" i="13"/>
  <c r="F479" i="13"/>
  <c r="F480" i="13"/>
  <c r="F481" i="13"/>
  <c r="F482" i="13"/>
  <c r="F483" i="13"/>
  <c r="F484" i="13"/>
  <c r="F485" i="13"/>
  <c r="F486" i="13"/>
  <c r="F487" i="13"/>
  <c r="F488" i="13"/>
  <c r="F489" i="13"/>
  <c r="F490" i="13"/>
  <c r="F491" i="13"/>
  <c r="F492" i="13"/>
  <c r="F493" i="13"/>
  <c r="F494" i="13"/>
  <c r="F495" i="13"/>
  <c r="F496" i="13"/>
  <c r="F497" i="13"/>
  <c r="F498" i="13"/>
  <c r="F499" i="13"/>
  <c r="F500" i="13"/>
  <c r="F501" i="13"/>
  <c r="F502" i="13"/>
  <c r="F503" i="13"/>
  <c r="F504" i="13"/>
  <c r="F505" i="13"/>
  <c r="F506" i="13"/>
  <c r="F507" i="13"/>
  <c r="F508" i="13"/>
  <c r="F509" i="13"/>
  <c r="F510" i="13"/>
  <c r="F511" i="13"/>
  <c r="F512" i="13"/>
  <c r="F513" i="13"/>
  <c r="F514" i="13"/>
  <c r="F515" i="13"/>
  <c r="F516" i="13"/>
  <c r="F517" i="13"/>
  <c r="F518" i="13"/>
  <c r="F519" i="13"/>
  <c r="F520" i="13"/>
  <c r="F521" i="13"/>
  <c r="F522" i="13"/>
  <c r="F523" i="13"/>
  <c r="F524" i="13"/>
  <c r="F525" i="13"/>
  <c r="F526" i="13"/>
  <c r="F527" i="13"/>
  <c r="F528" i="13"/>
  <c r="F529" i="13"/>
  <c r="F530" i="13"/>
  <c r="F531" i="13"/>
  <c r="F532" i="13"/>
  <c r="F533" i="13"/>
  <c r="F534" i="13"/>
  <c r="F535" i="13"/>
  <c r="F536" i="13"/>
  <c r="F537" i="13"/>
  <c r="F538" i="13"/>
  <c r="F539" i="13"/>
  <c r="F540" i="13"/>
  <c r="F541" i="13"/>
  <c r="F542" i="13"/>
  <c r="F543" i="13"/>
  <c r="F544" i="13"/>
  <c r="F545" i="13"/>
  <c r="F546" i="13"/>
  <c r="F547" i="13"/>
  <c r="F548" i="13"/>
  <c r="F549" i="13"/>
  <c r="F550" i="13"/>
  <c r="F551" i="13"/>
  <c r="F552" i="13"/>
  <c r="F553" i="13"/>
  <c r="F554" i="13"/>
  <c r="F555" i="13"/>
  <c r="F556" i="13"/>
  <c r="F557" i="13"/>
  <c r="F558" i="13"/>
  <c r="F559" i="13"/>
  <c r="F560" i="13"/>
  <c r="F561" i="13"/>
  <c r="F562" i="13"/>
  <c r="F563" i="13"/>
  <c r="F564" i="13"/>
  <c r="F565" i="13"/>
  <c r="F566" i="13"/>
  <c r="F567" i="13"/>
  <c r="F568" i="13"/>
  <c r="F569" i="13"/>
  <c r="F570" i="13"/>
  <c r="F571" i="13"/>
  <c r="F572" i="13"/>
  <c r="F573" i="13"/>
  <c r="F574" i="13"/>
  <c r="F575" i="13"/>
  <c r="F576" i="13"/>
  <c r="F577" i="13"/>
  <c r="F578" i="13"/>
  <c r="F579" i="13"/>
  <c r="F580" i="13"/>
  <c r="F581" i="13"/>
  <c r="F582" i="13"/>
  <c r="F583" i="13"/>
  <c r="F584" i="13"/>
  <c r="F585" i="13"/>
  <c r="F586" i="13"/>
  <c r="F587" i="13"/>
  <c r="F588" i="13"/>
  <c r="F589" i="13"/>
  <c r="F590" i="13"/>
  <c r="F591" i="13"/>
  <c r="F592" i="13"/>
  <c r="F593" i="13"/>
  <c r="F594" i="13"/>
  <c r="F595" i="13"/>
  <c r="F596" i="13"/>
  <c r="F597" i="13"/>
  <c r="F598" i="13"/>
  <c r="F599" i="13"/>
  <c r="F600" i="13"/>
  <c r="F601" i="13"/>
  <c r="F602" i="13"/>
  <c r="F603" i="13"/>
  <c r="F604" i="13"/>
  <c r="F605" i="13"/>
  <c r="F606" i="13"/>
  <c r="F607" i="13"/>
  <c r="F608" i="13"/>
  <c r="F609" i="13"/>
  <c r="F610" i="13"/>
  <c r="F611" i="13"/>
  <c r="F612" i="13"/>
  <c r="F613" i="13"/>
  <c r="F614" i="13"/>
  <c r="F615" i="13"/>
  <c r="F616" i="13"/>
  <c r="F617" i="13"/>
  <c r="F618" i="13"/>
  <c r="F619" i="13"/>
  <c r="F620" i="13"/>
  <c r="F621" i="13"/>
  <c r="F622" i="13"/>
  <c r="F623" i="13"/>
  <c r="F624" i="13"/>
  <c r="F625" i="13"/>
  <c r="F626" i="13"/>
  <c r="F627" i="13"/>
  <c r="F628" i="13"/>
  <c r="F629" i="13"/>
  <c r="F630" i="13"/>
  <c r="F631" i="13"/>
  <c r="F632" i="13"/>
  <c r="F633" i="13"/>
  <c r="F634" i="13"/>
  <c r="F635" i="13"/>
  <c r="F636" i="13"/>
  <c r="F637" i="13"/>
  <c r="F638" i="13"/>
  <c r="F639" i="13"/>
  <c r="F640" i="13"/>
  <c r="F641" i="13"/>
  <c r="F4" i="13"/>
  <c r="Z64" i="3" l="1"/>
  <c r="Z440" i="3" l="1"/>
  <c r="Z529" i="3"/>
  <c r="Z384" i="3"/>
  <c r="Z213" i="3"/>
  <c r="Z584" i="3"/>
  <c r="Z214" i="3"/>
  <c r="Z530" i="3"/>
  <c r="Z2" i="3"/>
  <c r="Z264" i="3"/>
  <c r="Z215" i="3"/>
  <c r="Z585" i="3"/>
  <c r="Z3" i="3"/>
  <c r="Z485" i="3"/>
  <c r="Z441" i="3"/>
  <c r="Z486" i="3"/>
  <c r="Z216" i="3"/>
  <c r="Z265" i="3"/>
  <c r="Z385" i="3"/>
  <c r="Z65" i="3"/>
  <c r="Z109" i="3"/>
  <c r="Z531" i="3"/>
  <c r="Z586" i="3"/>
  <c r="Z587" i="3"/>
  <c r="Z160" i="3"/>
  <c r="Z386" i="3"/>
  <c r="Z217" i="3"/>
  <c r="Z218" i="3"/>
  <c r="Z4" i="3"/>
  <c r="Z325" i="3"/>
  <c r="Z66" i="3"/>
  <c r="Z110" i="3"/>
  <c r="Z387" i="3"/>
  <c r="Z487" i="3"/>
  <c r="Z488" i="3"/>
  <c r="Z219" i="3"/>
  <c r="Z220" i="3"/>
  <c r="Z532" i="3"/>
  <c r="Z388" i="3"/>
  <c r="Z326" i="3"/>
  <c r="Z266" i="3"/>
  <c r="Z389" i="3"/>
  <c r="Z390" i="3"/>
  <c r="Z161" i="3"/>
  <c r="Z67" i="3"/>
  <c r="Z533" i="3"/>
  <c r="Z442" i="3"/>
  <c r="Z534" i="3"/>
  <c r="Z588" i="3"/>
  <c r="Z162" i="3"/>
  <c r="Z68" i="3"/>
  <c r="Z163" i="3"/>
  <c r="Z391" i="3"/>
  <c r="Z221" i="3"/>
  <c r="Z589" i="3"/>
  <c r="Z222" i="3"/>
  <c r="Z111" i="3"/>
  <c r="Z5" i="3"/>
  <c r="Z535" i="3"/>
  <c r="Z536" i="3"/>
  <c r="Z267" i="3"/>
  <c r="Z223" i="3"/>
  <c r="Z327" i="3"/>
  <c r="Z112" i="3"/>
  <c r="Z328" i="3"/>
  <c r="Z392" i="3"/>
  <c r="Z164" i="3"/>
  <c r="Z443" i="3"/>
  <c r="Z113" i="3"/>
  <c r="Z268" i="3"/>
  <c r="Z269" i="3"/>
  <c r="Z590" i="3"/>
  <c r="Z591" i="3"/>
  <c r="Z444" i="3"/>
  <c r="Z445" i="3"/>
  <c r="Z329" i="3"/>
  <c r="Z489" i="3"/>
  <c r="Z270" i="3"/>
  <c r="Z271" i="3"/>
  <c r="Z272" i="3"/>
  <c r="Z393" i="3"/>
  <c r="Z114" i="3"/>
  <c r="Z394" i="3"/>
  <c r="Z490" i="3"/>
  <c r="Z115" i="3"/>
  <c r="Z491" i="3"/>
  <c r="Z273" i="3"/>
  <c r="Z446" i="3"/>
  <c r="Z6" i="3"/>
  <c r="Z116" i="3"/>
  <c r="Z592" i="3"/>
  <c r="Z224" i="3"/>
  <c r="Z537" i="3"/>
  <c r="Z225" i="3"/>
  <c r="Z274" i="3"/>
  <c r="Z7" i="3"/>
  <c r="Z538" i="3"/>
  <c r="Z117" i="3"/>
  <c r="Z395" i="3"/>
  <c r="Z69" i="3"/>
  <c r="Z539" i="3"/>
  <c r="Z540" i="3"/>
  <c r="Z593" i="3"/>
  <c r="Z594" i="3"/>
  <c r="Z8" i="3"/>
  <c r="Z595" i="3"/>
  <c r="Z596" i="3"/>
  <c r="Z165" i="3"/>
  <c r="Z70" i="3"/>
  <c r="Z9" i="3"/>
  <c r="Z71" i="3"/>
  <c r="Z447" i="3"/>
  <c r="Z330" i="3"/>
  <c r="Z331" i="3"/>
  <c r="Z166" i="3"/>
  <c r="Z226" i="3"/>
  <c r="Z448" i="3"/>
  <c r="Z541" i="3"/>
  <c r="Z492" i="3"/>
  <c r="Z10" i="3"/>
  <c r="Z493" i="3"/>
  <c r="Z396" i="3"/>
  <c r="Z332" i="3"/>
  <c r="Z167" i="3"/>
  <c r="Z494" i="3"/>
  <c r="Z449" i="3"/>
  <c r="Z542" i="3"/>
  <c r="Z11" i="3"/>
  <c r="Z495" i="3"/>
  <c r="Z12" i="3"/>
  <c r="Z275" i="3"/>
  <c r="Z397" i="3"/>
  <c r="Z72" i="3"/>
  <c r="Z450" i="3"/>
  <c r="Z597" i="3"/>
  <c r="Z168" i="3"/>
  <c r="Z333" i="3"/>
  <c r="Z73" i="3"/>
  <c r="Z118" i="3"/>
  <c r="Z13" i="3"/>
  <c r="Z119" i="3"/>
  <c r="Z14" i="3"/>
  <c r="Z543" i="3"/>
  <c r="Z15" i="3"/>
  <c r="Z120" i="3"/>
  <c r="Z598" i="3"/>
  <c r="Z398" i="3"/>
  <c r="Z496" i="3"/>
  <c r="Z74" i="3"/>
  <c r="Z497" i="3"/>
  <c r="Z451" i="3"/>
  <c r="Z75" i="3"/>
  <c r="Z544" i="3"/>
  <c r="Z498" i="3"/>
  <c r="Z452" i="3"/>
  <c r="Z499" i="3"/>
  <c r="Z545" i="3"/>
  <c r="Z169" i="3"/>
  <c r="Z76" i="3"/>
  <c r="Z276" i="3"/>
  <c r="Z227" i="3"/>
  <c r="Z77" i="3"/>
  <c r="Z399" i="3"/>
  <c r="Z170" i="3"/>
  <c r="Z16" i="3"/>
  <c r="Z277" i="3"/>
  <c r="Z278" i="3"/>
  <c r="Z279" i="3"/>
  <c r="Z334" i="3"/>
  <c r="Z599" i="3"/>
  <c r="Z600" i="3"/>
  <c r="Z335" i="3"/>
  <c r="Z121" i="3"/>
  <c r="Z601" i="3"/>
  <c r="Z122" i="3"/>
  <c r="Z280" i="3"/>
  <c r="Z281" i="3"/>
  <c r="Z123" i="3"/>
  <c r="Z453" i="3"/>
  <c r="Z17" i="3"/>
  <c r="Z336" i="3"/>
  <c r="Z124" i="3"/>
  <c r="Z400" i="3"/>
  <c r="Z546" i="3"/>
  <c r="Z547" i="3"/>
  <c r="Z78" i="3"/>
  <c r="Z18" i="3"/>
  <c r="Z171" i="3"/>
  <c r="Z500" i="3"/>
  <c r="Z282" i="3"/>
  <c r="Z401" i="3"/>
  <c r="Z19" i="3"/>
  <c r="Z20" i="3"/>
  <c r="Z548" i="3"/>
  <c r="Z337" i="3"/>
  <c r="Z172" i="3"/>
  <c r="Z283" i="3"/>
  <c r="Z338" i="3"/>
  <c r="Z284" i="3"/>
  <c r="Z501" i="3"/>
  <c r="Z228" i="3"/>
  <c r="Z339" i="3"/>
  <c r="Z229" i="3"/>
  <c r="Z21" i="3"/>
  <c r="Z22" i="3"/>
  <c r="Z340" i="3"/>
  <c r="Z341" i="3"/>
  <c r="Z230" i="3"/>
  <c r="Z125" i="3"/>
  <c r="Z285" i="3"/>
  <c r="Z23" i="3"/>
  <c r="Z79" i="3"/>
  <c r="Z286" i="3"/>
  <c r="Z454" i="3"/>
  <c r="Z287" i="3"/>
  <c r="Z502" i="3"/>
  <c r="Z24" i="3"/>
  <c r="Z342" i="3"/>
  <c r="Z173" i="3"/>
  <c r="Z503" i="3"/>
  <c r="Z402" i="3"/>
  <c r="Z174" i="3"/>
  <c r="Z549" i="3"/>
  <c r="Z602" i="3"/>
  <c r="Z343" i="3"/>
  <c r="Z80" i="3"/>
  <c r="Z288" i="3"/>
  <c r="Z175" i="3"/>
  <c r="Z344" i="3"/>
  <c r="Z504" i="3"/>
  <c r="Z289" i="3"/>
  <c r="Z603" i="3"/>
  <c r="Z231" i="3"/>
  <c r="Z290" i="3"/>
  <c r="Z604" i="3"/>
  <c r="Z232" i="3"/>
  <c r="Z505" i="3"/>
  <c r="Z176" i="3"/>
  <c r="Z291" i="3"/>
  <c r="Z550" i="3"/>
  <c r="Z25" i="3"/>
  <c r="Z345" i="3"/>
  <c r="Z506" i="3"/>
  <c r="Z233" i="3"/>
  <c r="Z507" i="3"/>
  <c r="Z177" i="3"/>
  <c r="Z605" i="3"/>
  <c r="Z234" i="3"/>
  <c r="Z126" i="3"/>
  <c r="Z403" i="3"/>
  <c r="Z404" i="3"/>
  <c r="Z405" i="3"/>
  <c r="Z127" i="3"/>
  <c r="Z81" i="3"/>
  <c r="Z292" i="3"/>
  <c r="Z26" i="3"/>
  <c r="Z27" i="3"/>
  <c r="Z406" i="3"/>
  <c r="Z128" i="3"/>
  <c r="Z606" i="3"/>
  <c r="Z178" i="3"/>
  <c r="Z293" i="3"/>
  <c r="Z28" i="3"/>
  <c r="Z346" i="3"/>
  <c r="Z607" i="3"/>
  <c r="Z82" i="3"/>
  <c r="Z129" i="3"/>
  <c r="Z508" i="3"/>
  <c r="Z455" i="3"/>
  <c r="Z235" i="3"/>
  <c r="Z236" i="3"/>
  <c r="Z130" i="3"/>
  <c r="Z608" i="3"/>
  <c r="Z551" i="3"/>
  <c r="Z179" i="3"/>
  <c r="Z407" i="3"/>
  <c r="Z609" i="3"/>
  <c r="Z456" i="3"/>
  <c r="Z83" i="3"/>
  <c r="Z180" i="3"/>
  <c r="Z237" i="3"/>
  <c r="Z294" i="3"/>
  <c r="Z610" i="3"/>
  <c r="Z611" i="3"/>
  <c r="Z612" i="3"/>
  <c r="Z238" i="3"/>
  <c r="Z29" i="3"/>
  <c r="Z30" i="3"/>
  <c r="Z239" i="3"/>
  <c r="Z457" i="3"/>
  <c r="Z131" i="3"/>
  <c r="Z181" i="3"/>
  <c r="Z509" i="3"/>
  <c r="Z408" i="3"/>
  <c r="Z552" i="3"/>
  <c r="Z458" i="3"/>
  <c r="Z459" i="3"/>
  <c r="Z409" i="3"/>
  <c r="Z553" i="3"/>
  <c r="Z240" i="3"/>
  <c r="Z241" i="3"/>
  <c r="Z295" i="3"/>
  <c r="Z460" i="3"/>
  <c r="Z182" i="3"/>
  <c r="Z461" i="3"/>
  <c r="Z554" i="3"/>
  <c r="Z555" i="3"/>
  <c r="Z556" i="3"/>
  <c r="Z613" i="3"/>
  <c r="Z614" i="3"/>
  <c r="Z410" i="3"/>
  <c r="Z183" i="3"/>
  <c r="Z31" i="3"/>
  <c r="Z84" i="3"/>
  <c r="Z510" i="3"/>
  <c r="Z347" i="3"/>
  <c r="Z32" i="3"/>
  <c r="Z184" i="3"/>
  <c r="Z511" i="3"/>
  <c r="Z462" i="3"/>
  <c r="Z296" i="3"/>
  <c r="Z242" i="3"/>
  <c r="Z615" i="3"/>
  <c r="Z411" i="3"/>
  <c r="Z412" i="3"/>
  <c r="Z85" i="3"/>
  <c r="Z132" i="3"/>
  <c r="Z413" i="3"/>
  <c r="Z297" i="3"/>
  <c r="Z243" i="3"/>
  <c r="Z133" i="3"/>
  <c r="Z512" i="3"/>
  <c r="Z134" i="3"/>
  <c r="Z557" i="3"/>
  <c r="Z463" i="3"/>
  <c r="Z86" i="3"/>
  <c r="Z513" i="3"/>
  <c r="Z348" i="3"/>
  <c r="Z414" i="3"/>
  <c r="Z464" i="3"/>
  <c r="Z558" i="3"/>
  <c r="Z415" i="3"/>
  <c r="Z33" i="3"/>
  <c r="Z514" i="3"/>
  <c r="Z416" i="3"/>
  <c r="Z34" i="3"/>
  <c r="Z185" i="3"/>
  <c r="Z135" i="3"/>
  <c r="Z136" i="3"/>
  <c r="Z349" i="3"/>
  <c r="Z35" i="3"/>
  <c r="Z350" i="3"/>
  <c r="Z186" i="3"/>
  <c r="Z417" i="3"/>
  <c r="Z187" i="3"/>
  <c r="Z418" i="3"/>
  <c r="Z87" i="3"/>
  <c r="Z298" i="3"/>
  <c r="Z616" i="3"/>
  <c r="Z351" i="3"/>
  <c r="Z419" i="3"/>
  <c r="Z617" i="3"/>
  <c r="Z352" i="3"/>
  <c r="Z353" i="3"/>
  <c r="Z188" i="3"/>
  <c r="Z618" i="3"/>
  <c r="Z619" i="3"/>
  <c r="Z559" i="3"/>
  <c r="Z36" i="3"/>
  <c r="Z620" i="3"/>
  <c r="Z299" i="3"/>
  <c r="Z189" i="3"/>
  <c r="Z88" i="3"/>
  <c r="Z515" i="3"/>
  <c r="Z244" i="3"/>
  <c r="Z245" i="3"/>
  <c r="Z300" i="3"/>
  <c r="Z37" i="3"/>
  <c r="Z354" i="3"/>
  <c r="Z355" i="3"/>
  <c r="Z621" i="3"/>
  <c r="Z465" i="3"/>
  <c r="Z356" i="3"/>
  <c r="Z357" i="3"/>
  <c r="Z358" i="3"/>
  <c r="Z516" i="3"/>
  <c r="Z137" i="3"/>
  <c r="Z301" i="3"/>
  <c r="Z138" i="3"/>
  <c r="Z560" i="3"/>
  <c r="Z38" i="3"/>
  <c r="Z420" i="3"/>
  <c r="Z421" i="3"/>
  <c r="Z139" i="3"/>
  <c r="Z39" i="3"/>
  <c r="Z40" i="3"/>
  <c r="Z89" i="3"/>
  <c r="Z90" i="3"/>
  <c r="Z517" i="3"/>
  <c r="Z140" i="3"/>
  <c r="Z466" i="3"/>
  <c r="Z561" i="3"/>
  <c r="Z562" i="3"/>
  <c r="Z563" i="3"/>
  <c r="Z141" i="3"/>
  <c r="Z190" i="3"/>
  <c r="Z467" i="3"/>
  <c r="Z359" i="3"/>
  <c r="Z302" i="3"/>
  <c r="Z622" i="3"/>
  <c r="Z468" i="3"/>
  <c r="Z469" i="3"/>
  <c r="Z360" i="3"/>
  <c r="Z142" i="3"/>
  <c r="Z422" i="3"/>
  <c r="Z623" i="3"/>
  <c r="Z361" i="3"/>
  <c r="Z423" i="3"/>
  <c r="Z143" i="3"/>
  <c r="Z246" i="3"/>
  <c r="Z303" i="3"/>
  <c r="Z41" i="3"/>
  <c r="Z191" i="3"/>
  <c r="Z564" i="3"/>
  <c r="Z91" i="3"/>
  <c r="Z92" i="3"/>
  <c r="Z42" i="3"/>
  <c r="Z424" i="3"/>
  <c r="Z565" i="3"/>
  <c r="Z304" i="3"/>
  <c r="Z93" i="3"/>
  <c r="Z192" i="3"/>
  <c r="Z193" i="3"/>
  <c r="Z425" i="3"/>
  <c r="Z144" i="3"/>
  <c r="Z426" i="3"/>
  <c r="Z194" i="3"/>
  <c r="Z427" i="3"/>
  <c r="Z305" i="3"/>
  <c r="Z247" i="3"/>
  <c r="Z94" i="3"/>
  <c r="Z566" i="3"/>
  <c r="Z195" i="3"/>
  <c r="Z196" i="3"/>
  <c r="Z470" i="3"/>
  <c r="Z362" i="3"/>
  <c r="Z145" i="3"/>
  <c r="Z146" i="3"/>
  <c r="Z567" i="3"/>
  <c r="Z248" i="3"/>
  <c r="Z306" i="3"/>
  <c r="Z624" i="3"/>
  <c r="Z249" i="3"/>
  <c r="Z307" i="3"/>
  <c r="Z308" i="3"/>
  <c r="Z309" i="3"/>
  <c r="Z250" i="3"/>
  <c r="Z95" i="3"/>
  <c r="Z147" i="3"/>
  <c r="Z568" i="3"/>
  <c r="Z363" i="3"/>
  <c r="Z310" i="3"/>
  <c r="Z518" i="3"/>
  <c r="Z148" i="3"/>
  <c r="Z43" i="3"/>
  <c r="Z625" i="3"/>
  <c r="Z197" i="3"/>
  <c r="Z626" i="3"/>
  <c r="Z44" i="3"/>
  <c r="Z198" i="3"/>
  <c r="Z428" i="3"/>
  <c r="Z364" i="3"/>
  <c r="Z199" i="3"/>
  <c r="Z149" i="3"/>
  <c r="Z429" i="3"/>
  <c r="Z569" i="3"/>
  <c r="Z365" i="3"/>
  <c r="Z570" i="3"/>
  <c r="Z571" i="3"/>
  <c r="Z45" i="3"/>
  <c r="Z471" i="3"/>
  <c r="Z46" i="3"/>
  <c r="Z47" i="3"/>
  <c r="Z430" i="3"/>
  <c r="Z200" i="3"/>
  <c r="Z96" i="3"/>
  <c r="Z251" i="3"/>
  <c r="Z252" i="3"/>
  <c r="Z311" i="3"/>
  <c r="Z472" i="3"/>
  <c r="Z627" i="3"/>
  <c r="Z366" i="3"/>
  <c r="Z473" i="3"/>
  <c r="Z48" i="3"/>
  <c r="Z312" i="3"/>
  <c r="Z367" i="3"/>
  <c r="Z49" i="3"/>
  <c r="Z368" i="3"/>
  <c r="Z253" i="3"/>
  <c r="Z150" i="3"/>
  <c r="Z369" i="3"/>
  <c r="Z313" i="3"/>
  <c r="Z370" i="3"/>
  <c r="Z254" i="3"/>
  <c r="Z314" i="3"/>
  <c r="Z151" i="3"/>
  <c r="Z572" i="3"/>
  <c r="Z474" i="3"/>
  <c r="Z475" i="3"/>
  <c r="Z519" i="3"/>
  <c r="Z50" i="3"/>
  <c r="Z431" i="3"/>
  <c r="Z628" i="3"/>
  <c r="Z255" i="3"/>
  <c r="Z573" i="3"/>
  <c r="Z51" i="3"/>
  <c r="Z201" i="3"/>
  <c r="Z202" i="3"/>
  <c r="Z52" i="3"/>
  <c r="Z520" i="3"/>
  <c r="Z371" i="3"/>
  <c r="Z432" i="3"/>
  <c r="Z372" i="3"/>
  <c r="Z574" i="3"/>
  <c r="Z97" i="3"/>
  <c r="Z476" i="3"/>
  <c r="Z53" i="3"/>
  <c r="Z54" i="3"/>
  <c r="Z203" i="3"/>
  <c r="Z256" i="3"/>
  <c r="Z629" i="3"/>
  <c r="Z55" i="3"/>
  <c r="Z315" i="3"/>
  <c r="Z204" i="3"/>
  <c r="Z630" i="3"/>
  <c r="Z257" i="3"/>
  <c r="Z373" i="3"/>
  <c r="Z433" i="3"/>
  <c r="Z316" i="3"/>
  <c r="Z98" i="3"/>
  <c r="Z317" i="3"/>
  <c r="Z99" i="3"/>
  <c r="Z205" i="3"/>
  <c r="Z374" i="3"/>
  <c r="Z152" i="3"/>
  <c r="Z375" i="3"/>
  <c r="Z477" i="3"/>
  <c r="Z318" i="3"/>
  <c r="Z56" i="3"/>
  <c r="Z631" i="3"/>
  <c r="Z575" i="3"/>
  <c r="Z521" i="3"/>
  <c r="Z57" i="3"/>
  <c r="Z376" i="3"/>
  <c r="Z258" i="3"/>
  <c r="Z259" i="3"/>
  <c r="Z206" i="3"/>
  <c r="Z260" i="3"/>
  <c r="Z100" i="3"/>
  <c r="Z319" i="3"/>
  <c r="Z320" i="3"/>
  <c r="Z377" i="3"/>
  <c r="Z207" i="3"/>
  <c r="Z478" i="3"/>
  <c r="Z208" i="3"/>
  <c r="Z522" i="3"/>
  <c r="Z321" i="3"/>
  <c r="Z576" i="3"/>
  <c r="Z523" i="3"/>
  <c r="Z524" i="3"/>
  <c r="Z577" i="3"/>
  <c r="Z101" i="3"/>
  <c r="Z261" i="3"/>
  <c r="Z525" i="3"/>
  <c r="Z153" i="3"/>
  <c r="Z578" i="3"/>
  <c r="Z479" i="3"/>
  <c r="Z154" i="3"/>
  <c r="Z262" i="3"/>
  <c r="Z155" i="3"/>
  <c r="Z480" i="3"/>
  <c r="Z102" i="3"/>
  <c r="Z434" i="3"/>
  <c r="Z579" i="3"/>
  <c r="Z103" i="3"/>
  <c r="Z526" i="3"/>
  <c r="Z104" i="3"/>
  <c r="Z435" i="3"/>
  <c r="Z58" i="3"/>
  <c r="Z481" i="3"/>
  <c r="Z156" i="3"/>
  <c r="Z378" i="3"/>
  <c r="Z580" i="3"/>
  <c r="Z527" i="3"/>
  <c r="Z379" i="3"/>
  <c r="Z157" i="3"/>
  <c r="Z322" i="3"/>
  <c r="Z380" i="3"/>
  <c r="Z105" i="3"/>
  <c r="Z323" i="3"/>
  <c r="Z581" i="3"/>
  <c r="Z59" i="3"/>
  <c r="Z106" i="3"/>
  <c r="Z436" i="3"/>
  <c r="Z632" i="3"/>
  <c r="Z209" i="3"/>
  <c r="Z210" i="3"/>
  <c r="Z60" i="3"/>
  <c r="Z633" i="3"/>
  <c r="Z263" i="3"/>
  <c r="Z158" i="3"/>
  <c r="Z437" i="3"/>
  <c r="Z482" i="3"/>
  <c r="Z483" i="3"/>
  <c r="Z211" i="3"/>
  <c r="Z212" i="3"/>
  <c r="Z61" i="3"/>
  <c r="Z107" i="3"/>
  <c r="Z381" i="3"/>
  <c r="Z62" i="3"/>
  <c r="Z438" i="3"/>
  <c r="Z382" i="3"/>
  <c r="Z439" i="3"/>
  <c r="Z383" i="3"/>
  <c r="Z582" i="3"/>
  <c r="Z528" i="3"/>
  <c r="Z324" i="3"/>
  <c r="Z63" i="3"/>
  <c r="Z484" i="3"/>
  <c r="Z159" i="3"/>
  <c r="Z108" i="3"/>
  <c r="Z583" i="3"/>
  <c r="X584" i="3"/>
  <c r="X214" i="3"/>
  <c r="X530" i="3"/>
  <c r="X264" i="3"/>
  <c r="X215" i="3"/>
  <c r="X585" i="3"/>
  <c r="X3" i="3"/>
  <c r="X485" i="3"/>
  <c r="X441" i="3"/>
  <c r="X486" i="3"/>
  <c r="X216" i="3"/>
  <c r="X265" i="3"/>
  <c r="X385" i="3"/>
  <c r="X65" i="3"/>
  <c r="X109" i="3"/>
  <c r="X531" i="3"/>
  <c r="X586" i="3"/>
  <c r="X587" i="3"/>
  <c r="X160" i="3"/>
  <c r="X386" i="3"/>
  <c r="X217" i="3"/>
  <c r="X218" i="3"/>
  <c r="X4" i="3"/>
  <c r="X325" i="3"/>
  <c r="X66" i="3"/>
  <c r="X110" i="3"/>
  <c r="X387" i="3"/>
  <c r="X487" i="3"/>
  <c r="X488" i="3"/>
  <c r="X219" i="3"/>
  <c r="X220" i="3"/>
  <c r="X532" i="3"/>
  <c r="X388" i="3"/>
  <c r="X326" i="3"/>
  <c r="X266" i="3"/>
  <c r="X389" i="3"/>
  <c r="X390" i="3"/>
  <c r="X161" i="3"/>
  <c r="X67" i="3"/>
  <c r="X533" i="3"/>
  <c r="X442" i="3"/>
  <c r="X534" i="3"/>
  <c r="X588" i="3"/>
  <c r="X162" i="3"/>
  <c r="X68" i="3"/>
  <c r="X163" i="3"/>
  <c r="X391" i="3"/>
  <c r="X221" i="3"/>
  <c r="X589" i="3"/>
  <c r="X222" i="3"/>
  <c r="X111" i="3"/>
  <c r="X5" i="3"/>
  <c r="X535" i="3"/>
  <c r="X536" i="3"/>
  <c r="X267" i="3"/>
  <c r="X223" i="3"/>
  <c r="X327" i="3"/>
  <c r="X112" i="3"/>
  <c r="X328" i="3"/>
  <c r="X392" i="3"/>
  <c r="X164" i="3"/>
  <c r="X443" i="3"/>
  <c r="X113" i="3"/>
  <c r="X268" i="3"/>
  <c r="X269" i="3"/>
  <c r="X590" i="3"/>
  <c r="X591" i="3"/>
  <c r="X444" i="3"/>
  <c r="X445" i="3"/>
  <c r="X329" i="3"/>
  <c r="X489" i="3"/>
  <c r="X270" i="3"/>
  <c r="X271" i="3"/>
  <c r="X272" i="3"/>
  <c r="X393" i="3"/>
  <c r="X114" i="3"/>
  <c r="X394" i="3"/>
  <c r="X490" i="3"/>
  <c r="X115" i="3"/>
  <c r="X491" i="3"/>
  <c r="X273" i="3"/>
  <c r="X446" i="3"/>
  <c r="X6" i="3"/>
  <c r="X116" i="3"/>
  <c r="X592" i="3"/>
  <c r="X224" i="3"/>
  <c r="X537" i="3"/>
  <c r="X225" i="3"/>
  <c r="X274" i="3"/>
  <c r="X7" i="3"/>
  <c r="X538" i="3"/>
  <c r="X117" i="3"/>
  <c r="X395" i="3"/>
  <c r="X69" i="3"/>
  <c r="X539" i="3"/>
  <c r="X540" i="3"/>
  <c r="X593" i="3"/>
  <c r="X594" i="3"/>
  <c r="X8" i="3"/>
  <c r="X595" i="3"/>
  <c r="X596" i="3"/>
  <c r="X165" i="3"/>
  <c r="X70" i="3"/>
  <c r="X9" i="3"/>
  <c r="X71" i="3"/>
  <c r="X447" i="3"/>
  <c r="X330" i="3"/>
  <c r="X331" i="3"/>
  <c r="X166" i="3"/>
  <c r="X226" i="3"/>
  <c r="X448" i="3"/>
  <c r="X541" i="3"/>
  <c r="X492" i="3"/>
  <c r="X10" i="3"/>
  <c r="X493" i="3"/>
  <c r="X396" i="3"/>
  <c r="X332" i="3"/>
  <c r="X167" i="3"/>
  <c r="X494" i="3"/>
  <c r="X449" i="3"/>
  <c r="X542" i="3"/>
  <c r="X11" i="3"/>
  <c r="X495" i="3"/>
  <c r="X12" i="3"/>
  <c r="X275" i="3"/>
  <c r="X397" i="3"/>
  <c r="X72" i="3"/>
  <c r="X450" i="3"/>
  <c r="X597" i="3"/>
  <c r="X168" i="3"/>
  <c r="X333" i="3"/>
  <c r="X73" i="3"/>
  <c r="X118" i="3"/>
  <c r="X13" i="3"/>
  <c r="X119" i="3"/>
  <c r="X14" i="3"/>
  <c r="X543" i="3"/>
  <c r="X15" i="3"/>
  <c r="X120" i="3"/>
  <c r="X598" i="3"/>
  <c r="X398" i="3"/>
  <c r="X496" i="3"/>
  <c r="X74" i="3"/>
  <c r="X497" i="3"/>
  <c r="X451" i="3"/>
  <c r="X75" i="3"/>
  <c r="X544" i="3"/>
  <c r="X498" i="3"/>
  <c r="X452" i="3"/>
  <c r="X499" i="3"/>
  <c r="X545" i="3"/>
  <c r="X169" i="3"/>
  <c r="X76" i="3"/>
  <c r="X276" i="3"/>
  <c r="X227" i="3"/>
  <c r="X77" i="3"/>
  <c r="X399" i="3"/>
  <c r="X170" i="3"/>
  <c r="X16" i="3"/>
  <c r="X277" i="3"/>
  <c r="X278" i="3"/>
  <c r="X279" i="3"/>
  <c r="X334" i="3"/>
  <c r="X599" i="3"/>
  <c r="X600" i="3"/>
  <c r="X335" i="3"/>
  <c r="X121" i="3"/>
  <c r="X601" i="3"/>
  <c r="X122" i="3"/>
  <c r="X280" i="3"/>
  <c r="X281" i="3"/>
  <c r="X123" i="3"/>
  <c r="X453" i="3"/>
  <c r="X17" i="3"/>
  <c r="X336" i="3"/>
  <c r="X124" i="3"/>
  <c r="X400" i="3"/>
  <c r="X546" i="3"/>
  <c r="X547" i="3"/>
  <c r="X78" i="3"/>
  <c r="X18" i="3"/>
  <c r="X171" i="3"/>
  <c r="X500" i="3"/>
  <c r="X282" i="3"/>
  <c r="X401" i="3"/>
  <c r="X19" i="3"/>
  <c r="X20" i="3"/>
  <c r="X548" i="3"/>
  <c r="X337" i="3"/>
  <c r="X172" i="3"/>
  <c r="X283" i="3"/>
  <c r="X338" i="3"/>
  <c r="X284" i="3"/>
  <c r="X501" i="3"/>
  <c r="X228" i="3"/>
  <c r="X339" i="3"/>
  <c r="X229" i="3"/>
  <c r="X21" i="3"/>
  <c r="X22" i="3"/>
  <c r="X340" i="3"/>
  <c r="X341" i="3"/>
  <c r="X230" i="3"/>
  <c r="X125" i="3"/>
  <c r="X285" i="3"/>
  <c r="X23" i="3"/>
  <c r="X79" i="3"/>
  <c r="X286" i="3"/>
  <c r="X454" i="3"/>
  <c r="X287" i="3"/>
  <c r="X502" i="3"/>
  <c r="X24" i="3"/>
  <c r="X342" i="3"/>
  <c r="X173" i="3"/>
  <c r="X503" i="3"/>
  <c r="X402" i="3"/>
  <c r="X174" i="3"/>
  <c r="X549" i="3"/>
  <c r="X602" i="3"/>
  <c r="X343" i="3"/>
  <c r="X80" i="3"/>
  <c r="X288" i="3"/>
  <c r="X175" i="3"/>
  <c r="X344" i="3"/>
  <c r="X504" i="3"/>
  <c r="X289" i="3"/>
  <c r="X603" i="3"/>
  <c r="X231" i="3"/>
  <c r="X290" i="3"/>
  <c r="X604" i="3"/>
  <c r="X232" i="3"/>
  <c r="X505" i="3"/>
  <c r="X176" i="3"/>
  <c r="X291" i="3"/>
  <c r="X550" i="3"/>
  <c r="X25" i="3"/>
  <c r="X345" i="3"/>
  <c r="X506" i="3"/>
  <c r="X233" i="3"/>
  <c r="X507" i="3"/>
  <c r="X177" i="3"/>
  <c r="X605" i="3"/>
  <c r="X234" i="3"/>
  <c r="X126" i="3"/>
  <c r="X403" i="3"/>
  <c r="X404" i="3"/>
  <c r="X405" i="3"/>
  <c r="X127" i="3"/>
  <c r="X81" i="3"/>
  <c r="X292" i="3"/>
  <c r="X26" i="3"/>
  <c r="X27" i="3"/>
  <c r="X406" i="3"/>
  <c r="X128" i="3"/>
  <c r="X606" i="3"/>
  <c r="X178" i="3"/>
  <c r="X293" i="3"/>
  <c r="X28" i="3"/>
  <c r="X346" i="3"/>
  <c r="X607" i="3"/>
  <c r="X82" i="3"/>
  <c r="X129" i="3"/>
  <c r="X508" i="3"/>
  <c r="X455" i="3"/>
  <c r="X235" i="3"/>
  <c r="X236" i="3"/>
  <c r="X130" i="3"/>
  <c r="X608" i="3"/>
  <c r="X551" i="3"/>
  <c r="X179" i="3"/>
  <c r="X407" i="3"/>
  <c r="X609" i="3"/>
  <c r="X456" i="3"/>
  <c r="X83" i="3"/>
  <c r="X180" i="3"/>
  <c r="X237" i="3"/>
  <c r="X294" i="3"/>
  <c r="X610" i="3"/>
  <c r="X611" i="3"/>
  <c r="X612" i="3"/>
  <c r="X238" i="3"/>
  <c r="X29" i="3"/>
  <c r="X30" i="3"/>
  <c r="X239" i="3"/>
  <c r="X457" i="3"/>
  <c r="X131" i="3"/>
  <c r="X181" i="3"/>
  <c r="X509" i="3"/>
  <c r="X408" i="3"/>
  <c r="X552" i="3"/>
  <c r="X458" i="3"/>
  <c r="X459" i="3"/>
  <c r="X409" i="3"/>
  <c r="X553" i="3"/>
  <c r="X240" i="3"/>
  <c r="X241" i="3"/>
  <c r="X295" i="3"/>
  <c r="X460" i="3"/>
  <c r="X182" i="3"/>
  <c r="X461" i="3"/>
  <c r="X554" i="3"/>
  <c r="X555" i="3"/>
  <c r="X556" i="3"/>
  <c r="X613" i="3"/>
  <c r="X614" i="3"/>
  <c r="X410" i="3"/>
  <c r="X183" i="3"/>
  <c r="X31" i="3"/>
  <c r="X84" i="3"/>
  <c r="X510" i="3"/>
  <c r="X347" i="3"/>
  <c r="X32" i="3"/>
  <c r="X184" i="3"/>
  <c r="X511" i="3"/>
  <c r="X462" i="3"/>
  <c r="X296" i="3"/>
  <c r="X242" i="3"/>
  <c r="X615" i="3"/>
  <c r="X411" i="3"/>
  <c r="X412" i="3"/>
  <c r="X85" i="3"/>
  <c r="X132" i="3"/>
  <c r="X413" i="3"/>
  <c r="X297" i="3"/>
  <c r="X243" i="3"/>
  <c r="X133" i="3"/>
  <c r="X512" i="3"/>
  <c r="X134" i="3"/>
  <c r="X557" i="3"/>
  <c r="X463" i="3"/>
  <c r="X86" i="3"/>
  <c r="X513" i="3"/>
  <c r="X348" i="3"/>
  <c r="X414" i="3"/>
  <c r="X464" i="3"/>
  <c r="X558" i="3"/>
  <c r="X415" i="3"/>
  <c r="X33" i="3"/>
  <c r="X514" i="3"/>
  <c r="X416" i="3"/>
  <c r="X34" i="3"/>
  <c r="X185" i="3"/>
  <c r="X135" i="3"/>
  <c r="X136" i="3"/>
  <c r="X349" i="3"/>
  <c r="X35" i="3"/>
  <c r="X350" i="3"/>
  <c r="X186" i="3"/>
  <c r="X417" i="3"/>
  <c r="X187" i="3"/>
  <c r="X418" i="3"/>
  <c r="X87" i="3"/>
  <c r="X298" i="3"/>
  <c r="X616" i="3"/>
  <c r="X351" i="3"/>
  <c r="X419" i="3"/>
  <c r="X617" i="3"/>
  <c r="X352" i="3"/>
  <c r="X353" i="3"/>
  <c r="X188" i="3"/>
  <c r="X618" i="3"/>
  <c r="X619" i="3"/>
  <c r="X559" i="3"/>
  <c r="X36" i="3"/>
  <c r="X620" i="3"/>
  <c r="X299" i="3"/>
  <c r="X189" i="3"/>
  <c r="X88" i="3"/>
  <c r="X515" i="3"/>
  <c r="X244" i="3"/>
  <c r="X245" i="3"/>
  <c r="X300" i="3"/>
  <c r="X37" i="3"/>
  <c r="X354" i="3"/>
  <c r="X355" i="3"/>
  <c r="X621" i="3"/>
  <c r="X465" i="3"/>
  <c r="X356" i="3"/>
  <c r="X357" i="3"/>
  <c r="X358" i="3"/>
  <c r="X516" i="3"/>
  <c r="X137" i="3"/>
  <c r="X301" i="3"/>
  <c r="X138" i="3"/>
  <c r="X560" i="3"/>
  <c r="X38" i="3"/>
  <c r="X420" i="3"/>
  <c r="X421" i="3"/>
  <c r="X139" i="3"/>
  <c r="X39" i="3"/>
  <c r="X40" i="3"/>
  <c r="X89" i="3"/>
  <c r="X90" i="3"/>
  <c r="X517" i="3"/>
  <c r="X140" i="3"/>
  <c r="X466" i="3"/>
  <c r="X561" i="3"/>
  <c r="X562" i="3"/>
  <c r="X563" i="3"/>
  <c r="X141" i="3"/>
  <c r="X190" i="3"/>
  <c r="X467" i="3"/>
  <c r="X359" i="3"/>
  <c r="X302" i="3"/>
  <c r="X622" i="3"/>
  <c r="X468" i="3"/>
  <c r="X469" i="3"/>
  <c r="X360" i="3"/>
  <c r="X142" i="3"/>
  <c r="X422" i="3"/>
  <c r="X623" i="3"/>
  <c r="X361" i="3"/>
  <c r="X423" i="3"/>
  <c r="X143" i="3"/>
  <c r="X246" i="3"/>
  <c r="X303" i="3"/>
  <c r="X41" i="3"/>
  <c r="X191" i="3"/>
  <c r="X564" i="3"/>
  <c r="X91" i="3"/>
  <c r="X92" i="3"/>
  <c r="X42" i="3"/>
  <c r="X424" i="3"/>
  <c r="X565" i="3"/>
  <c r="X304" i="3"/>
  <c r="X93" i="3"/>
  <c r="X192" i="3"/>
  <c r="X193" i="3"/>
  <c r="X425" i="3"/>
  <c r="X144" i="3"/>
  <c r="X426" i="3"/>
  <c r="X194" i="3"/>
  <c r="X427" i="3"/>
  <c r="X305" i="3"/>
  <c r="X247" i="3"/>
  <c r="X94" i="3"/>
  <c r="X566" i="3"/>
  <c r="X195" i="3"/>
  <c r="X196" i="3"/>
  <c r="X470" i="3"/>
  <c r="X362" i="3"/>
  <c r="X145" i="3"/>
  <c r="X146" i="3"/>
  <c r="X567" i="3"/>
  <c r="X248" i="3"/>
  <c r="X306" i="3"/>
  <c r="X624" i="3"/>
  <c r="X249" i="3"/>
  <c r="X307" i="3"/>
  <c r="X308" i="3"/>
  <c r="X309" i="3"/>
  <c r="X250" i="3"/>
  <c r="X95" i="3"/>
  <c r="X147" i="3"/>
  <c r="X568" i="3"/>
  <c r="X363" i="3"/>
  <c r="X310" i="3"/>
  <c r="X518" i="3"/>
  <c r="X148" i="3"/>
  <c r="X43" i="3"/>
  <c r="X625" i="3"/>
  <c r="X197" i="3"/>
  <c r="X626" i="3"/>
  <c r="X44" i="3"/>
  <c r="X198" i="3"/>
  <c r="X428" i="3"/>
  <c r="X364" i="3"/>
  <c r="X199" i="3"/>
  <c r="X149" i="3"/>
  <c r="X429" i="3"/>
  <c r="X569" i="3"/>
  <c r="X365" i="3"/>
  <c r="X570" i="3"/>
  <c r="X571" i="3"/>
  <c r="X45" i="3"/>
  <c r="X471" i="3"/>
  <c r="X46" i="3"/>
  <c r="X47" i="3"/>
  <c r="X430" i="3"/>
  <c r="X200" i="3"/>
  <c r="X96" i="3"/>
  <c r="X251" i="3"/>
  <c r="X252" i="3"/>
  <c r="X311" i="3"/>
  <c r="X472" i="3"/>
  <c r="X627" i="3"/>
  <c r="X366" i="3"/>
  <c r="X473" i="3"/>
  <c r="X48" i="3"/>
  <c r="X312" i="3"/>
  <c r="X367" i="3"/>
  <c r="X49" i="3"/>
  <c r="X368" i="3"/>
  <c r="X253" i="3"/>
  <c r="X150" i="3"/>
  <c r="X369" i="3"/>
  <c r="X313" i="3"/>
  <c r="X370" i="3"/>
  <c r="X254" i="3"/>
  <c r="X314" i="3"/>
  <c r="X151" i="3"/>
  <c r="X572" i="3"/>
  <c r="X474" i="3"/>
  <c r="X475" i="3"/>
  <c r="X519" i="3"/>
  <c r="X50" i="3"/>
  <c r="X431" i="3"/>
  <c r="X628" i="3"/>
  <c r="X255" i="3"/>
  <c r="X573" i="3"/>
  <c r="X51" i="3"/>
  <c r="X201" i="3"/>
  <c r="X202" i="3"/>
  <c r="X52" i="3"/>
  <c r="X520" i="3"/>
  <c r="X371" i="3"/>
  <c r="X432" i="3"/>
  <c r="X372" i="3"/>
  <c r="X574" i="3"/>
  <c r="X97" i="3"/>
  <c r="X476" i="3"/>
  <c r="X53" i="3"/>
  <c r="X54" i="3"/>
  <c r="X203" i="3"/>
  <c r="X256" i="3"/>
  <c r="X629" i="3"/>
  <c r="X55" i="3"/>
  <c r="X315" i="3"/>
  <c r="X204" i="3"/>
  <c r="X630" i="3"/>
  <c r="X257" i="3"/>
  <c r="X373" i="3"/>
  <c r="X433" i="3"/>
  <c r="X316" i="3"/>
  <c r="X98" i="3"/>
  <c r="X317" i="3"/>
  <c r="X99" i="3"/>
  <c r="X205" i="3"/>
  <c r="X374" i="3"/>
  <c r="X152" i="3"/>
  <c r="X375" i="3"/>
  <c r="X477" i="3"/>
  <c r="X318" i="3"/>
  <c r="X56" i="3"/>
  <c r="X631" i="3"/>
  <c r="X575" i="3"/>
  <c r="X521" i="3"/>
  <c r="X57" i="3"/>
  <c r="X376" i="3"/>
  <c r="X258" i="3"/>
  <c r="X259" i="3"/>
  <c r="X206" i="3"/>
  <c r="X260" i="3"/>
  <c r="X100" i="3"/>
  <c r="X319" i="3"/>
  <c r="X320" i="3"/>
  <c r="X377" i="3"/>
  <c r="X207" i="3"/>
  <c r="X478" i="3"/>
  <c r="X208" i="3"/>
  <c r="X522" i="3"/>
  <c r="X321" i="3"/>
  <c r="X576" i="3"/>
  <c r="X523" i="3"/>
  <c r="X524" i="3"/>
  <c r="X577" i="3"/>
  <c r="X101" i="3"/>
  <c r="X261" i="3"/>
  <c r="X525" i="3"/>
  <c r="X153" i="3"/>
  <c r="X578" i="3"/>
  <c r="X479" i="3"/>
  <c r="X154" i="3"/>
  <c r="X262" i="3"/>
  <c r="X155" i="3"/>
  <c r="X480" i="3"/>
  <c r="X102" i="3"/>
  <c r="X434" i="3"/>
  <c r="X579" i="3"/>
  <c r="X103" i="3"/>
  <c r="X526" i="3"/>
  <c r="X104" i="3"/>
  <c r="X435" i="3"/>
  <c r="X58" i="3"/>
  <c r="X481" i="3"/>
  <c r="X156" i="3"/>
  <c r="X378" i="3"/>
  <c r="X580" i="3"/>
  <c r="X527" i="3"/>
  <c r="X379" i="3"/>
  <c r="X157" i="3"/>
  <c r="X322" i="3"/>
  <c r="X380" i="3"/>
  <c r="X105" i="3"/>
  <c r="X323" i="3"/>
  <c r="X581" i="3"/>
  <c r="X59" i="3"/>
  <c r="X106" i="3"/>
  <c r="X436" i="3"/>
  <c r="X632" i="3"/>
  <c r="X209" i="3"/>
  <c r="X210" i="3"/>
  <c r="X60" i="3"/>
  <c r="X633" i="3"/>
  <c r="X263" i="3"/>
  <c r="X158" i="3"/>
  <c r="X437" i="3"/>
  <c r="X482" i="3"/>
  <c r="X483" i="3"/>
  <c r="X211" i="3"/>
  <c r="X212" i="3"/>
  <c r="X61" i="3"/>
  <c r="X107" i="3"/>
  <c r="X381" i="3"/>
  <c r="X62" i="3"/>
  <c r="X438" i="3"/>
  <c r="X382" i="3"/>
  <c r="X439" i="3"/>
  <c r="X383" i="3"/>
  <c r="X582" i="3"/>
  <c r="X528" i="3"/>
  <c r="X324" i="3"/>
  <c r="X63" i="3"/>
  <c r="X440" i="3"/>
  <c r="X529" i="3"/>
  <c r="X384" i="3"/>
  <c r="X213" i="3"/>
  <c r="X484" i="3"/>
  <c r="X159" i="3"/>
  <c r="X108" i="3"/>
  <c r="X583" i="3"/>
  <c r="X64" i="3"/>
  <c r="W484" i="3"/>
  <c r="W159" i="3"/>
  <c r="W108" i="3"/>
  <c r="W583" i="3"/>
  <c r="W440" i="3"/>
  <c r="W529" i="3"/>
  <c r="W384" i="3"/>
  <c r="W213" i="3"/>
  <c r="W584" i="3"/>
  <c r="W214" i="3"/>
  <c r="W530" i="3"/>
  <c r="W2" i="3"/>
  <c r="W264" i="3"/>
  <c r="W215" i="3"/>
  <c r="W585" i="3"/>
  <c r="W3" i="3"/>
  <c r="W485" i="3"/>
  <c r="W441" i="3"/>
  <c r="W486" i="3"/>
  <c r="W216" i="3"/>
  <c r="W265" i="3"/>
  <c r="W385" i="3"/>
  <c r="W65" i="3"/>
  <c r="W109" i="3"/>
  <c r="W531" i="3"/>
  <c r="W586" i="3"/>
  <c r="W587" i="3"/>
  <c r="W160" i="3"/>
  <c r="W386" i="3"/>
  <c r="W217" i="3"/>
  <c r="W218" i="3"/>
  <c r="W4" i="3"/>
  <c r="W325" i="3"/>
  <c r="W66" i="3"/>
  <c r="W110" i="3"/>
  <c r="W387" i="3"/>
  <c r="W487" i="3"/>
  <c r="W488" i="3"/>
  <c r="W219" i="3"/>
  <c r="W220" i="3"/>
  <c r="W532" i="3"/>
  <c r="W388" i="3"/>
  <c r="W326" i="3"/>
  <c r="W266" i="3"/>
  <c r="W389" i="3"/>
  <c r="W390" i="3"/>
  <c r="W161" i="3"/>
  <c r="W67" i="3"/>
  <c r="W533" i="3"/>
  <c r="W442" i="3"/>
  <c r="W534" i="3"/>
  <c r="W588" i="3"/>
  <c r="W162" i="3"/>
  <c r="W68" i="3"/>
  <c r="W163" i="3"/>
  <c r="W391" i="3"/>
  <c r="W221" i="3"/>
  <c r="W589" i="3"/>
  <c r="W222" i="3"/>
  <c r="W111" i="3"/>
  <c r="W5" i="3"/>
  <c r="W535" i="3"/>
  <c r="W536" i="3"/>
  <c r="W267" i="3"/>
  <c r="W223" i="3"/>
  <c r="W327" i="3"/>
  <c r="W112" i="3"/>
  <c r="W328" i="3"/>
  <c r="W392" i="3"/>
  <c r="W164" i="3"/>
  <c r="W443" i="3"/>
  <c r="W113" i="3"/>
  <c r="W268" i="3"/>
  <c r="W269" i="3"/>
  <c r="W590" i="3"/>
  <c r="W591" i="3"/>
  <c r="W444" i="3"/>
  <c r="W445" i="3"/>
  <c r="W329" i="3"/>
  <c r="W489" i="3"/>
  <c r="W270" i="3"/>
  <c r="W271" i="3"/>
  <c r="W272" i="3"/>
  <c r="W393" i="3"/>
  <c r="W114" i="3"/>
  <c r="W394" i="3"/>
  <c r="W490" i="3"/>
  <c r="W115" i="3"/>
  <c r="W491" i="3"/>
  <c r="W273" i="3"/>
  <c r="W446" i="3"/>
  <c r="W6" i="3"/>
  <c r="W116" i="3"/>
  <c r="W592" i="3"/>
  <c r="W224" i="3"/>
  <c r="W537" i="3"/>
  <c r="W225" i="3"/>
  <c r="W274" i="3"/>
  <c r="W7" i="3"/>
  <c r="W538" i="3"/>
  <c r="W117" i="3"/>
  <c r="W395" i="3"/>
  <c r="W69" i="3"/>
  <c r="W539" i="3"/>
  <c r="W540" i="3"/>
  <c r="W593" i="3"/>
  <c r="W594" i="3"/>
  <c r="W8" i="3"/>
  <c r="W595" i="3"/>
  <c r="W596" i="3"/>
  <c r="W165" i="3"/>
  <c r="W70" i="3"/>
  <c r="W9" i="3"/>
  <c r="W71" i="3"/>
  <c r="W447" i="3"/>
  <c r="W330" i="3"/>
  <c r="W331" i="3"/>
  <c r="W166" i="3"/>
  <c r="W226" i="3"/>
  <c r="W448" i="3"/>
  <c r="W541" i="3"/>
  <c r="W492" i="3"/>
  <c r="W10" i="3"/>
  <c r="W493" i="3"/>
  <c r="W396" i="3"/>
  <c r="W332" i="3"/>
  <c r="W167" i="3"/>
  <c r="W494" i="3"/>
  <c r="W449" i="3"/>
  <c r="W542" i="3"/>
  <c r="W11" i="3"/>
  <c r="W495" i="3"/>
  <c r="W12" i="3"/>
  <c r="W275" i="3"/>
  <c r="W397" i="3"/>
  <c r="W72" i="3"/>
  <c r="W450" i="3"/>
  <c r="W597" i="3"/>
  <c r="W168" i="3"/>
  <c r="W333" i="3"/>
  <c r="W73" i="3"/>
  <c r="W118" i="3"/>
  <c r="W13" i="3"/>
  <c r="W119" i="3"/>
  <c r="W14" i="3"/>
  <c r="W543" i="3"/>
  <c r="W15" i="3"/>
  <c r="W120" i="3"/>
  <c r="W598" i="3"/>
  <c r="W398" i="3"/>
  <c r="W496" i="3"/>
  <c r="W74" i="3"/>
  <c r="W497" i="3"/>
  <c r="W451" i="3"/>
  <c r="W75" i="3"/>
  <c r="W544" i="3"/>
  <c r="W498" i="3"/>
  <c r="W452" i="3"/>
  <c r="W499" i="3"/>
  <c r="W545" i="3"/>
  <c r="W169" i="3"/>
  <c r="W76" i="3"/>
  <c r="W276" i="3"/>
  <c r="W227" i="3"/>
  <c r="W77" i="3"/>
  <c r="W399" i="3"/>
  <c r="W170" i="3"/>
  <c r="W16" i="3"/>
  <c r="W277" i="3"/>
  <c r="W278" i="3"/>
  <c r="W279" i="3"/>
  <c r="W334" i="3"/>
  <c r="W599" i="3"/>
  <c r="W600" i="3"/>
  <c r="W335" i="3"/>
  <c r="W121" i="3"/>
  <c r="W601" i="3"/>
  <c r="W122" i="3"/>
  <c r="W280" i="3"/>
  <c r="W281" i="3"/>
  <c r="W123" i="3"/>
  <c r="W453" i="3"/>
  <c r="W17" i="3"/>
  <c r="W336" i="3"/>
  <c r="W124" i="3"/>
  <c r="W400" i="3"/>
  <c r="W546" i="3"/>
  <c r="W547" i="3"/>
  <c r="W78" i="3"/>
  <c r="W18" i="3"/>
  <c r="W171" i="3"/>
  <c r="W500" i="3"/>
  <c r="W282" i="3"/>
  <c r="W401" i="3"/>
  <c r="W19" i="3"/>
  <c r="W20" i="3"/>
  <c r="W548" i="3"/>
  <c r="W337" i="3"/>
  <c r="W172" i="3"/>
  <c r="W283" i="3"/>
  <c r="W338" i="3"/>
  <c r="W284" i="3"/>
  <c r="W501" i="3"/>
  <c r="W228" i="3"/>
  <c r="W339" i="3"/>
  <c r="W229" i="3"/>
  <c r="W21" i="3"/>
  <c r="W22" i="3"/>
  <c r="W340" i="3"/>
  <c r="W341" i="3"/>
  <c r="W230" i="3"/>
  <c r="W125" i="3"/>
  <c r="W285" i="3"/>
  <c r="W23" i="3"/>
  <c r="W79" i="3"/>
  <c r="W286" i="3"/>
  <c r="W454" i="3"/>
  <c r="W287" i="3"/>
  <c r="W502" i="3"/>
  <c r="W24" i="3"/>
  <c r="W342" i="3"/>
  <c r="W173" i="3"/>
  <c r="W503" i="3"/>
  <c r="W402" i="3"/>
  <c r="W174" i="3"/>
  <c r="W549" i="3"/>
  <c r="W602" i="3"/>
  <c r="W343" i="3"/>
  <c r="W80" i="3"/>
  <c r="W288" i="3"/>
  <c r="W175" i="3"/>
  <c r="W344" i="3"/>
  <c r="W504" i="3"/>
  <c r="W289" i="3"/>
  <c r="W603" i="3"/>
  <c r="W231" i="3"/>
  <c r="W290" i="3"/>
  <c r="W604" i="3"/>
  <c r="W232" i="3"/>
  <c r="W505" i="3"/>
  <c r="W176" i="3"/>
  <c r="W291" i="3"/>
  <c r="W550" i="3"/>
  <c r="W25" i="3"/>
  <c r="W345" i="3"/>
  <c r="W506" i="3"/>
  <c r="W233" i="3"/>
  <c r="W507" i="3"/>
  <c r="W177" i="3"/>
  <c r="W605" i="3"/>
  <c r="W234" i="3"/>
  <c r="W126" i="3"/>
  <c r="W403" i="3"/>
  <c r="W404" i="3"/>
  <c r="W405" i="3"/>
  <c r="W127" i="3"/>
  <c r="W81" i="3"/>
  <c r="W292" i="3"/>
  <c r="W26" i="3"/>
  <c r="W27" i="3"/>
  <c r="W406" i="3"/>
  <c r="W128" i="3"/>
  <c r="W606" i="3"/>
  <c r="W178" i="3"/>
  <c r="W293" i="3"/>
  <c r="W28" i="3"/>
  <c r="W346" i="3"/>
  <c r="W607" i="3"/>
  <c r="W82" i="3"/>
  <c r="W129" i="3"/>
  <c r="W508" i="3"/>
  <c r="W455" i="3"/>
  <c r="W235" i="3"/>
  <c r="W236" i="3"/>
  <c r="W130" i="3"/>
  <c r="W608" i="3"/>
  <c r="W551" i="3"/>
  <c r="W179" i="3"/>
  <c r="W407" i="3"/>
  <c r="W609" i="3"/>
  <c r="W456" i="3"/>
  <c r="W83" i="3"/>
  <c r="W180" i="3"/>
  <c r="W237" i="3"/>
  <c r="W294" i="3"/>
  <c r="W610" i="3"/>
  <c r="W611" i="3"/>
  <c r="W238" i="3"/>
  <c r="W29" i="3"/>
  <c r="W30" i="3"/>
  <c r="W239" i="3"/>
  <c r="W457" i="3"/>
  <c r="W131" i="3"/>
  <c r="W181" i="3"/>
  <c r="W509" i="3"/>
  <c r="W408" i="3"/>
  <c r="W552" i="3"/>
  <c r="W458" i="3"/>
  <c r="W459" i="3"/>
  <c r="W409" i="3"/>
  <c r="W553" i="3"/>
  <c r="W240" i="3"/>
  <c r="W241" i="3"/>
  <c r="W295" i="3"/>
  <c r="W460" i="3"/>
  <c r="W182" i="3"/>
  <c r="W461" i="3"/>
  <c r="W554" i="3"/>
  <c r="W555" i="3"/>
  <c r="W556" i="3"/>
  <c r="W613" i="3"/>
  <c r="W614" i="3"/>
  <c r="W410" i="3"/>
  <c r="W183" i="3"/>
  <c r="W31" i="3"/>
  <c r="W84" i="3"/>
  <c r="W510" i="3"/>
  <c r="W347" i="3"/>
  <c r="W32" i="3"/>
  <c r="W184" i="3"/>
  <c r="W511" i="3"/>
  <c r="W462" i="3"/>
  <c r="W296" i="3"/>
  <c r="W242" i="3"/>
  <c r="W615" i="3"/>
  <c r="W411" i="3"/>
  <c r="W412" i="3"/>
  <c r="W85" i="3"/>
  <c r="W132" i="3"/>
  <c r="W413" i="3"/>
  <c r="W297" i="3"/>
  <c r="W243" i="3"/>
  <c r="W133" i="3"/>
  <c r="W512" i="3"/>
  <c r="W134" i="3"/>
  <c r="W557" i="3"/>
  <c r="W463" i="3"/>
  <c r="W86" i="3"/>
  <c r="W513" i="3"/>
  <c r="W348" i="3"/>
  <c r="W414" i="3"/>
  <c r="W464" i="3"/>
  <c r="W558" i="3"/>
  <c r="W415" i="3"/>
  <c r="W33" i="3"/>
  <c r="W514" i="3"/>
  <c r="W416" i="3"/>
  <c r="W34" i="3"/>
  <c r="W185" i="3"/>
  <c r="W135" i="3"/>
  <c r="W136" i="3"/>
  <c r="W349" i="3"/>
  <c r="W35" i="3"/>
  <c r="W350" i="3"/>
  <c r="W186" i="3"/>
  <c r="W417" i="3"/>
  <c r="W187" i="3"/>
  <c r="W418" i="3"/>
  <c r="W87" i="3"/>
  <c r="W298" i="3"/>
  <c r="W616" i="3"/>
  <c r="W351" i="3"/>
  <c r="W419" i="3"/>
  <c r="W617" i="3"/>
  <c r="W352" i="3"/>
  <c r="W353" i="3"/>
  <c r="W188" i="3"/>
  <c r="W618" i="3"/>
  <c r="W619" i="3"/>
  <c r="W559" i="3"/>
  <c r="W36" i="3"/>
  <c r="W620" i="3"/>
  <c r="W299" i="3"/>
  <c r="W189" i="3"/>
  <c r="W88" i="3"/>
  <c r="W515" i="3"/>
  <c r="W244" i="3"/>
  <c r="W245" i="3"/>
  <c r="W300" i="3"/>
  <c r="W37" i="3"/>
  <c r="W354" i="3"/>
  <c r="W355" i="3"/>
  <c r="W621" i="3"/>
  <c r="W465" i="3"/>
  <c r="W356" i="3"/>
  <c r="W357" i="3"/>
  <c r="W358" i="3"/>
  <c r="W516" i="3"/>
  <c r="W137" i="3"/>
  <c r="W301" i="3"/>
  <c r="W138" i="3"/>
  <c r="W560" i="3"/>
  <c r="W38" i="3"/>
  <c r="W420" i="3"/>
  <c r="W421" i="3"/>
  <c r="W139" i="3"/>
  <c r="W39" i="3"/>
  <c r="W40" i="3"/>
  <c r="W89" i="3"/>
  <c r="W90" i="3"/>
  <c r="W517" i="3"/>
  <c r="W140" i="3"/>
  <c r="W466" i="3"/>
  <c r="W561" i="3"/>
  <c r="W562" i="3"/>
  <c r="W563" i="3"/>
  <c r="W141" i="3"/>
  <c r="W190" i="3"/>
  <c r="W467" i="3"/>
  <c r="W359" i="3"/>
  <c r="W302" i="3"/>
  <c r="W622" i="3"/>
  <c r="W468" i="3"/>
  <c r="W469" i="3"/>
  <c r="W360" i="3"/>
  <c r="W142" i="3"/>
  <c r="W422" i="3"/>
  <c r="W623" i="3"/>
  <c r="W361" i="3"/>
  <c r="W423" i="3"/>
  <c r="W143" i="3"/>
  <c r="W246" i="3"/>
  <c r="W303" i="3"/>
  <c r="W41" i="3"/>
  <c r="W191" i="3"/>
  <c r="W564" i="3"/>
  <c r="W91" i="3"/>
  <c r="W92" i="3"/>
  <c r="W42" i="3"/>
  <c r="W424" i="3"/>
  <c r="W565" i="3"/>
  <c r="W304" i="3"/>
  <c r="W93" i="3"/>
  <c r="W192" i="3"/>
  <c r="W193" i="3"/>
  <c r="W425" i="3"/>
  <c r="W144" i="3"/>
  <c r="W426" i="3"/>
  <c r="W194" i="3"/>
  <c r="W427" i="3"/>
  <c r="W305" i="3"/>
  <c r="W247" i="3"/>
  <c r="W94" i="3"/>
  <c r="W566" i="3"/>
  <c r="W195" i="3"/>
  <c r="W196" i="3"/>
  <c r="W470" i="3"/>
  <c r="W362" i="3"/>
  <c r="W145" i="3"/>
  <c r="W146" i="3"/>
  <c r="W567" i="3"/>
  <c r="W248" i="3"/>
  <c r="W306" i="3"/>
  <c r="W624" i="3"/>
  <c r="W249" i="3"/>
  <c r="W307" i="3"/>
  <c r="W308" i="3"/>
  <c r="W309" i="3"/>
  <c r="W250" i="3"/>
  <c r="W95" i="3"/>
  <c r="W147" i="3"/>
  <c r="W568" i="3"/>
  <c r="W363" i="3"/>
  <c r="W310" i="3"/>
  <c r="W518" i="3"/>
  <c r="W148" i="3"/>
  <c r="W43" i="3"/>
  <c r="W625" i="3"/>
  <c r="W197" i="3"/>
  <c r="W626" i="3"/>
  <c r="W44" i="3"/>
  <c r="W198" i="3"/>
  <c r="W428" i="3"/>
  <c r="W364" i="3"/>
  <c r="W199" i="3"/>
  <c r="W149" i="3"/>
  <c r="W429" i="3"/>
  <c r="W569" i="3"/>
  <c r="W365" i="3"/>
  <c r="W570" i="3"/>
  <c r="W571" i="3"/>
  <c r="W45" i="3"/>
  <c r="W471" i="3"/>
  <c r="W46" i="3"/>
  <c r="W47" i="3"/>
  <c r="W430" i="3"/>
  <c r="W200" i="3"/>
  <c r="W96" i="3"/>
  <c r="W251" i="3"/>
  <c r="W252" i="3"/>
  <c r="W311" i="3"/>
  <c r="W472" i="3"/>
  <c r="W627" i="3"/>
  <c r="W366" i="3"/>
  <c r="W473" i="3"/>
  <c r="W48" i="3"/>
  <c r="W312" i="3"/>
  <c r="W367" i="3"/>
  <c r="W49" i="3"/>
  <c r="W368" i="3"/>
  <c r="W253" i="3"/>
  <c r="W150" i="3"/>
  <c r="W369" i="3"/>
  <c r="W313" i="3"/>
  <c r="W370" i="3"/>
  <c r="W254" i="3"/>
  <c r="W314" i="3"/>
  <c r="W151" i="3"/>
  <c r="W572" i="3"/>
  <c r="W474" i="3"/>
  <c r="W475" i="3"/>
  <c r="W519" i="3"/>
  <c r="W50" i="3"/>
  <c r="W431" i="3"/>
  <c r="W628" i="3"/>
  <c r="W255" i="3"/>
  <c r="W573" i="3"/>
  <c r="W51" i="3"/>
  <c r="W201" i="3"/>
  <c r="W202" i="3"/>
  <c r="W52" i="3"/>
  <c r="W520" i="3"/>
  <c r="W371" i="3"/>
  <c r="W432" i="3"/>
  <c r="W372" i="3"/>
  <c r="W574" i="3"/>
  <c r="W97" i="3"/>
  <c r="W476" i="3"/>
  <c r="W53" i="3"/>
  <c r="W54" i="3"/>
  <c r="W203" i="3"/>
  <c r="W256" i="3"/>
  <c r="W629" i="3"/>
  <c r="W55" i="3"/>
  <c r="W315" i="3"/>
  <c r="W204" i="3"/>
  <c r="W630" i="3"/>
  <c r="W257" i="3"/>
  <c r="W373" i="3"/>
  <c r="W433" i="3"/>
  <c r="W316" i="3"/>
  <c r="W98" i="3"/>
  <c r="W317" i="3"/>
  <c r="W99" i="3"/>
  <c r="W205" i="3"/>
  <c r="W374" i="3"/>
  <c r="W152" i="3"/>
  <c r="W375" i="3"/>
  <c r="W477" i="3"/>
  <c r="W318" i="3"/>
  <c r="W56" i="3"/>
  <c r="W631" i="3"/>
  <c r="W575" i="3"/>
  <c r="W521" i="3"/>
  <c r="W57" i="3"/>
  <c r="W376" i="3"/>
  <c r="W258" i="3"/>
  <c r="W259" i="3"/>
  <c r="W206" i="3"/>
  <c r="W260" i="3"/>
  <c r="W100" i="3"/>
  <c r="W319" i="3"/>
  <c r="W320" i="3"/>
  <c r="W377" i="3"/>
  <c r="W207" i="3"/>
  <c r="W478" i="3"/>
  <c r="W208" i="3"/>
  <c r="W522" i="3"/>
  <c r="W321" i="3"/>
  <c r="W576" i="3"/>
  <c r="W523" i="3"/>
  <c r="W524" i="3"/>
  <c r="W577" i="3"/>
  <c r="W101" i="3"/>
  <c r="W261" i="3"/>
  <c r="W525" i="3"/>
  <c r="W153" i="3"/>
  <c r="W578" i="3"/>
  <c r="W479" i="3"/>
  <c r="W154" i="3"/>
  <c r="W262" i="3"/>
  <c r="W155" i="3"/>
  <c r="W480" i="3"/>
  <c r="W102" i="3"/>
  <c r="W434" i="3"/>
  <c r="W579" i="3"/>
  <c r="W103" i="3"/>
  <c r="W526" i="3"/>
  <c r="W104" i="3"/>
  <c r="W435" i="3"/>
  <c r="W58" i="3"/>
  <c r="W481" i="3"/>
  <c r="W156" i="3"/>
  <c r="W378" i="3"/>
  <c r="W580" i="3"/>
  <c r="W527" i="3"/>
  <c r="W379" i="3"/>
  <c r="W157" i="3"/>
  <c r="W322" i="3"/>
  <c r="W380" i="3"/>
  <c r="W105" i="3"/>
  <c r="W323" i="3"/>
  <c r="W581" i="3"/>
  <c r="W59" i="3"/>
  <c r="W106" i="3"/>
  <c r="W436" i="3"/>
  <c r="W632" i="3"/>
  <c r="W209" i="3"/>
  <c r="W210" i="3"/>
  <c r="W60" i="3"/>
  <c r="W633" i="3"/>
  <c r="W263" i="3"/>
  <c r="W158" i="3"/>
  <c r="W437" i="3"/>
  <c r="W482" i="3"/>
  <c r="W483" i="3"/>
  <c r="W211" i="3"/>
  <c r="W212" i="3"/>
  <c r="W61" i="3"/>
  <c r="W107" i="3"/>
  <c r="W381" i="3"/>
  <c r="W62" i="3"/>
  <c r="W438" i="3"/>
  <c r="W382" i="3"/>
  <c r="W439" i="3"/>
  <c r="W383" i="3"/>
  <c r="W582" i="3"/>
  <c r="W528" i="3"/>
  <c r="W324" i="3"/>
  <c r="W63" i="3"/>
  <c r="W64" i="3"/>
  <c r="S484" i="3"/>
  <c r="S159" i="3"/>
  <c r="S108" i="3"/>
  <c r="S583" i="3"/>
  <c r="S440" i="3"/>
  <c r="S529" i="3"/>
  <c r="S384" i="3"/>
  <c r="S213" i="3"/>
  <c r="S584" i="3"/>
  <c r="S214" i="3"/>
  <c r="S530" i="3"/>
  <c r="S2" i="3"/>
  <c r="S264" i="3"/>
  <c r="S215" i="3"/>
  <c r="S585" i="3"/>
  <c r="S3" i="3"/>
  <c r="S485" i="3"/>
  <c r="S441" i="3"/>
  <c r="S486" i="3"/>
  <c r="S216" i="3"/>
  <c r="S265" i="3"/>
  <c r="S385" i="3"/>
  <c r="S65" i="3"/>
  <c r="S109" i="3"/>
  <c r="S531" i="3"/>
  <c r="S586" i="3"/>
  <c r="S587" i="3"/>
  <c r="S160" i="3"/>
  <c r="S386" i="3"/>
  <c r="S217" i="3"/>
  <c r="S218" i="3"/>
  <c r="S4" i="3"/>
  <c r="S325" i="3"/>
  <c r="S66" i="3"/>
  <c r="S110" i="3"/>
  <c r="S387" i="3"/>
  <c r="S487" i="3"/>
  <c r="S488" i="3"/>
  <c r="S219" i="3"/>
  <c r="S220" i="3"/>
  <c r="S532" i="3"/>
  <c r="S388" i="3"/>
  <c r="S326" i="3"/>
  <c r="S266" i="3"/>
  <c r="S389" i="3"/>
  <c r="S390" i="3"/>
  <c r="S161" i="3"/>
  <c r="S67" i="3"/>
  <c r="S533" i="3"/>
  <c r="S442" i="3"/>
  <c r="S534" i="3"/>
  <c r="S588" i="3"/>
  <c r="S162" i="3"/>
  <c r="S68" i="3"/>
  <c r="S163" i="3"/>
  <c r="S391" i="3"/>
  <c r="S221" i="3"/>
  <c r="S589" i="3"/>
  <c r="S222" i="3"/>
  <c r="S111" i="3"/>
  <c r="S5" i="3"/>
  <c r="S535" i="3"/>
  <c r="S536" i="3"/>
  <c r="S267" i="3"/>
  <c r="S223" i="3"/>
  <c r="S327" i="3"/>
  <c r="S112" i="3"/>
  <c r="S328" i="3"/>
  <c r="S392" i="3"/>
  <c r="S164" i="3"/>
  <c r="S443" i="3"/>
  <c r="S113" i="3"/>
  <c r="S268" i="3"/>
  <c r="S269" i="3"/>
  <c r="S590" i="3"/>
  <c r="S591" i="3"/>
  <c r="S444" i="3"/>
  <c r="S445" i="3"/>
  <c r="S329" i="3"/>
  <c r="S489" i="3"/>
  <c r="S270" i="3"/>
  <c r="S271" i="3"/>
  <c r="S272" i="3"/>
  <c r="S393" i="3"/>
  <c r="S114" i="3"/>
  <c r="S394" i="3"/>
  <c r="S490" i="3"/>
  <c r="S115" i="3"/>
  <c r="S491" i="3"/>
  <c r="S273" i="3"/>
  <c r="S446" i="3"/>
  <c r="S6" i="3"/>
  <c r="S116" i="3"/>
  <c r="S592" i="3"/>
  <c r="S224" i="3"/>
  <c r="S537" i="3"/>
  <c r="S225" i="3"/>
  <c r="S274" i="3"/>
  <c r="S7" i="3"/>
  <c r="S538" i="3"/>
  <c r="S117" i="3"/>
  <c r="S395" i="3"/>
  <c r="S69" i="3"/>
  <c r="S539" i="3"/>
  <c r="S540" i="3"/>
  <c r="S593" i="3"/>
  <c r="S594" i="3"/>
  <c r="S8" i="3"/>
  <c r="S595" i="3"/>
  <c r="S596" i="3"/>
  <c r="S165" i="3"/>
  <c r="S70" i="3"/>
  <c r="S9" i="3"/>
  <c r="S71" i="3"/>
  <c r="S447" i="3"/>
  <c r="S330" i="3"/>
  <c r="S331" i="3"/>
  <c r="S166" i="3"/>
  <c r="S226" i="3"/>
  <c r="S448" i="3"/>
  <c r="S541" i="3"/>
  <c r="S492" i="3"/>
  <c r="S10" i="3"/>
  <c r="S493" i="3"/>
  <c r="S396" i="3"/>
  <c r="S332" i="3"/>
  <c r="S167" i="3"/>
  <c r="S494" i="3"/>
  <c r="S449" i="3"/>
  <c r="S542" i="3"/>
  <c r="S11" i="3"/>
  <c r="S495" i="3"/>
  <c r="S12" i="3"/>
  <c r="S275" i="3"/>
  <c r="S397" i="3"/>
  <c r="S72" i="3"/>
  <c r="S450" i="3"/>
  <c r="S597" i="3"/>
  <c r="S168" i="3"/>
  <c r="S333" i="3"/>
  <c r="S73" i="3"/>
  <c r="S118" i="3"/>
  <c r="S13" i="3"/>
  <c r="S119" i="3"/>
  <c r="S14" i="3"/>
  <c r="S543" i="3"/>
  <c r="S15" i="3"/>
  <c r="S120" i="3"/>
  <c r="S598" i="3"/>
  <c r="S398" i="3"/>
  <c r="S496" i="3"/>
  <c r="S74" i="3"/>
  <c r="S497" i="3"/>
  <c r="S451" i="3"/>
  <c r="S75" i="3"/>
  <c r="S544" i="3"/>
  <c r="S498" i="3"/>
  <c r="S452" i="3"/>
  <c r="S499" i="3"/>
  <c r="S545" i="3"/>
  <c r="S169" i="3"/>
  <c r="S76" i="3"/>
  <c r="S276" i="3"/>
  <c r="S227" i="3"/>
  <c r="S77" i="3"/>
  <c r="S399" i="3"/>
  <c r="S170" i="3"/>
  <c r="S16" i="3"/>
  <c r="S277" i="3"/>
  <c r="S278" i="3"/>
  <c r="S279" i="3"/>
  <c r="S334" i="3"/>
  <c r="S599" i="3"/>
  <c r="S600" i="3"/>
  <c r="S335" i="3"/>
  <c r="S121" i="3"/>
  <c r="S601" i="3"/>
  <c r="S122" i="3"/>
  <c r="S280" i="3"/>
  <c r="S281" i="3"/>
  <c r="S123" i="3"/>
  <c r="S453" i="3"/>
  <c r="S17" i="3"/>
  <c r="S336" i="3"/>
  <c r="S124" i="3"/>
  <c r="S400" i="3"/>
  <c r="S546" i="3"/>
  <c r="S547" i="3"/>
  <c r="S78" i="3"/>
  <c r="S18" i="3"/>
  <c r="S171" i="3"/>
  <c r="S500" i="3"/>
  <c r="S282" i="3"/>
  <c r="S401" i="3"/>
  <c r="S19" i="3"/>
  <c r="S20" i="3"/>
  <c r="S548" i="3"/>
  <c r="S337" i="3"/>
  <c r="S172" i="3"/>
  <c r="S283" i="3"/>
  <c r="S338" i="3"/>
  <c r="S284" i="3"/>
  <c r="S501" i="3"/>
  <c r="S228" i="3"/>
  <c r="S339" i="3"/>
  <c r="S229" i="3"/>
  <c r="S21" i="3"/>
  <c r="S22" i="3"/>
  <c r="S340" i="3"/>
  <c r="S341" i="3"/>
  <c r="S230" i="3"/>
  <c r="S125" i="3"/>
  <c r="S285" i="3"/>
  <c r="S23" i="3"/>
  <c r="S79" i="3"/>
  <c r="S286" i="3"/>
  <c r="S454" i="3"/>
  <c r="S287" i="3"/>
  <c r="S502" i="3"/>
  <c r="S24" i="3"/>
  <c r="S342" i="3"/>
  <c r="S173" i="3"/>
  <c r="S503" i="3"/>
  <c r="S402" i="3"/>
  <c r="S174" i="3"/>
  <c r="S549" i="3"/>
  <c r="S602" i="3"/>
  <c r="S343" i="3"/>
  <c r="S80" i="3"/>
  <c r="S288" i="3"/>
  <c r="S175" i="3"/>
  <c r="S344" i="3"/>
  <c r="S504" i="3"/>
  <c r="S289" i="3"/>
  <c r="S603" i="3"/>
  <c r="S231" i="3"/>
  <c r="S290" i="3"/>
  <c r="S604" i="3"/>
  <c r="S232" i="3"/>
  <c r="S505" i="3"/>
  <c r="S176" i="3"/>
  <c r="S291" i="3"/>
  <c r="S550" i="3"/>
  <c r="S25" i="3"/>
  <c r="S345" i="3"/>
  <c r="S506" i="3"/>
  <c r="S233" i="3"/>
  <c r="S507" i="3"/>
  <c r="S177" i="3"/>
  <c r="S605" i="3"/>
  <c r="S234" i="3"/>
  <c r="S126" i="3"/>
  <c r="S403" i="3"/>
  <c r="S404" i="3"/>
  <c r="S405" i="3"/>
  <c r="S127" i="3"/>
  <c r="S81" i="3"/>
  <c r="S292" i="3"/>
  <c r="S26" i="3"/>
  <c r="S27" i="3"/>
  <c r="S406" i="3"/>
  <c r="S128" i="3"/>
  <c r="S606" i="3"/>
  <c r="S178" i="3"/>
  <c r="S293" i="3"/>
  <c r="S28" i="3"/>
  <c r="S346" i="3"/>
  <c r="S607" i="3"/>
  <c r="S82" i="3"/>
  <c r="S129" i="3"/>
  <c r="S508" i="3"/>
  <c r="S455" i="3"/>
  <c r="S235" i="3"/>
  <c r="S236" i="3"/>
  <c r="S130" i="3"/>
  <c r="S608" i="3"/>
  <c r="S551" i="3"/>
  <c r="S179" i="3"/>
  <c r="S407" i="3"/>
  <c r="S609" i="3"/>
  <c r="S456" i="3"/>
  <c r="S83" i="3"/>
  <c r="S180" i="3"/>
  <c r="S237" i="3"/>
  <c r="S294" i="3"/>
  <c r="S610" i="3"/>
  <c r="S611" i="3"/>
  <c r="S612" i="3"/>
  <c r="S238" i="3"/>
  <c r="S29" i="3"/>
  <c r="S30" i="3"/>
  <c r="S239" i="3"/>
  <c r="S457" i="3"/>
  <c r="S131" i="3"/>
  <c r="S181" i="3"/>
  <c r="S509" i="3"/>
  <c r="S408" i="3"/>
  <c r="S552" i="3"/>
  <c r="S458" i="3"/>
  <c r="S459" i="3"/>
  <c r="S409" i="3"/>
  <c r="S553" i="3"/>
  <c r="S240" i="3"/>
  <c r="S241" i="3"/>
  <c r="S295" i="3"/>
  <c r="S460" i="3"/>
  <c r="S182" i="3"/>
  <c r="S461" i="3"/>
  <c r="S554" i="3"/>
  <c r="S555" i="3"/>
  <c r="S556" i="3"/>
  <c r="S613" i="3"/>
  <c r="S614" i="3"/>
  <c r="S410" i="3"/>
  <c r="S183" i="3"/>
  <c r="S31" i="3"/>
  <c r="S84" i="3"/>
  <c r="S510" i="3"/>
  <c r="S347" i="3"/>
  <c r="S32" i="3"/>
  <c r="S184" i="3"/>
  <c r="S511" i="3"/>
  <c r="S462" i="3"/>
  <c r="S296" i="3"/>
  <c r="S242" i="3"/>
  <c r="S615" i="3"/>
  <c r="S411" i="3"/>
  <c r="S412" i="3"/>
  <c r="S85" i="3"/>
  <c r="S132" i="3"/>
  <c r="S413" i="3"/>
  <c r="S297" i="3"/>
  <c r="S243" i="3"/>
  <c r="S133" i="3"/>
  <c r="S512" i="3"/>
  <c r="S134" i="3"/>
  <c r="S557" i="3"/>
  <c r="S463" i="3"/>
  <c r="S86" i="3"/>
  <c r="S513" i="3"/>
  <c r="S348" i="3"/>
  <c r="S414" i="3"/>
  <c r="S464" i="3"/>
  <c r="S558" i="3"/>
  <c r="S415" i="3"/>
  <c r="S33" i="3"/>
  <c r="S514" i="3"/>
  <c r="S416" i="3"/>
  <c r="S34" i="3"/>
  <c r="S185" i="3"/>
  <c r="S135" i="3"/>
  <c r="S136" i="3"/>
  <c r="S349" i="3"/>
  <c r="S35" i="3"/>
  <c r="S350" i="3"/>
  <c r="S186" i="3"/>
  <c r="S417" i="3"/>
  <c r="S187" i="3"/>
  <c r="S418" i="3"/>
  <c r="S87" i="3"/>
  <c r="S298" i="3"/>
  <c r="S616" i="3"/>
  <c r="S351" i="3"/>
  <c r="S419" i="3"/>
  <c r="S617" i="3"/>
  <c r="S352" i="3"/>
  <c r="S353" i="3"/>
  <c r="S188" i="3"/>
  <c r="S618" i="3"/>
  <c r="S619" i="3"/>
  <c r="S559" i="3"/>
  <c r="S36" i="3"/>
  <c r="S620" i="3"/>
  <c r="S299" i="3"/>
  <c r="S189" i="3"/>
  <c r="S88" i="3"/>
  <c r="S515" i="3"/>
  <c r="S244" i="3"/>
  <c r="S245" i="3"/>
  <c r="S300" i="3"/>
  <c r="S37" i="3"/>
  <c r="S354" i="3"/>
  <c r="S355" i="3"/>
  <c r="S621" i="3"/>
  <c r="S465" i="3"/>
  <c r="S356" i="3"/>
  <c r="S357" i="3"/>
  <c r="S358" i="3"/>
  <c r="S516" i="3"/>
  <c r="S137" i="3"/>
  <c r="S301" i="3"/>
  <c r="S138" i="3"/>
  <c r="S560" i="3"/>
  <c r="S38" i="3"/>
  <c r="S420" i="3"/>
  <c r="S421" i="3"/>
  <c r="S139" i="3"/>
  <c r="S39" i="3"/>
  <c r="S40" i="3"/>
  <c r="S89" i="3"/>
  <c r="S90" i="3"/>
  <c r="S517" i="3"/>
  <c r="S140" i="3"/>
  <c r="S466" i="3"/>
  <c r="S561" i="3"/>
  <c r="S562" i="3"/>
  <c r="S563" i="3"/>
  <c r="S141" i="3"/>
  <c r="S190" i="3"/>
  <c r="S467" i="3"/>
  <c r="S359" i="3"/>
  <c r="S302" i="3"/>
  <c r="S622" i="3"/>
  <c r="S468" i="3"/>
  <c r="S469" i="3"/>
  <c r="S360" i="3"/>
  <c r="S142" i="3"/>
  <c r="S422" i="3"/>
  <c r="S623" i="3"/>
  <c r="S361" i="3"/>
  <c r="S423" i="3"/>
  <c r="S143" i="3"/>
  <c r="S246" i="3"/>
  <c r="S303" i="3"/>
  <c r="S41" i="3"/>
  <c r="S191" i="3"/>
  <c r="S564" i="3"/>
  <c r="S91" i="3"/>
  <c r="S92" i="3"/>
  <c r="S42" i="3"/>
  <c r="S424" i="3"/>
  <c r="S565" i="3"/>
  <c r="S304" i="3"/>
  <c r="S93" i="3"/>
  <c r="S192" i="3"/>
  <c r="S193" i="3"/>
  <c r="S425" i="3"/>
  <c r="S144" i="3"/>
  <c r="S426" i="3"/>
  <c r="S194" i="3"/>
  <c r="S427" i="3"/>
  <c r="S305" i="3"/>
  <c r="S247" i="3"/>
  <c r="S94" i="3"/>
  <c r="S566" i="3"/>
  <c r="S195" i="3"/>
  <c r="S196" i="3"/>
  <c r="S470" i="3"/>
  <c r="S362" i="3"/>
  <c r="S145" i="3"/>
  <c r="S146" i="3"/>
  <c r="S567" i="3"/>
  <c r="S248" i="3"/>
  <c r="S306" i="3"/>
  <c r="S624" i="3"/>
  <c r="S249" i="3"/>
  <c r="S307" i="3"/>
  <c r="S308" i="3"/>
  <c r="S309" i="3"/>
  <c r="S250" i="3"/>
  <c r="S95" i="3"/>
  <c r="S147" i="3"/>
  <c r="S568" i="3"/>
  <c r="S363" i="3"/>
  <c r="S310" i="3"/>
  <c r="S518" i="3"/>
  <c r="S148" i="3"/>
  <c r="S43" i="3"/>
  <c r="S625" i="3"/>
  <c r="S197" i="3"/>
  <c r="S626" i="3"/>
  <c r="S44" i="3"/>
  <c r="S198" i="3"/>
  <c r="S428" i="3"/>
  <c r="S364" i="3"/>
  <c r="S199" i="3"/>
  <c r="S149" i="3"/>
  <c r="S429" i="3"/>
  <c r="S569" i="3"/>
  <c r="S365" i="3"/>
  <c r="S570" i="3"/>
  <c r="S571" i="3"/>
  <c r="S45" i="3"/>
  <c r="S471" i="3"/>
  <c r="S46" i="3"/>
  <c r="S47" i="3"/>
  <c r="S430" i="3"/>
  <c r="S200" i="3"/>
  <c r="S96" i="3"/>
  <c r="S251" i="3"/>
  <c r="S252" i="3"/>
  <c r="S311" i="3"/>
  <c r="S472" i="3"/>
  <c r="S627" i="3"/>
  <c r="S366" i="3"/>
  <c r="S473" i="3"/>
  <c r="S48" i="3"/>
  <c r="S312" i="3"/>
  <c r="S367" i="3"/>
  <c r="S49" i="3"/>
  <c r="S368" i="3"/>
  <c r="S253" i="3"/>
  <c r="S150" i="3"/>
  <c r="S369" i="3"/>
  <c r="S313" i="3"/>
  <c r="S370" i="3"/>
  <c r="S254" i="3"/>
  <c r="S314" i="3"/>
  <c r="S151" i="3"/>
  <c r="S572" i="3"/>
  <c r="S474" i="3"/>
  <c r="S475" i="3"/>
  <c r="S519" i="3"/>
  <c r="S50" i="3"/>
  <c r="S431" i="3"/>
  <c r="S628" i="3"/>
  <c r="S255" i="3"/>
  <c r="S573" i="3"/>
  <c r="S51" i="3"/>
  <c r="S201" i="3"/>
  <c r="S202" i="3"/>
  <c r="S52" i="3"/>
  <c r="S520" i="3"/>
  <c r="S371" i="3"/>
  <c r="S432" i="3"/>
  <c r="S372" i="3"/>
  <c r="S574" i="3"/>
  <c r="S97" i="3"/>
  <c r="S476" i="3"/>
  <c r="S53" i="3"/>
  <c r="S54" i="3"/>
  <c r="S203" i="3"/>
  <c r="S256" i="3"/>
  <c r="S629" i="3"/>
  <c r="S55" i="3"/>
  <c r="S315" i="3"/>
  <c r="S204" i="3"/>
  <c r="S630" i="3"/>
  <c r="S257" i="3"/>
  <c r="S373" i="3"/>
  <c r="S433" i="3"/>
  <c r="S316" i="3"/>
  <c r="S98" i="3"/>
  <c r="S317" i="3"/>
  <c r="S99" i="3"/>
  <c r="S205" i="3"/>
  <c r="S374" i="3"/>
  <c r="S152" i="3"/>
  <c r="S375" i="3"/>
  <c r="S477" i="3"/>
  <c r="S318" i="3"/>
  <c r="S56" i="3"/>
  <c r="S631" i="3"/>
  <c r="S575" i="3"/>
  <c r="S521" i="3"/>
  <c r="S57" i="3"/>
  <c r="S376" i="3"/>
  <c r="S258" i="3"/>
  <c r="S259" i="3"/>
  <c r="S206" i="3"/>
  <c r="S260" i="3"/>
  <c r="S100" i="3"/>
  <c r="S319" i="3"/>
  <c r="S320" i="3"/>
  <c r="S377" i="3"/>
  <c r="S207" i="3"/>
  <c r="S478" i="3"/>
  <c r="S208" i="3"/>
  <c r="S522" i="3"/>
  <c r="S321" i="3"/>
  <c r="S576" i="3"/>
  <c r="S523" i="3"/>
  <c r="S524" i="3"/>
  <c r="S577" i="3"/>
  <c r="S101" i="3"/>
  <c r="S261" i="3"/>
  <c r="S525" i="3"/>
  <c r="S153" i="3"/>
  <c r="S578" i="3"/>
  <c r="S479" i="3"/>
  <c r="S154" i="3"/>
  <c r="S262" i="3"/>
  <c r="S155" i="3"/>
  <c r="S480" i="3"/>
  <c r="S102" i="3"/>
  <c r="S434" i="3"/>
  <c r="S579" i="3"/>
  <c r="S103" i="3"/>
  <c r="S526" i="3"/>
  <c r="S104" i="3"/>
  <c r="S435" i="3"/>
  <c r="S58" i="3"/>
  <c r="S481" i="3"/>
  <c r="S156" i="3"/>
  <c r="S378" i="3"/>
  <c r="S580" i="3"/>
  <c r="S527" i="3"/>
  <c r="S379" i="3"/>
  <c r="S157" i="3"/>
  <c r="S322" i="3"/>
  <c r="S380" i="3"/>
  <c r="S105" i="3"/>
  <c r="S323" i="3"/>
  <c r="S581" i="3"/>
  <c r="S59" i="3"/>
  <c r="S106" i="3"/>
  <c r="S436" i="3"/>
  <c r="S632" i="3"/>
  <c r="S209" i="3"/>
  <c r="S210" i="3"/>
  <c r="S60" i="3"/>
  <c r="S633" i="3"/>
  <c r="S263" i="3"/>
  <c r="S158" i="3"/>
  <c r="S437" i="3"/>
  <c r="S482" i="3"/>
  <c r="S483" i="3"/>
  <c r="S211" i="3"/>
  <c r="S212" i="3"/>
  <c r="S61" i="3"/>
  <c r="S107" i="3"/>
  <c r="S381" i="3"/>
  <c r="S62" i="3"/>
  <c r="S438" i="3"/>
  <c r="S382" i="3"/>
  <c r="S439" i="3"/>
  <c r="S383" i="3"/>
  <c r="S582" i="3"/>
  <c r="S528" i="3"/>
  <c r="S324" i="3"/>
  <c r="S63" i="3"/>
  <c r="S64" i="3"/>
  <c r="AA3" i="3" l="1" a="1"/>
  <c r="AA3" i="3" s="1"/>
  <c r="AB3" i="3" s="1"/>
  <c r="AA6" i="3" a="1"/>
  <c r="AA6" i="3" s="1"/>
  <c r="AB6" i="3" s="1"/>
  <c r="AA10" i="3" a="1"/>
  <c r="AA10" i="3" s="1"/>
  <c r="AB10" i="3" s="1"/>
  <c r="AA13" i="3" a="1"/>
  <c r="AA13" i="3" s="1"/>
  <c r="AB13" i="3" s="1"/>
  <c r="AA17" i="3" a="1"/>
  <c r="AA17" i="3" s="1"/>
  <c r="AB17" i="3" s="1"/>
  <c r="AA20" i="3" a="1"/>
  <c r="AA20" i="3" s="1"/>
  <c r="AB20" i="3" s="1"/>
  <c r="AA24" i="3" a="1"/>
  <c r="AA24" i="3" s="1"/>
  <c r="AB24" i="3" s="1"/>
  <c r="AA27" i="3" a="1"/>
  <c r="AA27" i="3" s="1"/>
  <c r="AB27" i="3" s="1"/>
  <c r="AA31" i="3" a="1"/>
  <c r="AA31" i="3" s="1"/>
  <c r="AB31" i="3" s="1"/>
  <c r="AA38" i="3" a="1"/>
  <c r="AA38" i="3" s="1"/>
  <c r="AB38" i="3" s="1"/>
  <c r="AA42" i="3" a="1"/>
  <c r="AA42" i="3" s="1"/>
  <c r="AB42" i="3" s="1"/>
  <c r="AA45" i="3" a="1"/>
  <c r="AA45" i="3" s="1"/>
  <c r="AB45" i="3" s="1"/>
  <c r="AA49" i="3" a="1"/>
  <c r="AA49" i="3" s="1"/>
  <c r="AB49" i="3" s="1"/>
  <c r="AA52" i="3" a="1"/>
  <c r="AA52" i="3" s="1"/>
  <c r="AB52" i="3" s="1"/>
  <c r="AA55" i="3" a="1"/>
  <c r="AA55" i="3" s="1"/>
  <c r="AB55" i="3" s="1"/>
  <c r="AA62" i="3" a="1"/>
  <c r="AA62" i="3" s="1"/>
  <c r="AB62" i="3" s="1"/>
  <c r="AA65" i="3" a="1"/>
  <c r="AA65" i="3" s="1"/>
  <c r="AB65" i="3" s="1"/>
  <c r="AA68" i="3" a="1"/>
  <c r="AA68" i="3" s="1"/>
  <c r="AB68" i="3" s="1"/>
  <c r="AA71" i="3" a="1"/>
  <c r="AA71" i="3" s="1"/>
  <c r="AB71" i="3" s="1"/>
  <c r="AA78" i="3" a="1"/>
  <c r="AA78" i="3" s="1"/>
  <c r="AB78" i="3" s="1"/>
  <c r="AA81" i="3" a="1"/>
  <c r="AA81" i="3" s="1"/>
  <c r="AB81" i="3" s="1"/>
  <c r="AA84" i="3" a="1"/>
  <c r="AA84" i="3" s="1"/>
  <c r="AB84" i="3" s="1"/>
  <c r="AA87" i="3" a="1"/>
  <c r="AA87" i="3" s="1"/>
  <c r="AB87" i="3" s="1"/>
  <c r="AA94" i="3" a="1"/>
  <c r="AA94" i="3" s="1"/>
  <c r="AB94" i="3" s="1"/>
  <c r="AA97" i="3" a="1"/>
  <c r="AA97" i="3" s="1"/>
  <c r="AB97" i="3" s="1"/>
  <c r="AA100" i="3" a="1"/>
  <c r="AA100" i="3" s="1"/>
  <c r="AB100" i="3" s="1"/>
  <c r="AA103" i="3" a="1"/>
  <c r="AA103" i="3" s="1"/>
  <c r="AB103" i="3" s="1"/>
  <c r="AA110" i="3" a="1"/>
  <c r="AA110" i="3" s="1"/>
  <c r="AB110" i="3" s="1"/>
  <c r="AA113" i="3" a="1"/>
  <c r="AA113" i="3" s="1"/>
  <c r="AB113" i="3" s="1"/>
  <c r="AA116" i="3" a="1"/>
  <c r="AA116" i="3" s="1"/>
  <c r="AB116" i="3" s="1"/>
  <c r="AA119" i="3" a="1"/>
  <c r="AA119" i="3" s="1"/>
  <c r="AB119" i="3" s="1"/>
  <c r="AA126" i="3" a="1"/>
  <c r="AA126" i="3" s="1"/>
  <c r="AB126" i="3" s="1"/>
  <c r="AA129" i="3" a="1"/>
  <c r="AA129" i="3" s="1"/>
  <c r="AB129" i="3" s="1"/>
  <c r="AA132" i="3" a="1"/>
  <c r="AA132" i="3" s="1"/>
  <c r="AB132" i="3" s="1"/>
  <c r="AA135" i="3" a="1"/>
  <c r="AA135" i="3" s="1"/>
  <c r="AB135" i="3" s="1"/>
  <c r="AA142" i="3" a="1"/>
  <c r="AA142" i="3" s="1"/>
  <c r="AB142" i="3" s="1"/>
  <c r="AA145" i="3" a="1"/>
  <c r="AA145" i="3" s="1"/>
  <c r="AB145" i="3" s="1"/>
  <c r="AA148" i="3" a="1"/>
  <c r="AA148" i="3" s="1"/>
  <c r="AB148" i="3" s="1"/>
  <c r="AA151" i="3" a="1"/>
  <c r="AA151" i="3" s="1"/>
  <c r="AB151" i="3" s="1"/>
  <c r="AA158" i="3" a="1"/>
  <c r="AA158" i="3" s="1"/>
  <c r="AB158" i="3" s="1"/>
  <c r="AA161" i="3" a="1"/>
  <c r="AA161" i="3" s="1"/>
  <c r="AB161" i="3" s="1"/>
  <c r="AA164" i="3" a="1"/>
  <c r="AA164" i="3" s="1"/>
  <c r="AB164" i="3" s="1"/>
  <c r="AA167" i="3" a="1"/>
  <c r="AA167" i="3" s="1"/>
  <c r="AB167" i="3" s="1"/>
  <c r="AA174" i="3" a="1"/>
  <c r="AA174" i="3" s="1"/>
  <c r="AB174" i="3" s="1"/>
  <c r="AA177" i="3" a="1"/>
  <c r="AA177" i="3" s="1"/>
  <c r="AB177" i="3" s="1"/>
  <c r="AA180" i="3" a="1"/>
  <c r="AA180" i="3" s="1"/>
  <c r="AB180" i="3" s="1"/>
  <c r="AA187" i="3" a="1"/>
  <c r="AA187" i="3" s="1"/>
  <c r="AB187" i="3" s="1"/>
  <c r="AA190" i="3" a="1"/>
  <c r="AA190" i="3" s="1"/>
  <c r="AB190" i="3" s="1"/>
  <c r="AA193" i="3" a="1"/>
  <c r="AA193" i="3" s="1"/>
  <c r="AB193" i="3" s="1"/>
  <c r="AA196" i="3" a="1"/>
  <c r="AA196" i="3" s="1"/>
  <c r="AB196" i="3" s="1"/>
  <c r="AA4" i="3" a="1"/>
  <c r="AA4" i="3" s="1"/>
  <c r="AB4" i="3" s="1"/>
  <c r="AA7" i="3" a="1"/>
  <c r="AA7" i="3" s="1"/>
  <c r="AB7" i="3" s="1"/>
  <c r="AA14" i="3" a="1"/>
  <c r="AA14" i="3" s="1"/>
  <c r="AB14" i="3" s="1"/>
  <c r="AA18" i="3" a="1"/>
  <c r="AA18" i="3" s="1"/>
  <c r="AB18" i="3" s="1"/>
  <c r="AA21" i="3" a="1"/>
  <c r="AA21" i="3" s="1"/>
  <c r="AB21" i="3" s="1"/>
  <c r="AA25" i="3" a="1"/>
  <c r="AA25" i="3" s="1"/>
  <c r="AB25" i="3" s="1"/>
  <c r="AA28" i="3" a="1"/>
  <c r="AA28" i="3" s="1"/>
  <c r="AB28" i="3" s="1"/>
  <c r="AA32" i="3" a="1"/>
  <c r="AA32" i="3" s="1"/>
  <c r="AB32" i="3" s="1"/>
  <c r="AA35" i="3" a="1"/>
  <c r="AA35" i="3" s="1"/>
  <c r="AB35" i="3" s="1"/>
  <c r="AA39" i="3" a="1"/>
  <c r="AA39" i="3" s="1"/>
  <c r="AB39" i="3" s="1"/>
  <c r="AA46" i="3" a="1"/>
  <c r="AA46" i="3" s="1"/>
  <c r="AB46" i="3" s="1"/>
  <c r="AA50" i="3" a="1"/>
  <c r="AA50" i="3" s="1"/>
  <c r="AB50" i="3" s="1"/>
  <c r="AA53" i="3" a="1"/>
  <c r="AA53" i="3" s="1"/>
  <c r="AB53" i="3" s="1"/>
  <c r="AA56" i="3" a="1"/>
  <c r="AA56" i="3" s="1"/>
  <c r="AB56" i="3" s="1"/>
  <c r="AA59" i="3" a="1"/>
  <c r="AA59" i="3" s="1"/>
  <c r="AB59" i="3" s="1"/>
  <c r="AA66" i="3" a="1"/>
  <c r="AA66" i="3" s="1"/>
  <c r="AB66" i="3" s="1"/>
  <c r="AA69" i="3" a="1"/>
  <c r="AA69" i="3" s="1"/>
  <c r="AB69" i="3" s="1"/>
  <c r="AA72" i="3" a="1"/>
  <c r="AA72" i="3" s="1"/>
  <c r="AB72" i="3" s="1"/>
  <c r="AA75" i="3" a="1"/>
  <c r="AA75" i="3" s="1"/>
  <c r="AB75" i="3" s="1"/>
  <c r="AA82" i="3" a="1"/>
  <c r="AA82" i="3" s="1"/>
  <c r="AB82" i="3" s="1"/>
  <c r="AA85" i="3" a="1"/>
  <c r="AA85" i="3" s="1"/>
  <c r="AB85" i="3" s="1"/>
  <c r="AA88" i="3" a="1"/>
  <c r="AA88" i="3" s="1"/>
  <c r="AB88" i="3" s="1"/>
  <c r="AA91" i="3" a="1"/>
  <c r="AA91" i="3" s="1"/>
  <c r="AB91" i="3" s="1"/>
  <c r="AA98" i="3" a="1"/>
  <c r="AA98" i="3" s="1"/>
  <c r="AB98" i="3" s="1"/>
  <c r="AA101" i="3" a="1"/>
  <c r="AA101" i="3" s="1"/>
  <c r="AB101" i="3" s="1"/>
  <c r="AA104" i="3" a="1"/>
  <c r="AA104" i="3" s="1"/>
  <c r="AB104" i="3" s="1"/>
  <c r="AA107" i="3" a="1"/>
  <c r="AA107" i="3" s="1"/>
  <c r="AB107" i="3" s="1"/>
  <c r="AA114" i="3" a="1"/>
  <c r="AA114" i="3" s="1"/>
  <c r="AB114" i="3" s="1"/>
  <c r="AA117" i="3" a="1"/>
  <c r="AA117" i="3" s="1"/>
  <c r="AB117" i="3" s="1"/>
  <c r="AA120" i="3" a="1"/>
  <c r="AA120" i="3" s="1"/>
  <c r="AB120" i="3" s="1"/>
  <c r="AA123" i="3" a="1"/>
  <c r="AA123" i="3" s="1"/>
  <c r="AB123" i="3" s="1"/>
  <c r="AA130" i="3" a="1"/>
  <c r="AA130" i="3" s="1"/>
  <c r="AB130" i="3" s="1"/>
  <c r="AA133" i="3" a="1"/>
  <c r="AA133" i="3" s="1"/>
  <c r="AB133" i="3" s="1"/>
  <c r="AA136" i="3" a="1"/>
  <c r="AA136" i="3" s="1"/>
  <c r="AB136" i="3" s="1"/>
  <c r="AA139" i="3" a="1"/>
  <c r="AA139" i="3" s="1"/>
  <c r="AB139" i="3" s="1"/>
  <c r="AA146" i="3" a="1"/>
  <c r="AA146" i="3" s="1"/>
  <c r="AB146" i="3" s="1"/>
  <c r="AA149" i="3" a="1"/>
  <c r="AA149" i="3" s="1"/>
  <c r="AB149" i="3" s="1"/>
  <c r="AA152" i="3" a="1"/>
  <c r="AA152" i="3" s="1"/>
  <c r="AB152" i="3" s="1"/>
  <c r="AA155" i="3" a="1"/>
  <c r="AA155" i="3" s="1"/>
  <c r="AB155" i="3" s="1"/>
  <c r="AA162" i="3" a="1"/>
  <c r="AA162" i="3" s="1"/>
  <c r="AB162" i="3" s="1"/>
  <c r="AA165" i="3" a="1"/>
  <c r="AA165" i="3" s="1"/>
  <c r="AB165" i="3" s="1"/>
  <c r="AA168" i="3" a="1"/>
  <c r="AA168" i="3" s="1"/>
  <c r="AB168" i="3" s="1"/>
  <c r="AA171" i="3" a="1"/>
  <c r="AA171" i="3" s="1"/>
  <c r="AB171" i="3" s="1"/>
  <c r="AA175" i="3" a="1"/>
  <c r="AA175" i="3" s="1"/>
  <c r="AB175" i="3" s="1"/>
  <c r="AA178" i="3" a="1"/>
  <c r="AA178" i="3" s="1"/>
  <c r="AB178" i="3" s="1"/>
  <c r="AA181" i="3" a="1"/>
  <c r="AA181" i="3" s="1"/>
  <c r="AB181" i="3" s="1"/>
  <c r="AA184" i="3" a="1"/>
  <c r="AA184" i="3" s="1"/>
  <c r="AB184" i="3" s="1"/>
  <c r="AA191" i="3" a="1"/>
  <c r="AA191" i="3" s="1"/>
  <c r="AB191" i="3" s="1"/>
  <c r="AA194" i="3" a="1"/>
  <c r="AA194" i="3" s="1"/>
  <c r="AB194" i="3" s="1"/>
  <c r="AA197" i="3" a="1"/>
  <c r="AA197" i="3" s="1"/>
  <c r="AB197" i="3" s="1"/>
  <c r="AA200" i="3" a="1"/>
  <c r="AA200" i="3" s="1"/>
  <c r="AB200" i="3" s="1"/>
  <c r="AA207" i="3" a="1"/>
  <c r="AA207" i="3" s="1"/>
  <c r="AB207" i="3" s="1"/>
  <c r="AA210" i="3" a="1"/>
  <c r="AA210" i="3" s="1"/>
  <c r="AB210" i="3" s="1"/>
  <c r="AA213" i="3" a="1"/>
  <c r="AA213" i="3" s="1"/>
  <c r="AB213" i="3" s="1"/>
  <c r="AA216" i="3" a="1"/>
  <c r="AA216" i="3" s="1"/>
  <c r="AB216" i="3" s="1"/>
  <c r="AA223" i="3" a="1"/>
  <c r="AA223" i="3" s="1"/>
  <c r="AB223" i="3" s="1"/>
  <c r="AA226" i="3" a="1"/>
  <c r="AA226" i="3" s="1"/>
  <c r="AB226" i="3" s="1"/>
  <c r="AA229" i="3" a="1"/>
  <c r="AA229" i="3" s="1"/>
  <c r="AB229" i="3" s="1"/>
  <c r="AA232" i="3" a="1"/>
  <c r="AA232" i="3" s="1"/>
  <c r="AB232" i="3" s="1"/>
  <c r="AA239" i="3" a="1"/>
  <c r="AA239" i="3" s="1"/>
  <c r="AB239" i="3" s="1"/>
  <c r="AA242" i="3" a="1"/>
  <c r="AA242" i="3" s="1"/>
  <c r="AB242" i="3" s="1"/>
  <c r="AA245" i="3" a="1"/>
  <c r="AA245" i="3" s="1"/>
  <c r="AB245" i="3" s="1"/>
  <c r="AA248" i="3" a="1"/>
  <c r="AA248" i="3" s="1"/>
  <c r="AB248" i="3" s="1"/>
  <c r="AA255" i="3" a="1"/>
  <c r="AA255" i="3" s="1"/>
  <c r="AB255" i="3" s="1"/>
  <c r="AA258" i="3" a="1"/>
  <c r="AA258" i="3" s="1"/>
  <c r="AB258" i="3" s="1"/>
  <c r="AA261" i="3" a="1"/>
  <c r="AA261" i="3" s="1"/>
  <c r="AB261" i="3" s="1"/>
  <c r="AA264" i="3" a="1"/>
  <c r="AA264" i="3" s="1"/>
  <c r="AB264" i="3" s="1"/>
  <c r="AA271" i="3" a="1"/>
  <c r="AA271" i="3" s="1"/>
  <c r="AB271" i="3" s="1"/>
  <c r="AA274" i="3" a="1"/>
  <c r="AA274" i="3" s="1"/>
  <c r="AB274" i="3" s="1"/>
  <c r="AA277" i="3" a="1"/>
  <c r="AA277" i="3" s="1"/>
  <c r="AB277" i="3" s="1"/>
  <c r="AA8" i="3" a="1"/>
  <c r="AA8" i="3" s="1"/>
  <c r="AB8" i="3" s="1"/>
  <c r="AA11" i="3" a="1"/>
  <c r="AA11" i="3" s="1"/>
  <c r="AB11" i="3" s="1"/>
  <c r="AA15" i="3" a="1"/>
  <c r="AA15" i="3" s="1"/>
  <c r="AB15" i="3" s="1"/>
  <c r="AA22" i="3" a="1"/>
  <c r="AA22" i="3" s="1"/>
  <c r="AB22" i="3" s="1"/>
  <c r="AA26" i="3" a="1"/>
  <c r="AA26" i="3" s="1"/>
  <c r="AB26" i="3" s="1"/>
  <c r="AA29" i="3" a="1"/>
  <c r="AA29" i="3" s="1"/>
  <c r="AB29" i="3" s="1"/>
  <c r="AA33" i="3" a="1"/>
  <c r="AA33" i="3" s="1"/>
  <c r="AB33" i="3" s="1"/>
  <c r="AA36" i="3" a="1"/>
  <c r="AA36" i="3" s="1"/>
  <c r="AB36" i="3" s="1"/>
  <c r="AA40" i="3" a="1"/>
  <c r="AA40" i="3" s="1"/>
  <c r="AB40" i="3" s="1"/>
  <c r="AA43" i="3" a="1"/>
  <c r="AA43" i="3" s="1"/>
  <c r="AB43" i="3" s="1"/>
  <c r="AA47" i="3" a="1"/>
  <c r="AA47" i="3" s="1"/>
  <c r="AB47" i="3" s="1"/>
  <c r="AA54" i="3" a="1"/>
  <c r="AA54" i="3" s="1"/>
  <c r="AB54" i="3" s="1"/>
  <c r="AA57" i="3" a="1"/>
  <c r="AA57" i="3" s="1"/>
  <c r="AB57" i="3" s="1"/>
  <c r="AA60" i="3" a="1"/>
  <c r="AA60" i="3" s="1"/>
  <c r="AB60" i="3" s="1"/>
  <c r="AA63" i="3" a="1"/>
  <c r="AA63" i="3" s="1"/>
  <c r="AB63" i="3" s="1"/>
  <c r="AA70" i="3" a="1"/>
  <c r="AA70" i="3" s="1"/>
  <c r="AB70" i="3" s="1"/>
  <c r="AA73" i="3" a="1"/>
  <c r="AA73" i="3" s="1"/>
  <c r="AB73" i="3" s="1"/>
  <c r="AA76" i="3" a="1"/>
  <c r="AA76" i="3" s="1"/>
  <c r="AB76" i="3" s="1"/>
  <c r="AA79" i="3" a="1"/>
  <c r="AA79" i="3" s="1"/>
  <c r="AB79" i="3" s="1"/>
  <c r="AA86" i="3" a="1"/>
  <c r="AA86" i="3" s="1"/>
  <c r="AB86" i="3" s="1"/>
  <c r="AA89" i="3" a="1"/>
  <c r="AA89" i="3" s="1"/>
  <c r="AB89" i="3" s="1"/>
  <c r="AA92" i="3" a="1"/>
  <c r="AA92" i="3" s="1"/>
  <c r="AB92" i="3" s="1"/>
  <c r="AA95" i="3" a="1"/>
  <c r="AA95" i="3" s="1"/>
  <c r="AB95" i="3" s="1"/>
  <c r="AA102" i="3" a="1"/>
  <c r="AA102" i="3" s="1"/>
  <c r="AB102" i="3" s="1"/>
  <c r="AA105" i="3" a="1"/>
  <c r="AA105" i="3" s="1"/>
  <c r="AB105" i="3" s="1"/>
  <c r="AA108" i="3" a="1"/>
  <c r="AA108" i="3" s="1"/>
  <c r="AB108" i="3" s="1"/>
  <c r="AA111" i="3" a="1"/>
  <c r="AA111" i="3" s="1"/>
  <c r="AB111" i="3" s="1"/>
  <c r="AA118" i="3" a="1"/>
  <c r="AA118" i="3" s="1"/>
  <c r="AB118" i="3" s="1"/>
  <c r="AA121" i="3" a="1"/>
  <c r="AA121" i="3" s="1"/>
  <c r="AB121" i="3" s="1"/>
  <c r="AA124" i="3" a="1"/>
  <c r="AA124" i="3" s="1"/>
  <c r="AB124" i="3" s="1"/>
  <c r="AA127" i="3" a="1"/>
  <c r="AA127" i="3" s="1"/>
  <c r="AB127" i="3" s="1"/>
  <c r="AA134" i="3" a="1"/>
  <c r="AA134" i="3" s="1"/>
  <c r="AB134" i="3" s="1"/>
  <c r="AA137" i="3" a="1"/>
  <c r="AA137" i="3" s="1"/>
  <c r="AB137" i="3" s="1"/>
  <c r="AA140" i="3" a="1"/>
  <c r="AA140" i="3" s="1"/>
  <c r="AB140" i="3" s="1"/>
  <c r="AA143" i="3" a="1"/>
  <c r="AA143" i="3" s="1"/>
  <c r="AB143" i="3" s="1"/>
  <c r="AA150" i="3" a="1"/>
  <c r="AA150" i="3" s="1"/>
  <c r="AB150" i="3" s="1"/>
  <c r="AA153" i="3" a="1"/>
  <c r="AA153" i="3" s="1"/>
  <c r="AB153" i="3" s="1"/>
  <c r="AA156" i="3" a="1"/>
  <c r="AA156" i="3" s="1"/>
  <c r="AB156" i="3" s="1"/>
  <c r="AA159" i="3" a="1"/>
  <c r="AA159" i="3" s="1"/>
  <c r="AB159" i="3" s="1"/>
  <c r="AA166" i="3" a="1"/>
  <c r="AA166" i="3" s="1"/>
  <c r="AB166" i="3" s="1"/>
  <c r="AA169" i="3" a="1"/>
  <c r="AA169" i="3" s="1"/>
  <c r="AB169" i="3" s="1"/>
  <c r="AA172" i="3" a="1"/>
  <c r="AA172" i="3" s="1"/>
  <c r="AB172" i="3" s="1"/>
  <c r="AA179" i="3" a="1"/>
  <c r="AA179" i="3" s="1"/>
  <c r="AB179" i="3" s="1"/>
  <c r="AA182" i="3" a="1"/>
  <c r="AA182" i="3" s="1"/>
  <c r="AB182" i="3" s="1"/>
  <c r="AA185" i="3" a="1"/>
  <c r="AA185" i="3" s="1"/>
  <c r="AB185" i="3" s="1"/>
  <c r="AA188" i="3" a="1"/>
  <c r="AA188" i="3" s="1"/>
  <c r="AB188" i="3" s="1"/>
  <c r="AA195" i="3" a="1"/>
  <c r="AA195" i="3" s="1"/>
  <c r="AB195" i="3" s="1"/>
  <c r="AA198" i="3" a="1"/>
  <c r="AA198" i="3" s="1"/>
  <c r="AB198" i="3" s="1"/>
  <c r="AA201" i="3" a="1"/>
  <c r="AA201" i="3" s="1"/>
  <c r="AB201" i="3" s="1"/>
  <c r="AA204" i="3" a="1"/>
  <c r="AA204" i="3" s="1"/>
  <c r="AB204" i="3" s="1"/>
  <c r="AA211" i="3" a="1"/>
  <c r="AA211" i="3" s="1"/>
  <c r="AB211" i="3" s="1"/>
  <c r="AA214" i="3" a="1"/>
  <c r="AA214" i="3" s="1"/>
  <c r="AB214" i="3" s="1"/>
  <c r="AA217" i="3" a="1"/>
  <c r="AA217" i="3" s="1"/>
  <c r="AB217" i="3" s="1"/>
  <c r="AA220" i="3" a="1"/>
  <c r="AA220" i="3" s="1"/>
  <c r="AB220" i="3" s="1"/>
  <c r="AA227" i="3" a="1"/>
  <c r="AA227" i="3" s="1"/>
  <c r="AB227" i="3" s="1"/>
  <c r="AA230" i="3" a="1"/>
  <c r="AA230" i="3" s="1"/>
  <c r="AB230" i="3" s="1"/>
  <c r="AA233" i="3" a="1"/>
  <c r="AA233" i="3" s="1"/>
  <c r="AB233" i="3" s="1"/>
  <c r="AA236" i="3" a="1"/>
  <c r="AA236" i="3" s="1"/>
  <c r="AB236" i="3" s="1"/>
  <c r="AA243" i="3" a="1"/>
  <c r="AA243" i="3" s="1"/>
  <c r="AB243" i="3" s="1"/>
  <c r="AA5" i="3" a="1"/>
  <c r="AA5" i="3" s="1"/>
  <c r="AB5" i="3" s="1"/>
  <c r="AA9" i="3" a="1"/>
  <c r="AA9" i="3" s="1"/>
  <c r="AB9" i="3" s="1"/>
  <c r="AA12" i="3" a="1"/>
  <c r="AA12" i="3" s="1"/>
  <c r="AB12" i="3" s="1"/>
  <c r="AA16" i="3" a="1"/>
  <c r="AA16" i="3" s="1"/>
  <c r="AB16" i="3" s="1"/>
  <c r="AA19" i="3" a="1"/>
  <c r="AA19" i="3" s="1"/>
  <c r="AB19" i="3" s="1"/>
  <c r="AA23" i="3" a="1"/>
  <c r="AA23" i="3" s="1"/>
  <c r="AB23" i="3" s="1"/>
  <c r="AA30" i="3" a="1"/>
  <c r="AA30" i="3" s="1"/>
  <c r="AB30" i="3" s="1"/>
  <c r="AA34" i="3" a="1"/>
  <c r="AA34" i="3" s="1"/>
  <c r="AB34" i="3" s="1"/>
  <c r="AA37" i="3" a="1"/>
  <c r="AA37" i="3" s="1"/>
  <c r="AB37" i="3" s="1"/>
  <c r="AA41" i="3" a="1"/>
  <c r="AA41" i="3" s="1"/>
  <c r="AB41" i="3" s="1"/>
  <c r="AA44" i="3" a="1"/>
  <c r="AA44" i="3" s="1"/>
  <c r="AB44" i="3" s="1"/>
  <c r="AA48" i="3" a="1"/>
  <c r="AA48" i="3" s="1"/>
  <c r="AB48" i="3" s="1"/>
  <c r="AA51" i="3" a="1"/>
  <c r="AA51" i="3" s="1"/>
  <c r="AB51" i="3" s="1"/>
  <c r="AA58" i="3" a="1"/>
  <c r="AA58" i="3" s="1"/>
  <c r="AB58" i="3" s="1"/>
  <c r="AA61" i="3" a="1"/>
  <c r="AA61" i="3" s="1"/>
  <c r="AB61" i="3" s="1"/>
  <c r="AA64" i="3" a="1"/>
  <c r="AA64" i="3" s="1"/>
  <c r="AB64" i="3" s="1"/>
  <c r="AA67" i="3" a="1"/>
  <c r="AA67" i="3" s="1"/>
  <c r="AB67" i="3" s="1"/>
  <c r="AA74" i="3" a="1"/>
  <c r="AA74" i="3" s="1"/>
  <c r="AB74" i="3" s="1"/>
  <c r="AA77" i="3" a="1"/>
  <c r="AA77" i="3" s="1"/>
  <c r="AB77" i="3" s="1"/>
  <c r="AA80" i="3" a="1"/>
  <c r="AA80" i="3" s="1"/>
  <c r="AB80" i="3" s="1"/>
  <c r="AA83" i="3" a="1"/>
  <c r="AA83" i="3" s="1"/>
  <c r="AB83" i="3" s="1"/>
  <c r="AA90" i="3" a="1"/>
  <c r="AA90" i="3" s="1"/>
  <c r="AB90" i="3" s="1"/>
  <c r="AA93" i="3" a="1"/>
  <c r="AA93" i="3" s="1"/>
  <c r="AB93" i="3" s="1"/>
  <c r="AA96" i="3" a="1"/>
  <c r="AA96" i="3" s="1"/>
  <c r="AB96" i="3" s="1"/>
  <c r="AA99" i="3" a="1"/>
  <c r="AA99" i="3" s="1"/>
  <c r="AB99" i="3" s="1"/>
  <c r="AA106" i="3" a="1"/>
  <c r="AA106" i="3" s="1"/>
  <c r="AB106" i="3" s="1"/>
  <c r="AA109" i="3" a="1"/>
  <c r="AA109" i="3" s="1"/>
  <c r="AB109" i="3" s="1"/>
  <c r="AA112" i="3" a="1"/>
  <c r="AA112" i="3" s="1"/>
  <c r="AB112" i="3" s="1"/>
  <c r="AA115" i="3" a="1"/>
  <c r="AA115" i="3" s="1"/>
  <c r="AB115" i="3" s="1"/>
  <c r="AA122" i="3" a="1"/>
  <c r="AA122" i="3" s="1"/>
  <c r="AB122" i="3" s="1"/>
  <c r="AA125" i="3" a="1"/>
  <c r="AA125" i="3" s="1"/>
  <c r="AB125" i="3" s="1"/>
  <c r="AA128" i="3" a="1"/>
  <c r="AA128" i="3" s="1"/>
  <c r="AB128" i="3" s="1"/>
  <c r="AA131" i="3" a="1"/>
  <c r="AA131" i="3" s="1"/>
  <c r="AB131" i="3" s="1"/>
  <c r="AA138" i="3" a="1"/>
  <c r="AA138" i="3" s="1"/>
  <c r="AB138" i="3" s="1"/>
  <c r="AA141" i="3" a="1"/>
  <c r="AA141" i="3" s="1"/>
  <c r="AB141" i="3" s="1"/>
  <c r="AA144" i="3" a="1"/>
  <c r="AA144" i="3" s="1"/>
  <c r="AB144" i="3" s="1"/>
  <c r="AA147" i="3" a="1"/>
  <c r="AA147" i="3" s="1"/>
  <c r="AB147" i="3" s="1"/>
  <c r="AA154" i="3" a="1"/>
  <c r="AA154" i="3" s="1"/>
  <c r="AB154" i="3" s="1"/>
  <c r="AA192" i="3" a="1"/>
  <c r="AA192" i="3" s="1"/>
  <c r="AB192" i="3" s="1"/>
  <c r="AA202" i="3" a="1"/>
  <c r="AA202" i="3" s="1"/>
  <c r="AB202" i="3" s="1"/>
  <c r="AA208" i="3" a="1"/>
  <c r="AA208" i="3" s="1"/>
  <c r="AB208" i="3" s="1"/>
  <c r="AA215" i="3" a="1"/>
  <c r="AA215" i="3" s="1"/>
  <c r="AB215" i="3" s="1"/>
  <c r="AA221" i="3" a="1"/>
  <c r="AA221" i="3" s="1"/>
  <c r="AB221" i="3" s="1"/>
  <c r="AA234" i="3" a="1"/>
  <c r="AA234" i="3" s="1"/>
  <c r="AB234" i="3" s="1"/>
  <c r="AA240" i="3" a="1"/>
  <c r="AA240" i="3" s="1"/>
  <c r="AB240" i="3" s="1"/>
  <c r="AA246" i="3" a="1"/>
  <c r="AA246" i="3" s="1"/>
  <c r="AB246" i="3" s="1"/>
  <c r="AA250" i="3" a="1"/>
  <c r="AA250" i="3" s="1"/>
  <c r="AB250" i="3" s="1"/>
  <c r="AA254" i="3" a="1"/>
  <c r="AA254" i="3" s="1"/>
  <c r="AB254" i="3" s="1"/>
  <c r="AA259" i="3" a="1"/>
  <c r="AA259" i="3" s="1"/>
  <c r="AB259" i="3" s="1"/>
  <c r="AA263" i="3" a="1"/>
  <c r="AA263" i="3" s="1"/>
  <c r="AB263" i="3" s="1"/>
  <c r="AA267" i="3" a="1"/>
  <c r="AA267" i="3" s="1"/>
  <c r="AB267" i="3" s="1"/>
  <c r="AA283" i="3" a="1"/>
  <c r="AA283" i="3" s="1"/>
  <c r="AB283" i="3" s="1"/>
  <c r="AA286" i="3" a="1"/>
  <c r="AA286" i="3" s="1"/>
  <c r="AB286" i="3" s="1"/>
  <c r="AA289" i="3" a="1"/>
  <c r="AA289" i="3" s="1"/>
  <c r="AB289" i="3" s="1"/>
  <c r="AA292" i="3" a="1"/>
  <c r="AA292" i="3" s="1"/>
  <c r="AB292" i="3" s="1"/>
  <c r="AA299" i="3" a="1"/>
  <c r="AA299" i="3" s="1"/>
  <c r="AB299" i="3" s="1"/>
  <c r="AA303" i="3" a="1"/>
  <c r="AA303" i="3" s="1"/>
  <c r="AB303" i="3" s="1"/>
  <c r="AA306" i="3" a="1"/>
  <c r="AA306" i="3" s="1"/>
  <c r="AB306" i="3" s="1"/>
  <c r="AA310" i="3" a="1"/>
  <c r="AA310" i="3" s="1"/>
  <c r="AB310" i="3" s="1"/>
  <c r="AA313" i="3" a="1"/>
  <c r="AA313" i="3" s="1"/>
  <c r="AB313" i="3" s="1"/>
  <c r="AA317" i="3" a="1"/>
  <c r="AA317" i="3" s="1"/>
  <c r="AB317" i="3" s="1"/>
  <c r="AA320" i="3" a="1"/>
  <c r="AA320" i="3" s="1"/>
  <c r="AB320" i="3" s="1"/>
  <c r="AA324" i="3" a="1"/>
  <c r="AA324" i="3" s="1"/>
  <c r="AB324" i="3" s="1"/>
  <c r="AA331" i="3" a="1"/>
  <c r="AA331" i="3" s="1"/>
  <c r="AB331" i="3" s="1"/>
  <c r="AA335" i="3" a="1"/>
  <c r="AA335" i="3" s="1"/>
  <c r="AB335" i="3" s="1"/>
  <c r="AA338" i="3" a="1"/>
  <c r="AA338" i="3" s="1"/>
  <c r="AB338" i="3" s="1"/>
  <c r="AA342" i="3" a="1"/>
  <c r="AA342" i="3" s="1"/>
  <c r="AB342" i="3" s="1"/>
  <c r="AA345" i="3" a="1"/>
  <c r="AA345" i="3" s="1"/>
  <c r="AB345" i="3" s="1"/>
  <c r="AA349" i="3" a="1"/>
  <c r="AA349" i="3" s="1"/>
  <c r="AB349" i="3" s="1"/>
  <c r="AA352" i="3" a="1"/>
  <c r="AA352" i="3" s="1"/>
  <c r="AB352" i="3" s="1"/>
  <c r="AA359" i="3" a="1"/>
  <c r="AA359" i="3" s="1"/>
  <c r="AB359" i="3" s="1"/>
  <c r="AA362" i="3" a="1"/>
  <c r="AA362" i="3" s="1"/>
  <c r="AB362" i="3" s="1"/>
  <c r="AA365" i="3" a="1"/>
  <c r="AA365" i="3" s="1"/>
  <c r="AB365" i="3" s="1"/>
  <c r="AA369" i="3" a="1"/>
  <c r="AA369" i="3" s="1"/>
  <c r="AB369" i="3" s="1"/>
  <c r="AA372" i="3" a="1"/>
  <c r="AA372" i="3" s="1"/>
  <c r="AB372" i="3" s="1"/>
  <c r="AA379" i="3" a="1"/>
  <c r="AA379" i="3" s="1"/>
  <c r="AB379" i="3" s="1"/>
  <c r="AA382" i="3" a="1"/>
  <c r="AA382" i="3" s="1"/>
  <c r="AB382" i="3" s="1"/>
  <c r="AA385" i="3" a="1"/>
  <c r="AA385" i="3" s="1"/>
  <c r="AB385" i="3" s="1"/>
  <c r="AA388" i="3" a="1"/>
  <c r="AA388" i="3" s="1"/>
  <c r="AB388" i="3" s="1"/>
  <c r="AA395" i="3" a="1"/>
  <c r="AA395" i="3" s="1"/>
  <c r="AB395" i="3" s="1"/>
  <c r="AA398" i="3" a="1"/>
  <c r="AA398" i="3" s="1"/>
  <c r="AB398" i="3" s="1"/>
  <c r="AA401" i="3" a="1"/>
  <c r="AA401" i="3" s="1"/>
  <c r="AB401" i="3" s="1"/>
  <c r="AA404" i="3" a="1"/>
  <c r="AA404" i="3" s="1"/>
  <c r="AB404" i="3" s="1"/>
  <c r="AA411" i="3" a="1"/>
  <c r="AA411" i="3" s="1"/>
  <c r="AB411" i="3" s="1"/>
  <c r="AA414" i="3" a="1"/>
  <c r="AA414" i="3" s="1"/>
  <c r="AB414" i="3" s="1"/>
  <c r="AA417" i="3" a="1"/>
  <c r="AA417" i="3" s="1"/>
  <c r="AB417" i="3" s="1"/>
  <c r="AA420" i="3" a="1"/>
  <c r="AA420" i="3" s="1"/>
  <c r="AB420" i="3" s="1"/>
  <c r="AA427" i="3" a="1"/>
  <c r="AA427" i="3" s="1"/>
  <c r="AB427" i="3" s="1"/>
  <c r="AA430" i="3" a="1"/>
  <c r="AA430" i="3" s="1"/>
  <c r="AB430" i="3" s="1"/>
  <c r="AA433" i="3" a="1"/>
  <c r="AA433" i="3" s="1"/>
  <c r="AB433" i="3" s="1"/>
  <c r="AA436" i="3" a="1"/>
  <c r="AA436" i="3" s="1"/>
  <c r="AB436" i="3" s="1"/>
  <c r="AA443" i="3" a="1"/>
  <c r="AA443" i="3" s="1"/>
  <c r="AB443" i="3" s="1"/>
  <c r="AA446" i="3" a="1"/>
  <c r="AA446" i="3" s="1"/>
  <c r="AB446" i="3" s="1"/>
  <c r="AA449" i="3" a="1"/>
  <c r="AA449" i="3" s="1"/>
  <c r="AB449" i="3" s="1"/>
  <c r="AA452" i="3" a="1"/>
  <c r="AA452" i="3" s="1"/>
  <c r="AB452" i="3" s="1"/>
  <c r="AA459" i="3" a="1"/>
  <c r="AA459" i="3" s="1"/>
  <c r="AB459" i="3" s="1"/>
  <c r="AA462" i="3" a="1"/>
  <c r="AA462" i="3" s="1"/>
  <c r="AB462" i="3" s="1"/>
  <c r="AA465" i="3" a="1"/>
  <c r="AA465" i="3" s="1"/>
  <c r="AB465" i="3" s="1"/>
  <c r="AA469" i="3" a="1"/>
  <c r="AA469" i="3" s="1"/>
  <c r="AB469" i="3" s="1"/>
  <c r="AA475" i="3" a="1"/>
  <c r="AA475" i="3" s="1"/>
  <c r="AB475" i="3" s="1"/>
  <c r="AA478" i="3" a="1"/>
  <c r="AA478" i="3" s="1"/>
  <c r="AB478" i="3" s="1"/>
  <c r="AA481" i="3" a="1"/>
  <c r="AA481" i="3" s="1"/>
  <c r="AB481" i="3" s="1"/>
  <c r="AA485" i="3" a="1"/>
  <c r="AA485" i="3" s="1"/>
  <c r="AB485" i="3" s="1"/>
  <c r="AA491" i="3" a="1"/>
  <c r="AA491" i="3" s="1"/>
  <c r="AB491" i="3" s="1"/>
  <c r="AA157" i="3" a="1"/>
  <c r="AA157" i="3" s="1"/>
  <c r="AB157" i="3" s="1"/>
  <c r="AA170" i="3" a="1"/>
  <c r="AA170" i="3" s="1"/>
  <c r="AB170" i="3" s="1"/>
  <c r="AA183" i="3" a="1"/>
  <c r="AA183" i="3" s="1"/>
  <c r="AB183" i="3" s="1"/>
  <c r="AA203" i="3" a="1"/>
  <c r="AA203" i="3" s="1"/>
  <c r="AB203" i="3" s="1"/>
  <c r="AA209" i="3" a="1"/>
  <c r="AA209" i="3" s="1"/>
  <c r="AB209" i="3" s="1"/>
  <c r="AA222" i="3" a="1"/>
  <c r="AA222" i="3" s="1"/>
  <c r="AB222" i="3" s="1"/>
  <c r="AA228" i="3" a="1"/>
  <c r="AA228" i="3" s="1"/>
  <c r="AB228" i="3" s="1"/>
  <c r="AA235" i="3" a="1"/>
  <c r="AA235" i="3" s="1"/>
  <c r="AB235" i="3" s="1"/>
  <c r="AA241" i="3" a="1"/>
  <c r="AA241" i="3" s="1"/>
  <c r="AB241" i="3" s="1"/>
  <c r="AA247" i="3" a="1"/>
  <c r="AA247" i="3" s="1"/>
  <c r="AB247" i="3" s="1"/>
  <c r="AA251" i="3" a="1"/>
  <c r="AA251" i="3" s="1"/>
  <c r="AB251" i="3" s="1"/>
  <c r="AA268" i="3" a="1"/>
  <c r="AA268" i="3" s="1"/>
  <c r="AB268" i="3" s="1"/>
  <c r="AA272" i="3" a="1"/>
  <c r="AA272" i="3" s="1"/>
  <c r="AB272" i="3" s="1"/>
  <c r="AA276" i="3" a="1"/>
  <c r="AA276" i="3" s="1"/>
  <c r="AB276" i="3" s="1"/>
  <c r="AA280" i="3" a="1"/>
  <c r="AA280" i="3" s="1"/>
  <c r="AB280" i="3" s="1"/>
  <c r="AA287" i="3" a="1"/>
  <c r="AA287" i="3" s="1"/>
  <c r="AB287" i="3" s="1"/>
  <c r="AA290" i="3" a="1"/>
  <c r="AA290" i="3" s="1"/>
  <c r="AB290" i="3" s="1"/>
  <c r="AA293" i="3" a="1"/>
  <c r="AA293" i="3" s="1"/>
  <c r="AB293" i="3" s="1"/>
  <c r="AA296" i="3" a="1"/>
  <c r="AA296" i="3" s="1"/>
  <c r="AB296" i="3" s="1"/>
  <c r="AA300" i="3" a="1"/>
  <c r="AA300" i="3" s="1"/>
  <c r="AB300" i="3" s="1"/>
  <c r="AA307" i="3" a="1"/>
  <c r="AA307" i="3" s="1"/>
  <c r="AB307" i="3" s="1"/>
  <c r="AA311" i="3" a="1"/>
  <c r="AA311" i="3" s="1"/>
  <c r="AB311" i="3" s="1"/>
  <c r="AA314" i="3" a="1"/>
  <c r="AA314" i="3" s="1"/>
  <c r="AB314" i="3" s="1"/>
  <c r="AA318" i="3" a="1"/>
  <c r="AA318" i="3" s="1"/>
  <c r="AB318" i="3" s="1"/>
  <c r="AA321" i="3" a="1"/>
  <c r="AA321" i="3" s="1"/>
  <c r="AB321" i="3" s="1"/>
  <c r="AA325" i="3" a="1"/>
  <c r="AA325" i="3" s="1"/>
  <c r="AB325" i="3" s="1"/>
  <c r="AA328" i="3" a="1"/>
  <c r="AA328" i="3" s="1"/>
  <c r="AB328" i="3" s="1"/>
  <c r="AA332" i="3" a="1"/>
  <c r="AA332" i="3" s="1"/>
  <c r="AB332" i="3" s="1"/>
  <c r="AA339" i="3" a="1"/>
  <c r="AA339" i="3" s="1"/>
  <c r="AB339" i="3" s="1"/>
  <c r="AA343" i="3" a="1"/>
  <c r="AA343" i="3" s="1"/>
  <c r="AB343" i="3" s="1"/>
  <c r="AA346" i="3" a="1"/>
  <c r="AA346" i="3" s="1"/>
  <c r="AB346" i="3" s="1"/>
  <c r="AA350" i="3" a="1"/>
  <c r="AA350" i="3" s="1"/>
  <c r="AB350" i="3" s="1"/>
  <c r="AA353" i="3" a="1"/>
  <c r="AA353" i="3" s="1"/>
  <c r="AB353" i="3" s="1"/>
  <c r="AA356" i="3" a="1"/>
  <c r="AA356" i="3" s="1"/>
  <c r="AB356" i="3" s="1"/>
  <c r="AA363" i="3" a="1"/>
  <c r="AA363" i="3" s="1"/>
  <c r="AB363" i="3" s="1"/>
  <c r="AA366" i="3" a="1"/>
  <c r="AA366" i="3" s="1"/>
  <c r="AB366" i="3" s="1"/>
  <c r="AA370" i="3" a="1"/>
  <c r="AA370" i="3" s="1"/>
  <c r="AB370" i="3" s="1"/>
  <c r="AA373" i="3" a="1"/>
  <c r="AA373" i="3" s="1"/>
  <c r="AB373" i="3" s="1"/>
  <c r="AA376" i="3" a="1"/>
  <c r="AA376" i="3" s="1"/>
  <c r="AB376" i="3" s="1"/>
  <c r="AA383" i="3" a="1"/>
  <c r="AA383" i="3" s="1"/>
  <c r="AB383" i="3" s="1"/>
  <c r="AA386" i="3" a="1"/>
  <c r="AA386" i="3" s="1"/>
  <c r="AB386" i="3" s="1"/>
  <c r="AA389" i="3" a="1"/>
  <c r="AA389" i="3" s="1"/>
  <c r="AB389" i="3" s="1"/>
  <c r="AA392" i="3" a="1"/>
  <c r="AA392" i="3" s="1"/>
  <c r="AB392" i="3" s="1"/>
  <c r="AA399" i="3" a="1"/>
  <c r="AA399" i="3" s="1"/>
  <c r="AB399" i="3" s="1"/>
  <c r="AA402" i="3" a="1"/>
  <c r="AA402" i="3" s="1"/>
  <c r="AB402" i="3" s="1"/>
  <c r="AA405" i="3" a="1"/>
  <c r="AA405" i="3" s="1"/>
  <c r="AB405" i="3" s="1"/>
  <c r="AA408" i="3" a="1"/>
  <c r="AA408" i="3" s="1"/>
  <c r="AB408" i="3" s="1"/>
  <c r="AA415" i="3" a="1"/>
  <c r="AA415" i="3" s="1"/>
  <c r="AB415" i="3" s="1"/>
  <c r="AA418" i="3" a="1"/>
  <c r="AA418" i="3" s="1"/>
  <c r="AB418" i="3" s="1"/>
  <c r="AA421" i="3" a="1"/>
  <c r="AA421" i="3" s="1"/>
  <c r="AB421" i="3" s="1"/>
  <c r="AA424" i="3" a="1"/>
  <c r="AA424" i="3" s="1"/>
  <c r="AB424" i="3" s="1"/>
  <c r="AA431" i="3" a="1"/>
  <c r="AA431" i="3" s="1"/>
  <c r="AB431" i="3" s="1"/>
  <c r="AA434" i="3" a="1"/>
  <c r="AA434" i="3" s="1"/>
  <c r="AB434" i="3" s="1"/>
  <c r="AA437" i="3" a="1"/>
  <c r="AA437" i="3" s="1"/>
  <c r="AB437" i="3" s="1"/>
  <c r="AA440" i="3" a="1"/>
  <c r="AA440" i="3" s="1"/>
  <c r="AB440" i="3" s="1"/>
  <c r="AA447" i="3" a="1"/>
  <c r="AA447" i="3" s="1"/>
  <c r="AB447" i="3" s="1"/>
  <c r="AA450" i="3" a="1"/>
  <c r="AA450" i="3" s="1"/>
  <c r="AB450" i="3" s="1"/>
  <c r="AA453" i="3" a="1"/>
  <c r="AA453" i="3" s="1"/>
  <c r="AB453" i="3" s="1"/>
  <c r="AA456" i="3" a="1"/>
  <c r="AA456" i="3" s="1"/>
  <c r="AB456" i="3" s="1"/>
  <c r="AA463" i="3" a="1"/>
  <c r="AA463" i="3" s="1"/>
  <c r="AB463" i="3" s="1"/>
  <c r="AA466" i="3" a="1"/>
  <c r="AA466" i="3" s="1"/>
  <c r="AB466" i="3" s="1"/>
  <c r="AA472" i="3" a="1"/>
  <c r="AA472" i="3" s="1"/>
  <c r="AB472" i="3" s="1"/>
  <c r="AA476" i="3" a="1"/>
  <c r="AA476" i="3" s="1"/>
  <c r="AB476" i="3" s="1"/>
  <c r="AA479" i="3" a="1"/>
  <c r="AA479" i="3" s="1"/>
  <c r="AB479" i="3" s="1"/>
  <c r="AA482" i="3" a="1"/>
  <c r="AA482" i="3" s="1"/>
  <c r="AB482" i="3" s="1"/>
  <c r="AA488" i="3" a="1"/>
  <c r="AA488" i="3" s="1"/>
  <c r="AB488" i="3" s="1"/>
  <c r="AA492" i="3" a="1"/>
  <c r="AA492" i="3" s="1"/>
  <c r="AB492" i="3" s="1"/>
  <c r="AA495" i="3" a="1"/>
  <c r="AA495" i="3" s="1"/>
  <c r="AB495" i="3" s="1"/>
  <c r="AA498" i="3" a="1"/>
  <c r="AA498" i="3" s="1"/>
  <c r="AB498" i="3" s="1"/>
  <c r="AA160" i="3" a="1"/>
  <c r="AA160" i="3" s="1"/>
  <c r="AB160" i="3" s="1"/>
  <c r="AA173" i="3" a="1"/>
  <c r="AA173" i="3" s="1"/>
  <c r="AB173" i="3" s="1"/>
  <c r="AA186" i="3" a="1"/>
  <c r="AA186" i="3" s="1"/>
  <c r="AB186" i="3" s="1"/>
  <c r="AA199" i="3" a="1"/>
  <c r="AA199" i="3" s="1"/>
  <c r="AB199" i="3" s="1"/>
  <c r="AA205" i="3" a="1"/>
  <c r="AA205" i="3" s="1"/>
  <c r="AB205" i="3" s="1"/>
  <c r="AA218" i="3" a="1"/>
  <c r="AA218" i="3" s="1"/>
  <c r="AB218" i="3" s="1"/>
  <c r="AA224" i="3" a="1"/>
  <c r="AA224" i="3" s="1"/>
  <c r="AB224" i="3" s="1"/>
  <c r="AA231" i="3" a="1"/>
  <c r="AA231" i="3" s="1"/>
  <c r="AB231" i="3" s="1"/>
  <c r="AA237" i="3" a="1"/>
  <c r="AA237" i="3" s="1"/>
  <c r="AB237" i="3" s="1"/>
  <c r="AA252" i="3" a="1"/>
  <c r="AA252" i="3" s="1"/>
  <c r="AB252" i="3" s="1"/>
  <c r="AA256" i="3" a="1"/>
  <c r="AA256" i="3" s="1"/>
  <c r="AB256" i="3" s="1"/>
  <c r="AA260" i="3" a="1"/>
  <c r="AA260" i="3" s="1"/>
  <c r="AB260" i="3" s="1"/>
  <c r="AA265" i="3" a="1"/>
  <c r="AA265" i="3" s="1"/>
  <c r="AB265" i="3" s="1"/>
  <c r="AA269" i="3" a="1"/>
  <c r="AA269" i="3" s="1"/>
  <c r="AB269" i="3" s="1"/>
  <c r="AA273" i="3" a="1"/>
  <c r="AA273" i="3" s="1"/>
  <c r="AB273" i="3" s="1"/>
  <c r="AA278" i="3" a="1"/>
  <c r="AA278" i="3" s="1"/>
  <c r="AB278" i="3" s="1"/>
  <c r="AA281" i="3" a="1"/>
  <c r="AA281" i="3" s="1"/>
  <c r="AB281" i="3" s="1"/>
  <c r="AA284" i="3" a="1"/>
  <c r="AA284" i="3" s="1"/>
  <c r="AB284" i="3" s="1"/>
  <c r="AA291" i="3" a="1"/>
  <c r="AA291" i="3" s="1"/>
  <c r="AB291" i="3" s="1"/>
  <c r="AA294" i="3" a="1"/>
  <c r="AA294" i="3" s="1"/>
  <c r="AB294" i="3" s="1"/>
  <c r="AA297" i="3" a="1"/>
  <c r="AA297" i="3" s="1"/>
  <c r="AB297" i="3" s="1"/>
  <c r="AA301" i="3" a="1"/>
  <c r="AA301" i="3" s="1"/>
  <c r="AB301" i="3" s="1"/>
  <c r="AA304" i="3" a="1"/>
  <c r="AA304" i="3" s="1"/>
  <c r="AB304" i="3" s="1"/>
  <c r="AA308" i="3" a="1"/>
  <c r="AA308" i="3" s="1"/>
  <c r="AB308" i="3" s="1"/>
  <c r="AA315" i="3" a="1"/>
  <c r="AA315" i="3" s="1"/>
  <c r="AB315" i="3" s="1"/>
  <c r="AA319" i="3" a="1"/>
  <c r="AA319" i="3" s="1"/>
  <c r="AB319" i="3" s="1"/>
  <c r="AA322" i="3" a="1"/>
  <c r="AA322" i="3" s="1"/>
  <c r="AB322" i="3" s="1"/>
  <c r="AA326" i="3" a="1"/>
  <c r="AA326" i="3" s="1"/>
  <c r="AB326" i="3" s="1"/>
  <c r="AA329" i="3" a="1"/>
  <c r="AA329" i="3" s="1"/>
  <c r="AB329" i="3" s="1"/>
  <c r="AA333" i="3" a="1"/>
  <c r="AA333" i="3" s="1"/>
  <c r="AB333" i="3" s="1"/>
  <c r="AA336" i="3" a="1"/>
  <c r="AA336" i="3" s="1"/>
  <c r="AB336" i="3" s="1"/>
  <c r="AA340" i="3" a="1"/>
  <c r="AA340" i="3" s="1"/>
  <c r="AB340" i="3" s="1"/>
  <c r="AA347" i="3" a="1"/>
  <c r="AA347" i="3" s="1"/>
  <c r="AB347" i="3" s="1"/>
  <c r="AA351" i="3" a="1"/>
  <c r="AA351" i="3" s="1"/>
  <c r="AB351" i="3" s="1"/>
  <c r="AA354" i="3" a="1"/>
  <c r="AA354" i="3" s="1"/>
  <c r="AB354" i="3" s="1"/>
  <c r="AA357" i="3" a="1"/>
  <c r="AA357" i="3" s="1"/>
  <c r="AB357" i="3" s="1"/>
  <c r="AA360" i="3" a="1"/>
  <c r="AA360" i="3" s="1"/>
  <c r="AB360" i="3" s="1"/>
  <c r="AA367" i="3" a="1"/>
  <c r="AA367" i="3" s="1"/>
  <c r="AB367" i="3" s="1"/>
  <c r="AA371" i="3" a="1"/>
  <c r="AA371" i="3" s="1"/>
  <c r="AB371" i="3" s="1"/>
  <c r="AA374" i="3" a="1"/>
  <c r="AA374" i="3" s="1"/>
  <c r="AB374" i="3" s="1"/>
  <c r="AA377" i="3" a="1"/>
  <c r="AA377" i="3" s="1"/>
  <c r="AB377" i="3" s="1"/>
  <c r="AA380" i="3" a="1"/>
  <c r="AA380" i="3" s="1"/>
  <c r="AB380" i="3" s="1"/>
  <c r="AA387" i="3" a="1"/>
  <c r="AA387" i="3" s="1"/>
  <c r="AB387" i="3" s="1"/>
  <c r="AA390" i="3" a="1"/>
  <c r="AA390" i="3" s="1"/>
  <c r="AB390" i="3" s="1"/>
  <c r="AA393" i="3" a="1"/>
  <c r="AA393" i="3" s="1"/>
  <c r="AB393" i="3" s="1"/>
  <c r="AA396" i="3" a="1"/>
  <c r="AA396" i="3" s="1"/>
  <c r="AB396" i="3" s="1"/>
  <c r="AA403" i="3" a="1"/>
  <c r="AA403" i="3" s="1"/>
  <c r="AB403" i="3" s="1"/>
  <c r="AA406" i="3" a="1"/>
  <c r="AA406" i="3" s="1"/>
  <c r="AB406" i="3" s="1"/>
  <c r="AA409" i="3" a="1"/>
  <c r="AA409" i="3" s="1"/>
  <c r="AB409" i="3" s="1"/>
  <c r="AA412" i="3" a="1"/>
  <c r="AA412" i="3" s="1"/>
  <c r="AB412" i="3" s="1"/>
  <c r="AA419" i="3" a="1"/>
  <c r="AA419" i="3" s="1"/>
  <c r="AB419" i="3" s="1"/>
  <c r="AA422" i="3" a="1"/>
  <c r="AA422" i="3" s="1"/>
  <c r="AB422" i="3" s="1"/>
  <c r="AA425" i="3" a="1"/>
  <c r="AA425" i="3" s="1"/>
  <c r="AB425" i="3" s="1"/>
  <c r="AA428" i="3" a="1"/>
  <c r="AA428" i="3" s="1"/>
  <c r="AB428" i="3" s="1"/>
  <c r="AA435" i="3" a="1"/>
  <c r="AA435" i="3" s="1"/>
  <c r="AB435" i="3" s="1"/>
  <c r="AA438" i="3" a="1"/>
  <c r="AA438" i="3" s="1"/>
  <c r="AB438" i="3" s="1"/>
  <c r="AA441" i="3" a="1"/>
  <c r="AA441" i="3" s="1"/>
  <c r="AB441" i="3" s="1"/>
  <c r="AA444" i="3" a="1"/>
  <c r="AA444" i="3" s="1"/>
  <c r="AB444" i="3" s="1"/>
  <c r="AA451" i="3" a="1"/>
  <c r="AA451" i="3" s="1"/>
  <c r="AB451" i="3" s="1"/>
  <c r="AA454" i="3" a="1"/>
  <c r="AA454" i="3" s="1"/>
  <c r="AB454" i="3" s="1"/>
  <c r="AA457" i="3" a="1"/>
  <c r="AA457" i="3" s="1"/>
  <c r="AB457" i="3" s="1"/>
  <c r="AA460" i="3" a="1"/>
  <c r="AA460" i="3" s="1"/>
  <c r="AB460" i="3" s="1"/>
  <c r="AA467" i="3" a="1"/>
  <c r="AA467" i="3" s="1"/>
  <c r="AB467" i="3" s="1"/>
  <c r="AA470" i="3" a="1"/>
  <c r="AA470" i="3" s="1"/>
  <c r="AB470" i="3" s="1"/>
  <c r="AA473" i="3" a="1"/>
  <c r="AA473" i="3" s="1"/>
  <c r="AB473" i="3" s="1"/>
  <c r="AA477" i="3" a="1"/>
  <c r="AA477" i="3" s="1"/>
  <c r="AB477" i="3" s="1"/>
  <c r="AA483" i="3" a="1"/>
  <c r="AA483" i="3" s="1"/>
  <c r="AB483" i="3" s="1"/>
  <c r="AA486" i="3" a="1"/>
  <c r="AA486" i="3" s="1"/>
  <c r="AB486" i="3" s="1"/>
  <c r="AA489" i="3" a="1"/>
  <c r="AA489" i="3" s="1"/>
  <c r="AB489" i="3" s="1"/>
  <c r="AA493" i="3" a="1"/>
  <c r="AA493" i="3" s="1"/>
  <c r="AB493" i="3" s="1"/>
  <c r="AA163" i="3" a="1"/>
  <c r="AA163" i="3" s="1"/>
  <c r="AB163" i="3" s="1"/>
  <c r="AA206" i="3" a="1"/>
  <c r="AA206" i="3" s="1"/>
  <c r="AB206" i="3" s="1"/>
  <c r="AA253" i="3" a="1"/>
  <c r="AA253" i="3" s="1"/>
  <c r="AB253" i="3" s="1"/>
  <c r="AA270" i="3" a="1"/>
  <c r="AA270" i="3" s="1"/>
  <c r="AB270" i="3" s="1"/>
  <c r="AA285" i="3" a="1"/>
  <c r="AA285" i="3" s="1"/>
  <c r="AB285" i="3" s="1"/>
  <c r="AA298" i="3" a="1"/>
  <c r="AA298" i="3" s="1"/>
  <c r="AB298" i="3" s="1"/>
  <c r="AA312" i="3" a="1"/>
  <c r="AA312" i="3" s="1"/>
  <c r="AB312" i="3" s="1"/>
  <c r="AA327" i="3" a="1"/>
  <c r="AA327" i="3" s="1"/>
  <c r="AB327" i="3" s="1"/>
  <c r="AA341" i="3" a="1"/>
  <c r="AA341" i="3" s="1"/>
  <c r="AB341" i="3" s="1"/>
  <c r="AA355" i="3" a="1"/>
  <c r="AA355" i="3" s="1"/>
  <c r="AB355" i="3" s="1"/>
  <c r="AA368" i="3" a="1"/>
  <c r="AA368" i="3" s="1"/>
  <c r="AB368" i="3" s="1"/>
  <c r="AA381" i="3" a="1"/>
  <c r="AA381" i="3" s="1"/>
  <c r="AB381" i="3" s="1"/>
  <c r="AA394" i="3" a="1"/>
  <c r="AA394" i="3" s="1"/>
  <c r="AB394" i="3" s="1"/>
  <c r="AA407" i="3" a="1"/>
  <c r="AA407" i="3" s="1"/>
  <c r="AB407" i="3" s="1"/>
  <c r="AA432" i="3" a="1"/>
  <c r="AA432" i="3" s="1"/>
  <c r="AB432" i="3" s="1"/>
  <c r="AA445" i="3" a="1"/>
  <c r="AA445" i="3" s="1"/>
  <c r="AB445" i="3" s="1"/>
  <c r="AA458" i="3" a="1"/>
  <c r="AA458" i="3" s="1"/>
  <c r="AB458" i="3" s="1"/>
  <c r="AA471" i="3" a="1"/>
  <c r="AA471" i="3" s="1"/>
  <c r="AB471" i="3" s="1"/>
  <c r="AA484" i="3" a="1"/>
  <c r="AA484" i="3" s="1"/>
  <c r="AB484" i="3" s="1"/>
  <c r="AA494" i="3" a="1"/>
  <c r="AA494" i="3" s="1"/>
  <c r="AB494" i="3" s="1"/>
  <c r="AA500" i="3" a="1"/>
  <c r="AA500" i="3" s="1"/>
  <c r="AB500" i="3" s="1"/>
  <c r="AA503" i="3" a="1"/>
  <c r="AA503" i="3" s="1"/>
  <c r="AB503" i="3" s="1"/>
  <c r="AA506" i="3" a="1"/>
  <c r="AA506" i="3" s="1"/>
  <c r="AB506" i="3" s="1"/>
  <c r="AA512" i="3" a="1"/>
  <c r="AA512" i="3" s="1"/>
  <c r="AB512" i="3" s="1"/>
  <c r="AA516" i="3" a="1"/>
  <c r="AA516" i="3" s="1"/>
  <c r="AB516" i="3" s="1"/>
  <c r="AA519" i="3" a="1"/>
  <c r="AA519" i="3" s="1"/>
  <c r="AB519" i="3" s="1"/>
  <c r="AA522" i="3" a="1"/>
  <c r="AA522" i="3" s="1"/>
  <c r="AB522" i="3" s="1"/>
  <c r="AA528" i="3" a="1"/>
  <c r="AA528" i="3" s="1"/>
  <c r="AB528" i="3" s="1"/>
  <c r="AA532" i="3" a="1"/>
  <c r="AA532" i="3" s="1"/>
  <c r="AB532" i="3" s="1"/>
  <c r="AA535" i="3" a="1"/>
  <c r="AA535" i="3" s="1"/>
  <c r="AB535" i="3" s="1"/>
  <c r="AA538" i="3" a="1"/>
  <c r="AA538" i="3" s="1"/>
  <c r="AB538" i="3" s="1"/>
  <c r="AA544" i="3" a="1"/>
  <c r="AA544" i="3" s="1"/>
  <c r="AB544" i="3" s="1"/>
  <c r="AA548" i="3" a="1"/>
  <c r="AA548" i="3" s="1"/>
  <c r="AB548" i="3" s="1"/>
  <c r="AA551" i="3" a="1"/>
  <c r="AA551" i="3" s="1"/>
  <c r="AB551" i="3" s="1"/>
  <c r="AA554" i="3" a="1"/>
  <c r="AA554" i="3" s="1"/>
  <c r="AB554" i="3" s="1"/>
  <c r="AA560" i="3" a="1"/>
  <c r="AA560" i="3" s="1"/>
  <c r="AB560" i="3" s="1"/>
  <c r="AA564" i="3" a="1"/>
  <c r="AA564" i="3" s="1"/>
  <c r="AB564" i="3" s="1"/>
  <c r="AA567" i="3" a="1"/>
  <c r="AA567" i="3" s="1"/>
  <c r="AB567" i="3" s="1"/>
  <c r="AA570" i="3" a="1"/>
  <c r="AA570" i="3" s="1"/>
  <c r="AB570" i="3" s="1"/>
  <c r="AA576" i="3" a="1"/>
  <c r="AA576" i="3" s="1"/>
  <c r="AB576" i="3" s="1"/>
  <c r="AA580" i="3" a="1"/>
  <c r="AA580" i="3" s="1"/>
  <c r="AB580" i="3" s="1"/>
  <c r="AA583" i="3" a="1"/>
  <c r="AA583" i="3" s="1"/>
  <c r="AB583" i="3" s="1"/>
  <c r="AA586" i="3" a="1"/>
  <c r="AA586" i="3" s="1"/>
  <c r="AB586" i="3" s="1"/>
  <c r="AA592" i="3" a="1"/>
  <c r="AA592" i="3" s="1"/>
  <c r="AB592" i="3" s="1"/>
  <c r="AA598" i="3" a="1"/>
  <c r="AA598" i="3" s="1"/>
  <c r="AB598" i="3" s="1"/>
  <c r="AA601" i="3" a="1"/>
  <c r="AA601" i="3" s="1"/>
  <c r="AB601" i="3" s="1"/>
  <c r="AA604" i="3" a="1"/>
  <c r="AA604" i="3" s="1"/>
  <c r="AB604" i="3" s="1"/>
  <c r="AA607" i="3" a="1"/>
  <c r="AA607" i="3" s="1"/>
  <c r="AB607" i="3" s="1"/>
  <c r="AA610" i="3" a="1"/>
  <c r="AA610" i="3" s="1"/>
  <c r="AB610" i="3" s="1"/>
  <c r="AA615" i="3" a="1"/>
  <c r="AA615" i="3" s="1"/>
  <c r="AB615" i="3" s="1"/>
  <c r="AA618" i="3" a="1"/>
  <c r="AA618" i="3" s="1"/>
  <c r="AB618" i="3" s="1"/>
  <c r="AA623" i="3" a="1"/>
  <c r="AA623" i="3" s="1"/>
  <c r="AB623" i="3" s="1"/>
  <c r="AA626" i="3" a="1"/>
  <c r="AA626" i="3" s="1"/>
  <c r="AB626" i="3" s="1"/>
  <c r="AA631" i="3" a="1"/>
  <c r="AA631" i="3" s="1"/>
  <c r="AB631" i="3" s="1"/>
  <c r="AA2" i="3" a="1"/>
  <c r="AA2" i="3" s="1"/>
  <c r="AB2" i="3" s="1"/>
  <c r="AA622" i="3" a="1"/>
  <c r="AA622" i="3" s="1"/>
  <c r="AB622" i="3" s="1"/>
  <c r="AA566" i="3" a="1"/>
  <c r="AA566" i="3" s="1"/>
  <c r="AB566" i="3" s="1"/>
  <c r="AA582" i="3" a="1"/>
  <c r="AA582" i="3" s="1"/>
  <c r="AB582" i="3" s="1"/>
  <c r="AA600" i="3" a="1"/>
  <c r="AA600" i="3" s="1"/>
  <c r="AB600" i="3" s="1"/>
  <c r="AA617" i="3" a="1"/>
  <c r="AA617" i="3" s="1"/>
  <c r="AB617" i="3" s="1"/>
  <c r="AA628" i="3" a="1"/>
  <c r="AA628" i="3" s="1"/>
  <c r="AB628" i="3" s="1"/>
  <c r="AA176" i="3" a="1"/>
  <c r="AA176" i="3" s="1"/>
  <c r="AB176" i="3" s="1"/>
  <c r="AA212" i="3" a="1"/>
  <c r="AA212" i="3" s="1"/>
  <c r="AB212" i="3" s="1"/>
  <c r="AA238" i="3" a="1"/>
  <c r="AA238" i="3" s="1"/>
  <c r="AB238" i="3" s="1"/>
  <c r="AA257" i="3" a="1"/>
  <c r="AA257" i="3" s="1"/>
  <c r="AB257" i="3" s="1"/>
  <c r="AA275" i="3" a="1"/>
  <c r="AA275" i="3" s="1"/>
  <c r="AB275" i="3" s="1"/>
  <c r="AA288" i="3" a="1"/>
  <c r="AA288" i="3" s="1"/>
  <c r="AB288" i="3" s="1"/>
  <c r="AA302" i="3" a="1"/>
  <c r="AA302" i="3" s="1"/>
  <c r="AB302" i="3" s="1"/>
  <c r="AA316" i="3" a="1"/>
  <c r="AA316" i="3" s="1"/>
  <c r="AB316" i="3" s="1"/>
  <c r="AA330" i="3" a="1"/>
  <c r="AA330" i="3" s="1"/>
  <c r="AB330" i="3" s="1"/>
  <c r="AA344" i="3" a="1"/>
  <c r="AA344" i="3" s="1"/>
  <c r="AB344" i="3" s="1"/>
  <c r="AA358" i="3" a="1"/>
  <c r="AA358" i="3" s="1"/>
  <c r="AB358" i="3" s="1"/>
  <c r="AA384" i="3" a="1"/>
  <c r="AA384" i="3" s="1"/>
  <c r="AB384" i="3" s="1"/>
  <c r="AA397" i="3" a="1"/>
  <c r="AA397" i="3" s="1"/>
  <c r="AB397" i="3" s="1"/>
  <c r="AA410" i="3" a="1"/>
  <c r="AA410" i="3" s="1"/>
  <c r="AB410" i="3" s="1"/>
  <c r="AA423" i="3" a="1"/>
  <c r="AA423" i="3" s="1"/>
  <c r="AB423" i="3" s="1"/>
  <c r="AA448" i="3" a="1"/>
  <c r="AA448" i="3" s="1"/>
  <c r="AB448" i="3" s="1"/>
  <c r="AA461" i="3" a="1"/>
  <c r="AA461" i="3" s="1"/>
  <c r="AB461" i="3" s="1"/>
  <c r="AA474" i="3" a="1"/>
  <c r="AA474" i="3" s="1"/>
  <c r="AB474" i="3" s="1"/>
  <c r="AA487" i="3" a="1"/>
  <c r="AA487" i="3" s="1"/>
  <c r="AB487" i="3" s="1"/>
  <c r="AA496" i="3" a="1"/>
  <c r="AA496" i="3" s="1"/>
  <c r="AB496" i="3" s="1"/>
  <c r="AA501" i="3" a="1"/>
  <c r="AA501" i="3" s="1"/>
  <c r="AB501" i="3" s="1"/>
  <c r="AA507" i="3" a="1"/>
  <c r="AA507" i="3" s="1"/>
  <c r="AB507" i="3" s="1"/>
  <c r="AA510" i="3" a="1"/>
  <c r="AA510" i="3" s="1"/>
  <c r="AB510" i="3" s="1"/>
  <c r="AA513" i="3" a="1"/>
  <c r="AA513" i="3" s="1"/>
  <c r="AB513" i="3" s="1"/>
  <c r="AA517" i="3" a="1"/>
  <c r="AA517" i="3" s="1"/>
  <c r="AB517" i="3" s="1"/>
  <c r="AA523" i="3" a="1"/>
  <c r="AA523" i="3" s="1"/>
  <c r="AB523" i="3" s="1"/>
  <c r="AA526" i="3" a="1"/>
  <c r="AA526" i="3" s="1"/>
  <c r="AB526" i="3" s="1"/>
  <c r="AA529" i="3" a="1"/>
  <c r="AA529" i="3" s="1"/>
  <c r="AB529" i="3" s="1"/>
  <c r="AA533" i="3" a="1"/>
  <c r="AA533" i="3" s="1"/>
  <c r="AB533" i="3" s="1"/>
  <c r="AA539" i="3" a="1"/>
  <c r="AA539" i="3" s="1"/>
  <c r="AB539" i="3" s="1"/>
  <c r="AA542" i="3" a="1"/>
  <c r="AA542" i="3" s="1"/>
  <c r="AB542" i="3" s="1"/>
  <c r="AA545" i="3" a="1"/>
  <c r="AA545" i="3" s="1"/>
  <c r="AB545" i="3" s="1"/>
  <c r="AA549" i="3" a="1"/>
  <c r="AA549" i="3" s="1"/>
  <c r="AB549" i="3" s="1"/>
  <c r="AA555" i="3" a="1"/>
  <c r="AA555" i="3" s="1"/>
  <c r="AB555" i="3" s="1"/>
  <c r="AA558" i="3" a="1"/>
  <c r="AA558" i="3" s="1"/>
  <c r="AB558" i="3" s="1"/>
  <c r="AA561" i="3" a="1"/>
  <c r="AA561" i="3" s="1"/>
  <c r="AB561" i="3" s="1"/>
  <c r="AA565" i="3" a="1"/>
  <c r="AA565" i="3" s="1"/>
  <c r="AB565" i="3" s="1"/>
  <c r="AA571" i="3" a="1"/>
  <c r="AA571" i="3" s="1"/>
  <c r="AB571" i="3" s="1"/>
  <c r="AA574" i="3" a="1"/>
  <c r="AA574" i="3" s="1"/>
  <c r="AB574" i="3" s="1"/>
  <c r="AA577" i="3" a="1"/>
  <c r="AA577" i="3" s="1"/>
  <c r="AB577" i="3" s="1"/>
  <c r="AA581" i="3" a="1"/>
  <c r="AA581" i="3" s="1"/>
  <c r="AB581" i="3" s="1"/>
  <c r="AA587" i="3" a="1"/>
  <c r="AA587" i="3" s="1"/>
  <c r="AB587" i="3" s="1"/>
  <c r="AA590" i="3" a="1"/>
  <c r="AA590" i="3" s="1"/>
  <c r="AB590" i="3" s="1"/>
  <c r="AA593" i="3" a="1"/>
  <c r="AA593" i="3" s="1"/>
  <c r="AB593" i="3" s="1"/>
  <c r="AA596" i="3" a="1"/>
  <c r="AA596" i="3" s="1"/>
  <c r="AB596" i="3" s="1"/>
  <c r="AA599" i="3" a="1"/>
  <c r="AA599" i="3" s="1"/>
  <c r="AB599" i="3" s="1"/>
  <c r="AA602" i="3" a="1"/>
  <c r="AA602" i="3" s="1"/>
  <c r="AB602" i="3" s="1"/>
  <c r="AA605" i="3" a="1"/>
  <c r="AA605" i="3" s="1"/>
  <c r="AB605" i="3" s="1"/>
  <c r="AA613" i="3" a="1"/>
  <c r="AA613" i="3" s="1"/>
  <c r="AB613" i="3" s="1"/>
  <c r="AA616" i="3" a="1"/>
  <c r="AA616" i="3" s="1"/>
  <c r="AB616" i="3" s="1"/>
  <c r="AA621" i="3" a="1"/>
  <c r="AA621" i="3" s="1"/>
  <c r="AB621" i="3" s="1"/>
  <c r="AA624" i="3" a="1"/>
  <c r="AA624" i="3" s="1"/>
  <c r="AB624" i="3" s="1"/>
  <c r="AA629" i="3" a="1"/>
  <c r="AA629" i="3" s="1"/>
  <c r="AB629" i="3" s="1"/>
  <c r="AA632" i="3" a="1"/>
  <c r="AA632" i="3" s="1"/>
  <c r="AB632" i="3" s="1"/>
  <c r="AA530" i="3" a="1"/>
  <c r="AA530" i="3" s="1"/>
  <c r="AB530" i="3" s="1"/>
  <c r="AA540" i="3" a="1"/>
  <c r="AA540" i="3" s="1"/>
  <c r="AB540" i="3" s="1"/>
  <c r="AA546" i="3" a="1"/>
  <c r="AA546" i="3" s="1"/>
  <c r="AB546" i="3" s="1"/>
  <c r="AA556" i="3" a="1"/>
  <c r="AA556" i="3" s="1"/>
  <c r="AB556" i="3" s="1"/>
  <c r="AA562" i="3" a="1"/>
  <c r="AA562" i="3" s="1"/>
  <c r="AB562" i="3" s="1"/>
  <c r="AA572" i="3" a="1"/>
  <c r="AA572" i="3" s="1"/>
  <c r="AB572" i="3" s="1"/>
  <c r="AA578" i="3" a="1"/>
  <c r="AA578" i="3" s="1"/>
  <c r="AB578" i="3" s="1"/>
  <c r="AA588" i="3" a="1"/>
  <c r="AA588" i="3" s="1"/>
  <c r="AB588" i="3" s="1"/>
  <c r="AA594" i="3" a="1"/>
  <c r="AA594" i="3" s="1"/>
  <c r="AB594" i="3" s="1"/>
  <c r="AA603" i="3" a="1"/>
  <c r="AA603" i="3" s="1"/>
  <c r="AB603" i="3" s="1"/>
  <c r="AA611" i="3" a="1"/>
  <c r="AA611" i="3" s="1"/>
  <c r="AB611" i="3" s="1"/>
  <c r="AA619" i="3" a="1"/>
  <c r="AA619" i="3" s="1"/>
  <c r="AB619" i="3" s="1"/>
  <c r="AA630" i="3" a="1"/>
  <c r="AA630" i="3" s="1"/>
  <c r="AB630" i="3" s="1"/>
  <c r="AA579" i="3" a="1"/>
  <c r="AA579" i="3" s="1"/>
  <c r="AB579" i="3" s="1"/>
  <c r="AA595" i="3" a="1"/>
  <c r="AA595" i="3" s="1"/>
  <c r="AB595" i="3" s="1"/>
  <c r="AA612" i="3" a="1"/>
  <c r="AA612" i="3" s="1"/>
  <c r="AB612" i="3" s="1"/>
  <c r="AA633" i="3" a="1"/>
  <c r="AA633" i="3" s="1"/>
  <c r="AB633" i="3" s="1"/>
  <c r="AA189" i="3" a="1"/>
  <c r="AA189" i="3" s="1"/>
  <c r="AB189" i="3" s="1"/>
  <c r="AA219" i="3" a="1"/>
  <c r="AA219" i="3" s="1"/>
  <c r="AB219" i="3" s="1"/>
  <c r="AA244" i="3" a="1"/>
  <c r="AA244" i="3" s="1"/>
  <c r="AB244" i="3" s="1"/>
  <c r="AA262" i="3" a="1"/>
  <c r="AA262" i="3" s="1"/>
  <c r="AB262" i="3" s="1"/>
  <c r="AA279" i="3" a="1"/>
  <c r="AA279" i="3" s="1"/>
  <c r="AB279" i="3" s="1"/>
  <c r="AA305" i="3" a="1"/>
  <c r="AA305" i="3" s="1"/>
  <c r="AB305" i="3" s="1"/>
  <c r="AA334" i="3" a="1"/>
  <c r="AA334" i="3" s="1"/>
  <c r="AB334" i="3" s="1"/>
  <c r="AA348" i="3" a="1"/>
  <c r="AA348" i="3" s="1"/>
  <c r="AB348" i="3" s="1"/>
  <c r="AA361" i="3" a="1"/>
  <c r="AA361" i="3" s="1"/>
  <c r="AB361" i="3" s="1"/>
  <c r="AA375" i="3" a="1"/>
  <c r="AA375" i="3" s="1"/>
  <c r="AB375" i="3" s="1"/>
  <c r="AA400" i="3" a="1"/>
  <c r="AA400" i="3" s="1"/>
  <c r="AB400" i="3" s="1"/>
  <c r="AA413" i="3" a="1"/>
  <c r="AA413" i="3" s="1"/>
  <c r="AB413" i="3" s="1"/>
  <c r="AA426" i="3" a="1"/>
  <c r="AA426" i="3" s="1"/>
  <c r="AB426" i="3" s="1"/>
  <c r="AA439" i="3" a="1"/>
  <c r="AA439" i="3" s="1"/>
  <c r="AB439" i="3" s="1"/>
  <c r="AA464" i="3" a="1"/>
  <c r="AA464" i="3" s="1"/>
  <c r="AB464" i="3" s="1"/>
  <c r="AA490" i="3" a="1"/>
  <c r="AA490" i="3" s="1"/>
  <c r="AB490" i="3" s="1"/>
  <c r="AA497" i="3" a="1"/>
  <c r="AA497" i="3" s="1"/>
  <c r="AB497" i="3" s="1"/>
  <c r="AA504" i="3" a="1"/>
  <c r="AA504" i="3" s="1"/>
  <c r="AB504" i="3" s="1"/>
  <c r="AA508" i="3" a="1"/>
  <c r="AA508" i="3" s="1"/>
  <c r="AB508" i="3" s="1"/>
  <c r="AA511" i="3" a="1"/>
  <c r="AA511" i="3" s="1"/>
  <c r="AB511" i="3" s="1"/>
  <c r="AA514" i="3" a="1"/>
  <c r="AA514" i="3" s="1"/>
  <c r="AB514" i="3" s="1"/>
  <c r="AA520" i="3" a="1"/>
  <c r="AA520" i="3" s="1"/>
  <c r="AB520" i="3" s="1"/>
  <c r="AA524" i="3" a="1"/>
  <c r="AA524" i="3" s="1"/>
  <c r="AB524" i="3" s="1"/>
  <c r="AA527" i="3" a="1"/>
  <c r="AA527" i="3" s="1"/>
  <c r="AB527" i="3" s="1"/>
  <c r="AA536" i="3" a="1"/>
  <c r="AA536" i="3" s="1"/>
  <c r="AB536" i="3" s="1"/>
  <c r="AA543" i="3" a="1"/>
  <c r="AA543" i="3" s="1"/>
  <c r="AB543" i="3" s="1"/>
  <c r="AA552" i="3" a="1"/>
  <c r="AA552" i="3" s="1"/>
  <c r="AB552" i="3" s="1"/>
  <c r="AA559" i="3" a="1"/>
  <c r="AA559" i="3" s="1"/>
  <c r="AB559" i="3" s="1"/>
  <c r="AA568" i="3" a="1"/>
  <c r="AA568" i="3" s="1"/>
  <c r="AB568" i="3" s="1"/>
  <c r="AA575" i="3" a="1"/>
  <c r="AA575" i="3" s="1"/>
  <c r="AB575" i="3" s="1"/>
  <c r="AA584" i="3" a="1"/>
  <c r="AA584" i="3" s="1"/>
  <c r="AB584" i="3" s="1"/>
  <c r="AA591" i="3" a="1"/>
  <c r="AA591" i="3" s="1"/>
  <c r="AB591" i="3" s="1"/>
  <c r="AA597" i="3" a="1"/>
  <c r="AA597" i="3" s="1"/>
  <c r="AB597" i="3" s="1"/>
  <c r="AA608" i="3" a="1"/>
  <c r="AA608" i="3" s="1"/>
  <c r="AB608" i="3" s="1"/>
  <c r="AA614" i="3" a="1"/>
  <c r="AA614" i="3" s="1"/>
  <c r="AB614" i="3" s="1"/>
  <c r="AA627" i="3" a="1"/>
  <c r="AA627" i="3" s="1"/>
  <c r="AB627" i="3" s="1"/>
  <c r="AA573" i="3" a="1"/>
  <c r="AA573" i="3" s="1"/>
  <c r="AB573" i="3" s="1"/>
  <c r="AA589" i="3" a="1"/>
  <c r="AA589" i="3" s="1"/>
  <c r="AB589" i="3" s="1"/>
  <c r="AA606" i="3" a="1"/>
  <c r="AA606" i="3" s="1"/>
  <c r="AB606" i="3" s="1"/>
  <c r="AA625" i="3" a="1"/>
  <c r="AA625" i="3" s="1"/>
  <c r="AB625" i="3" s="1"/>
  <c r="AA225" i="3" a="1"/>
  <c r="AA225" i="3" s="1"/>
  <c r="AB225" i="3" s="1"/>
  <c r="AA249" i="3" a="1"/>
  <c r="AA249" i="3" s="1"/>
  <c r="AB249" i="3" s="1"/>
  <c r="AA266" i="3" a="1"/>
  <c r="AA266" i="3" s="1"/>
  <c r="AB266" i="3" s="1"/>
  <c r="AA282" i="3" a="1"/>
  <c r="AA282" i="3" s="1"/>
  <c r="AB282" i="3" s="1"/>
  <c r="AA295" i="3" a="1"/>
  <c r="AA295" i="3" s="1"/>
  <c r="AB295" i="3" s="1"/>
  <c r="AA309" i="3" a="1"/>
  <c r="AA309" i="3" s="1"/>
  <c r="AB309" i="3" s="1"/>
  <c r="AA323" i="3" a="1"/>
  <c r="AA323" i="3" s="1"/>
  <c r="AB323" i="3" s="1"/>
  <c r="AA337" i="3" a="1"/>
  <c r="AA337" i="3" s="1"/>
  <c r="AB337" i="3" s="1"/>
  <c r="AA364" i="3" a="1"/>
  <c r="AA364" i="3" s="1"/>
  <c r="AB364" i="3" s="1"/>
  <c r="AA378" i="3" a="1"/>
  <c r="AA378" i="3" s="1"/>
  <c r="AB378" i="3" s="1"/>
  <c r="AA391" i="3" a="1"/>
  <c r="AA391" i="3" s="1"/>
  <c r="AB391" i="3" s="1"/>
  <c r="AA416" i="3" a="1"/>
  <c r="AA416" i="3" s="1"/>
  <c r="AB416" i="3" s="1"/>
  <c r="AA429" i="3" a="1"/>
  <c r="AA429" i="3" s="1"/>
  <c r="AB429" i="3" s="1"/>
  <c r="AA442" i="3" a="1"/>
  <c r="AA442" i="3" s="1"/>
  <c r="AB442" i="3" s="1"/>
  <c r="AA455" i="3" a="1"/>
  <c r="AA455" i="3" s="1"/>
  <c r="AB455" i="3" s="1"/>
  <c r="AA468" i="3" a="1"/>
  <c r="AA468" i="3" s="1"/>
  <c r="AB468" i="3" s="1"/>
  <c r="AA480" i="3" a="1"/>
  <c r="AA480" i="3" s="1"/>
  <c r="AB480" i="3" s="1"/>
  <c r="AA499" i="3" a="1"/>
  <c r="AA499" i="3" s="1"/>
  <c r="AB499" i="3" s="1"/>
  <c r="AA502" i="3" a="1"/>
  <c r="AA502" i="3" s="1"/>
  <c r="AB502" i="3" s="1"/>
  <c r="AA505" i="3" a="1"/>
  <c r="AA505" i="3" s="1"/>
  <c r="AB505" i="3" s="1"/>
  <c r="AA509" i="3" a="1"/>
  <c r="AA509" i="3" s="1"/>
  <c r="AB509" i="3" s="1"/>
  <c r="AA515" i="3" a="1"/>
  <c r="AA515" i="3" s="1"/>
  <c r="AB515" i="3" s="1"/>
  <c r="AA518" i="3" a="1"/>
  <c r="AA518" i="3" s="1"/>
  <c r="AB518" i="3" s="1"/>
  <c r="AA521" i="3" a="1"/>
  <c r="AA521" i="3" s="1"/>
  <c r="AB521" i="3" s="1"/>
  <c r="AA525" i="3" a="1"/>
  <c r="AA525" i="3" s="1"/>
  <c r="AB525" i="3" s="1"/>
  <c r="AA531" i="3" a="1"/>
  <c r="AA531" i="3" s="1"/>
  <c r="AB531" i="3" s="1"/>
  <c r="AA534" i="3" a="1"/>
  <c r="AA534" i="3" s="1"/>
  <c r="AB534" i="3" s="1"/>
  <c r="AA537" i="3" a="1"/>
  <c r="AA537" i="3" s="1"/>
  <c r="AB537" i="3" s="1"/>
  <c r="AA541" i="3" a="1"/>
  <c r="AA541" i="3" s="1"/>
  <c r="AB541" i="3" s="1"/>
  <c r="AA547" i="3" a="1"/>
  <c r="AA547" i="3" s="1"/>
  <c r="AB547" i="3" s="1"/>
  <c r="AA550" i="3" a="1"/>
  <c r="AA550" i="3" s="1"/>
  <c r="AB550" i="3" s="1"/>
  <c r="AA553" i="3" a="1"/>
  <c r="AA553" i="3" s="1"/>
  <c r="AB553" i="3" s="1"/>
  <c r="AA557" i="3" a="1"/>
  <c r="AA557" i="3" s="1"/>
  <c r="AB557" i="3" s="1"/>
  <c r="AA563" i="3" a="1"/>
  <c r="AA563" i="3" s="1"/>
  <c r="AB563" i="3" s="1"/>
  <c r="AA569" i="3" a="1"/>
  <c r="AA569" i="3" s="1"/>
  <c r="AB569" i="3" s="1"/>
  <c r="AA585" i="3" a="1"/>
  <c r="AA585" i="3" s="1"/>
  <c r="AB585" i="3" s="1"/>
  <c r="AA609" i="3" a="1"/>
  <c r="AA609" i="3" s="1"/>
  <c r="AB609" i="3" s="1"/>
  <c r="AA620" i="3" a="1"/>
  <c r="AA620" i="3" s="1"/>
  <c r="AB620" i="3" s="1"/>
  <c r="D383" i="3"/>
  <c r="D438" i="3"/>
  <c r="D61" i="3"/>
  <c r="D439" i="3"/>
  <c r="D582" i="3"/>
  <c r="D324" i="3"/>
  <c r="D437" i="3"/>
  <c r="D528" i="3"/>
  <c r="D211" i="3"/>
  <c r="D63" i="3"/>
  <c r="D381" i="3"/>
  <c r="D263" i="3"/>
  <c r="D382" i="3"/>
  <c r="D158" i="3"/>
  <c r="D107" i="3"/>
  <c r="D60" i="3"/>
  <c r="D106" i="3"/>
  <c r="D483" i="3"/>
  <c r="D212" i="3"/>
  <c r="D210" i="3"/>
  <c r="D632" i="3"/>
  <c r="D209" i="3"/>
  <c r="D323" i="3"/>
  <c r="D482" i="3"/>
  <c r="D633" i="3"/>
  <c r="D59" i="3"/>
  <c r="D157" i="3"/>
  <c r="D436" i="3"/>
  <c r="D378" i="3"/>
  <c r="D156" i="3"/>
  <c r="D580" i="3"/>
  <c r="D105" i="3"/>
  <c r="D322" i="3"/>
  <c r="D379" i="3"/>
  <c r="D581" i="3"/>
  <c r="D380" i="3"/>
  <c r="D481" i="3"/>
  <c r="D527" i="3"/>
  <c r="D58" i="3"/>
  <c r="D103" i="3"/>
  <c r="D434" i="3"/>
  <c r="D435" i="3"/>
  <c r="D104" i="3"/>
  <c r="D155" i="3"/>
  <c r="D101" i="3"/>
  <c r="D102" i="3"/>
  <c r="D526" i="3"/>
  <c r="D579" i="3"/>
  <c r="D261" i="3"/>
  <c r="D525" i="3"/>
  <c r="D576" i="3"/>
  <c r="D208" i="3"/>
  <c r="D154" i="3"/>
  <c r="D479" i="3"/>
  <c r="D578" i="3"/>
  <c r="D153" i="3"/>
  <c r="D577" i="3"/>
  <c r="D480" i="3"/>
  <c r="D262" i="3"/>
  <c r="D321" i="3"/>
  <c r="D522" i="3"/>
  <c r="D478" i="3"/>
  <c r="D524" i="3"/>
  <c r="D259" i="3"/>
  <c r="D320" i="3"/>
  <c r="D377" i="3"/>
  <c r="D523" i="3"/>
  <c r="D258" i="3"/>
  <c r="D207" i="3"/>
  <c r="D319" i="3"/>
  <c r="D100" i="3"/>
  <c r="D57" i="3"/>
  <c r="D631" i="3"/>
  <c r="D376" i="3"/>
  <c r="D206" i="3"/>
  <c r="D260" i="3"/>
  <c r="D374" i="3"/>
  <c r="D477" i="3"/>
  <c r="D318" i="3"/>
  <c r="D152" i="3"/>
  <c r="D98" i="3"/>
  <c r="D315" i="3"/>
  <c r="D317" i="3"/>
  <c r="D204" i="3"/>
  <c r="D205" i="3"/>
  <c r="D575" i="3"/>
  <c r="D521" i="3"/>
  <c r="D257" i="3"/>
  <c r="D375" i="3"/>
  <c r="D56" i="3"/>
  <c r="D630" i="3"/>
  <c r="D97" i="3"/>
  <c r="D373" i="3"/>
  <c r="D316" i="3"/>
  <c r="D433" i="3"/>
  <c r="D99" i="3"/>
  <c r="D203" i="3"/>
  <c r="D55" i="3"/>
  <c r="D52" i="3"/>
  <c r="D574" i="3"/>
  <c r="D371" i="3"/>
  <c r="D53" i="3"/>
  <c r="D256" i="3"/>
  <c r="D432" i="3"/>
  <c r="D51" i="3"/>
  <c r="D519" i="3"/>
  <c r="D628" i="3"/>
  <c r="D476" i="3"/>
  <c r="D629" i="3"/>
  <c r="D520" i="3"/>
  <c r="D54" i="3"/>
  <c r="D572" i="3"/>
  <c r="D372" i="3"/>
  <c r="D255" i="3"/>
  <c r="D202" i="3"/>
  <c r="D201" i="3"/>
  <c r="D573" i="3"/>
  <c r="D370" i="3"/>
  <c r="D150" i="3"/>
  <c r="D50" i="3"/>
  <c r="D431" i="3"/>
  <c r="D314" i="3"/>
  <c r="D367" i="3"/>
  <c r="D475" i="3"/>
  <c r="D254" i="3"/>
  <c r="D48" i="3"/>
  <c r="D313" i="3"/>
  <c r="D369" i="3"/>
  <c r="D368" i="3"/>
  <c r="D49" i="3"/>
  <c r="D474" i="3"/>
  <c r="D253" i="3"/>
  <c r="D151" i="3"/>
  <c r="D473" i="3"/>
  <c r="D472" i="3"/>
  <c r="D627" i="3"/>
  <c r="D252" i="3"/>
  <c r="D312" i="3"/>
  <c r="D366" i="3"/>
  <c r="D311" i="3"/>
  <c r="D365" i="3"/>
  <c r="D430" i="3"/>
  <c r="D46" i="3"/>
  <c r="D47" i="3"/>
  <c r="D200" i="3"/>
  <c r="D570" i="3"/>
  <c r="D569" i="3"/>
  <c r="D471" i="3"/>
  <c r="D198" i="3"/>
  <c r="D96" i="3"/>
  <c r="D251" i="3"/>
  <c r="D45" i="3"/>
  <c r="D149" i="3"/>
  <c r="D428" i="3"/>
  <c r="D571" i="3"/>
  <c r="D197" i="3"/>
  <c r="D429" i="3"/>
  <c r="D43" i="3"/>
  <c r="D364" i="3"/>
  <c r="D44" i="3"/>
  <c r="D626" i="3"/>
  <c r="D625" i="3"/>
  <c r="D363" i="3"/>
  <c r="D199" i="3"/>
  <c r="D518" i="3"/>
  <c r="D567" i="3"/>
  <c r="D148" i="3"/>
  <c r="D308" i="3"/>
  <c r="D309" i="3"/>
  <c r="D306" i="3"/>
  <c r="D307" i="3"/>
  <c r="D568" i="3"/>
  <c r="D145" i="3"/>
  <c r="D249" i="3"/>
  <c r="D147" i="3"/>
  <c r="D196" i="3"/>
  <c r="D310" i="3"/>
  <c r="D250" i="3"/>
  <c r="D194" i="3"/>
  <c r="D95" i="3"/>
  <c r="D94" i="3"/>
  <c r="D624" i="3"/>
  <c r="D566" i="3"/>
  <c r="D426" i="3"/>
  <c r="D193" i="3"/>
  <c r="D146" i="3"/>
  <c r="D362" i="3"/>
  <c r="D470" i="3"/>
  <c r="D427" i="3"/>
  <c r="D248" i="3"/>
  <c r="D425" i="3"/>
  <c r="D192" i="3"/>
  <c r="D247" i="3"/>
  <c r="D305" i="3"/>
  <c r="D195" i="3"/>
  <c r="D144" i="3"/>
  <c r="D41" i="3"/>
  <c r="D93" i="3"/>
  <c r="D42" i="3"/>
  <c r="D565" i="3"/>
  <c r="D143" i="3"/>
  <c r="D92" i="3"/>
  <c r="D304" i="3"/>
  <c r="D361" i="3"/>
  <c r="D303" i="3"/>
  <c r="D422" i="3"/>
  <c r="D360" i="3"/>
  <c r="D246" i="3"/>
  <c r="D141" i="3"/>
  <c r="D424" i="3"/>
  <c r="D91" i="3"/>
  <c r="D359" i="3"/>
  <c r="D467" i="3"/>
  <c r="D562" i="3"/>
  <c r="D191" i="3"/>
  <c r="D622" i="3"/>
  <c r="D302" i="3"/>
  <c r="D564" i="3"/>
  <c r="D623" i="3"/>
  <c r="D423" i="3"/>
  <c r="D466" i="3"/>
  <c r="D468" i="3"/>
  <c r="D142" i="3"/>
  <c r="D190" i="3"/>
  <c r="D517" i="3"/>
  <c r="D469" i="3"/>
  <c r="D89" i="3"/>
  <c r="D39" i="3"/>
  <c r="D563" i="3"/>
  <c r="D140" i="3"/>
  <c r="D561" i="3"/>
  <c r="D38" i="3"/>
  <c r="D420" i="3"/>
  <c r="D139" i="3"/>
  <c r="D516" i="3"/>
  <c r="D90" i="3"/>
  <c r="D421" i="3"/>
  <c r="D40" i="3"/>
  <c r="D138" i="3"/>
  <c r="D355" i="3"/>
  <c r="D358" i="3"/>
  <c r="D37" i="3"/>
  <c r="D245" i="3"/>
  <c r="D137" i="3"/>
  <c r="D300" i="3"/>
  <c r="D560" i="3"/>
  <c r="D299" i="3"/>
  <c r="D465" i="3"/>
  <c r="D621" i="3"/>
  <c r="D301" i="3"/>
  <c r="D356" i="3"/>
  <c r="D189" i="3"/>
  <c r="D188" i="3"/>
  <c r="D354" i="3"/>
  <c r="D357" i="3"/>
  <c r="D244" i="3"/>
  <c r="D559" i="3"/>
  <c r="D618" i="3"/>
  <c r="D88" i="3"/>
  <c r="D620" i="3"/>
  <c r="D298" i="3"/>
  <c r="D515" i="3"/>
  <c r="D353" i="3"/>
  <c r="D352" i="3"/>
  <c r="D617" i="3"/>
  <c r="D36" i="3"/>
  <c r="D619" i="3"/>
  <c r="D351" i="3"/>
  <c r="D419" i="3"/>
  <c r="D187" i="3"/>
  <c r="D185" i="3"/>
  <c r="D186" i="3"/>
  <c r="D35" i="3"/>
  <c r="D87" i="3"/>
  <c r="D616" i="3"/>
  <c r="D136" i="3"/>
  <c r="D514" i="3"/>
  <c r="D418" i="3"/>
  <c r="D416" i="3"/>
  <c r="D417" i="3"/>
  <c r="D350" i="3"/>
  <c r="D34" i="3"/>
  <c r="D349" i="3"/>
  <c r="D135" i="3"/>
  <c r="D463" i="3"/>
  <c r="D134" i="3"/>
  <c r="D86" i="3"/>
  <c r="D513" i="3"/>
  <c r="D415" i="3"/>
  <c r="D33" i="3"/>
  <c r="D464" i="3"/>
  <c r="D243" i="3"/>
  <c r="D558" i="3"/>
  <c r="D512" i="3"/>
  <c r="D297" i="3"/>
  <c r="D85" i="3"/>
  <c r="D413" i="3"/>
  <c r="D348" i="3"/>
  <c r="D414" i="3"/>
  <c r="D242" i="3"/>
  <c r="D296" i="3"/>
  <c r="D132" i="3"/>
  <c r="D411" i="3"/>
  <c r="D184" i="3"/>
  <c r="D615" i="3"/>
  <c r="D557" i="3"/>
  <c r="D133" i="3"/>
  <c r="D412" i="3"/>
  <c r="D31" i="3"/>
  <c r="D32" i="3"/>
  <c r="D347" i="3"/>
  <c r="D511" i="3"/>
  <c r="D84" i="3"/>
  <c r="D460" i="3"/>
  <c r="D556" i="3"/>
  <c r="D510" i="3"/>
  <c r="D613" i="3"/>
  <c r="D462" i="3"/>
  <c r="D241" i="3"/>
  <c r="D555" i="3"/>
  <c r="D614" i="3"/>
  <c r="D410" i="3"/>
  <c r="D183" i="3"/>
  <c r="D240" i="3"/>
  <c r="D459" i="3"/>
  <c r="D182" i="3"/>
  <c r="D554" i="3"/>
  <c r="D295" i="3"/>
  <c r="D461" i="3"/>
  <c r="D409" i="3"/>
  <c r="D552" i="3"/>
  <c r="D509" i="3"/>
  <c r="D458" i="3"/>
  <c r="D408" i="3"/>
  <c r="D131" i="3"/>
  <c r="D553" i="3"/>
  <c r="D239" i="3"/>
  <c r="D612" i="3"/>
  <c r="D29" i="3"/>
  <c r="D181" i="3"/>
  <c r="D238" i="3"/>
  <c r="D180" i="3"/>
  <c r="D611" i="3"/>
  <c r="D457" i="3"/>
  <c r="D83" i="3"/>
  <c r="D179" i="3"/>
  <c r="D30" i="3"/>
  <c r="D456" i="3"/>
  <c r="D407" i="3"/>
  <c r="D610" i="3"/>
  <c r="D235" i="3"/>
  <c r="D346" i="3"/>
  <c r="D609" i="3"/>
  <c r="D294" i="3"/>
  <c r="D130" i="3"/>
  <c r="D608" i="3"/>
  <c r="D455" i="3"/>
  <c r="D293" i="3"/>
  <c r="D236" i="3"/>
  <c r="D607" i="3"/>
  <c r="D551" i="3"/>
  <c r="D237" i="3"/>
  <c r="D129" i="3"/>
  <c r="D508" i="3"/>
  <c r="D82" i="3"/>
  <c r="D26" i="3"/>
  <c r="D178" i="3"/>
  <c r="D128" i="3"/>
  <c r="D406" i="3"/>
  <c r="D292" i="3"/>
  <c r="D81" i="3"/>
  <c r="D27" i="3"/>
  <c r="D405" i="3"/>
  <c r="D28" i="3"/>
  <c r="D403" i="3"/>
  <c r="D234" i="3"/>
  <c r="D177" i="3"/>
  <c r="D606" i="3"/>
  <c r="D126" i="3"/>
  <c r="D127" i="3"/>
  <c r="D176" i="3"/>
  <c r="D232" i="3"/>
  <c r="D404" i="3"/>
  <c r="D233" i="3"/>
  <c r="D345" i="3"/>
  <c r="D231" i="3"/>
  <c r="D550" i="3"/>
  <c r="D505" i="3"/>
  <c r="D344" i="3"/>
  <c r="D504" i="3"/>
  <c r="D605" i="3"/>
  <c r="D507" i="3"/>
  <c r="D289" i="3"/>
  <c r="D603" i="3"/>
  <c r="D506" i="3"/>
  <c r="D25" i="3"/>
  <c r="D549" i="3"/>
  <c r="D291" i="3"/>
  <c r="D175" i="3"/>
  <c r="D290" i="3"/>
  <c r="D402" i="3"/>
  <c r="D287" i="3"/>
  <c r="D604" i="3"/>
  <c r="D343" i="3"/>
  <c r="D286" i="3"/>
  <c r="D285" i="3"/>
  <c r="D342" i="3"/>
  <c r="D288" i="3"/>
  <c r="D174" i="3"/>
  <c r="D454" i="3"/>
  <c r="D173" i="3"/>
  <c r="D80" i="3"/>
  <c r="D230" i="3"/>
  <c r="D602" i="3"/>
  <c r="D503" i="3"/>
  <c r="D24" i="3"/>
  <c r="D79" i="3"/>
  <c r="D341" i="3"/>
  <c r="D21" i="3"/>
  <c r="D502" i="3"/>
  <c r="D23" i="3"/>
  <c r="D125" i="3"/>
  <c r="D337" i="3"/>
  <c r="D339" i="3"/>
  <c r="D229" i="3"/>
  <c r="D172" i="3"/>
  <c r="D22" i="3"/>
  <c r="D283" i="3"/>
  <c r="D228" i="3"/>
  <c r="D284" i="3"/>
  <c r="D548" i="3"/>
  <c r="D340" i="3"/>
  <c r="D338" i="3"/>
  <c r="D20" i="3"/>
  <c r="D501" i="3"/>
  <c r="D19" i="3"/>
  <c r="D171" i="3"/>
  <c r="D78" i="3"/>
  <c r="D282" i="3"/>
  <c r="D124" i="3"/>
  <c r="D546" i="3"/>
  <c r="D500" i="3"/>
  <c r="D401" i="3"/>
  <c r="D122" i="3"/>
  <c r="D335" i="3"/>
  <c r="D336" i="3"/>
  <c r="D601" i="3"/>
  <c r="D18" i="3"/>
  <c r="D123" i="3"/>
  <c r="D281" i="3"/>
  <c r="D547" i="3"/>
  <c r="D400" i="3"/>
  <c r="D17" i="3"/>
  <c r="D453" i="3"/>
  <c r="D334" i="3"/>
  <c r="D599" i="3"/>
  <c r="D278" i="3"/>
  <c r="D277" i="3"/>
  <c r="D280" i="3"/>
  <c r="D121" i="3"/>
  <c r="D600" i="3"/>
  <c r="D16" i="3"/>
  <c r="D77" i="3"/>
  <c r="D279" i="3"/>
  <c r="D544" i="3"/>
  <c r="D498" i="3"/>
  <c r="D169" i="3"/>
  <c r="D170" i="3"/>
  <c r="D452" i="3"/>
  <c r="D399" i="3"/>
  <c r="D76" i="3"/>
  <c r="D74" i="3"/>
  <c r="D545" i="3"/>
  <c r="D499" i="3"/>
  <c r="D497" i="3"/>
  <c r="D598" i="3"/>
  <c r="D120" i="3"/>
  <c r="D75" i="3"/>
  <c r="D276" i="3"/>
  <c r="D496" i="3"/>
  <c r="D227" i="3"/>
  <c r="D119" i="3"/>
  <c r="D398" i="3"/>
  <c r="D597" i="3"/>
  <c r="D14" i="3"/>
  <c r="D451" i="3"/>
  <c r="D543" i="3"/>
  <c r="D73" i="3"/>
  <c r="D168" i="3"/>
  <c r="D397" i="3"/>
  <c r="D15" i="3"/>
  <c r="D13" i="3"/>
  <c r="D72" i="3"/>
  <c r="D542" i="3"/>
  <c r="D450" i="3"/>
  <c r="D495" i="3"/>
  <c r="D333" i="3"/>
  <c r="D118" i="3"/>
  <c r="D167" i="3"/>
  <c r="D541" i="3"/>
  <c r="D12" i="3"/>
  <c r="D492" i="3"/>
  <c r="D11" i="3"/>
  <c r="D275" i="3"/>
  <c r="D494" i="3"/>
  <c r="D330" i="3"/>
  <c r="D165" i="3"/>
  <c r="D332" i="3"/>
  <c r="D71" i="3"/>
  <c r="D449" i="3"/>
  <c r="D10" i="3"/>
  <c r="D493" i="3"/>
  <c r="D540" i="3"/>
  <c r="D166" i="3"/>
  <c r="D396" i="3"/>
  <c r="D226" i="3"/>
  <c r="D448" i="3"/>
  <c r="D595" i="3"/>
  <c r="D596" i="3"/>
  <c r="D8" i="3"/>
  <c r="D447" i="3"/>
  <c r="D331" i="3"/>
  <c r="D7" i="3"/>
  <c r="D538" i="3"/>
  <c r="D594" i="3"/>
  <c r="D69" i="3"/>
  <c r="D9" i="3"/>
  <c r="D593" i="3"/>
  <c r="D70" i="3"/>
  <c r="D592" i="3"/>
  <c r="D537" i="3"/>
  <c r="D117" i="3"/>
  <c r="D224" i="3"/>
  <c r="D273" i="3"/>
  <c r="D395" i="3"/>
  <c r="D539" i="3"/>
  <c r="D490" i="3"/>
  <c r="D116" i="3"/>
  <c r="D225" i="3"/>
  <c r="D446" i="3"/>
  <c r="D393" i="3"/>
  <c r="D115" i="3"/>
  <c r="D274" i="3"/>
  <c r="D489" i="3"/>
  <c r="D114" i="3"/>
  <c r="D271" i="3"/>
  <c r="D591" i="3"/>
  <c r="D6" i="3"/>
  <c r="D394" i="3"/>
  <c r="D270" i="3"/>
  <c r="D113" i="3"/>
  <c r="D491" i="3"/>
  <c r="D268" i="3"/>
  <c r="D443" i="3"/>
  <c r="D111" i="3"/>
  <c r="D444" i="3"/>
  <c r="D590" i="3"/>
  <c r="D269" i="3"/>
  <c r="D272" i="3"/>
  <c r="D329" i="3"/>
  <c r="D328" i="3"/>
  <c r="D391" i="3"/>
  <c r="D221" i="3"/>
  <c r="D112" i="3"/>
  <c r="D535" i="3"/>
  <c r="D536" i="3"/>
  <c r="D445" i="3"/>
  <c r="D68" i="3"/>
  <c r="D267" i="3"/>
  <c r="D5" i="3"/>
  <c r="D223" i="3"/>
  <c r="D533" i="3"/>
  <c r="D164" i="3"/>
  <c r="D534" i="3"/>
  <c r="D589" i="3"/>
  <c r="D392" i="3"/>
  <c r="D266" i="3"/>
  <c r="D163" i="3"/>
  <c r="D327" i="3"/>
  <c r="D222" i="3"/>
  <c r="D162" i="3"/>
  <c r="D67" i="3"/>
  <c r="D161" i="3"/>
  <c r="D388" i="3"/>
  <c r="D389" i="3"/>
  <c r="D588" i="3"/>
  <c r="D532" i="3"/>
  <c r="D442" i="3"/>
  <c r="D220" i="3"/>
  <c r="D390" i="3"/>
  <c r="D487" i="3"/>
  <c r="D110" i="3"/>
  <c r="D387" i="3"/>
  <c r="D488" i="3"/>
  <c r="D326" i="3"/>
  <c r="D386" i="3"/>
  <c r="D65" i="3"/>
  <c r="D66" i="3"/>
  <c r="D325" i="3"/>
  <c r="D217" i="3"/>
  <c r="D219" i="3"/>
  <c r="D109" i="3"/>
  <c r="D385" i="3"/>
  <c r="D216" i="3"/>
  <c r="D586" i="3"/>
  <c r="D531" i="3"/>
  <c r="D218" i="3"/>
  <c r="D4" i="3"/>
  <c r="D265" i="3"/>
  <c r="D585" i="3"/>
  <c r="D264" i="3"/>
  <c r="D160" i="3"/>
  <c r="D587" i="3"/>
  <c r="D486" i="3"/>
  <c r="D215" i="3"/>
  <c r="D214" i="3"/>
  <c r="D441" i="3"/>
  <c r="D3" i="3"/>
  <c r="D485" i="3"/>
  <c r="D2" i="3"/>
  <c r="D384" i="3"/>
  <c r="D529" i="3"/>
  <c r="D530" i="3"/>
  <c r="D584" i="3"/>
  <c r="D484" i="3"/>
  <c r="D159" i="3"/>
  <c r="D108" i="3"/>
  <c r="D213" i="3"/>
  <c r="D583" i="3"/>
  <c r="D440" i="3"/>
  <c r="D64" i="3"/>
  <c r="D62" i="3"/>
  <c r="O482" i="3"/>
  <c r="AK482" i="3" s="1"/>
  <c r="AM482" i="3" s="1"/>
  <c r="O386" i="3"/>
  <c r="AK386" i="3" s="1"/>
  <c r="AM386" i="3" s="1"/>
  <c r="O207" i="3"/>
  <c r="AK207" i="3" s="1"/>
  <c r="AM207" i="3" s="1"/>
  <c r="O610" i="3"/>
  <c r="AK610" i="3" s="1"/>
  <c r="AM610" i="3" s="1"/>
  <c r="O514" i="3"/>
  <c r="AK514" i="3" s="1"/>
  <c r="AM514" i="3" s="1"/>
  <c r="O63" i="3"/>
  <c r="AK63" i="3" s="1"/>
  <c r="AM63" i="3" s="1"/>
  <c r="O255" i="3"/>
  <c r="AK255" i="3" s="1"/>
  <c r="AM255" i="3" s="1"/>
  <c r="O586" i="3"/>
  <c r="AK586" i="3" s="1"/>
  <c r="AM586" i="3" s="1"/>
  <c r="O28" i="3"/>
  <c r="AK28" i="3" s="1"/>
  <c r="AM28" i="3" s="1"/>
  <c r="O393" i="3"/>
  <c r="AK393" i="3" s="1"/>
  <c r="AM393" i="3" s="1"/>
  <c r="O322" i="3"/>
  <c r="AK322" i="3" s="1"/>
  <c r="AM322" i="3" s="1"/>
  <c r="O234" i="3"/>
  <c r="AK234" i="3" s="1"/>
  <c r="AM234" i="3" s="1"/>
  <c r="O256" i="3"/>
  <c r="AK256" i="3" s="1"/>
  <c r="AM256" i="3" s="1"/>
  <c r="O227" i="3"/>
  <c r="AK227" i="3" s="1"/>
  <c r="AM227" i="3" s="1"/>
  <c r="O500" i="3"/>
  <c r="AK500" i="3" s="1"/>
  <c r="AM500" i="3" s="1"/>
  <c r="O629" i="3"/>
  <c r="AK629" i="3" s="1"/>
  <c r="AM629" i="3" s="1"/>
  <c r="O581" i="3"/>
  <c r="AK581" i="3" s="1"/>
  <c r="AM581" i="3" s="1"/>
  <c r="O366" i="3"/>
  <c r="AK366" i="3" s="1"/>
  <c r="AM366" i="3" s="1"/>
  <c r="O440" i="3"/>
  <c r="AK440" i="3" s="1"/>
  <c r="AM440" i="3" s="1"/>
  <c r="O314" i="3"/>
  <c r="AK314" i="3" s="1"/>
  <c r="AM314" i="3" s="1"/>
  <c r="O116" i="3"/>
  <c r="AK116" i="3" s="1"/>
  <c r="AM116" i="3" s="1"/>
  <c r="O100" i="3"/>
  <c r="AK100" i="3" s="1"/>
  <c r="AM100" i="3" s="1"/>
  <c r="O32" i="3"/>
  <c r="AK32" i="3" s="1"/>
  <c r="AM32" i="3" s="1"/>
  <c r="O490" i="3"/>
  <c r="AK490" i="3" s="1"/>
  <c r="AM490" i="3" s="1"/>
  <c r="O26" i="3"/>
  <c r="AK26" i="3" s="1"/>
  <c r="AM26" i="3" s="1"/>
  <c r="O203" i="3"/>
  <c r="AK203" i="3" s="1"/>
  <c r="AM203" i="3" s="1"/>
  <c r="O588" i="3"/>
  <c r="AK588" i="3" s="1"/>
  <c r="AM588" i="3" s="1"/>
  <c r="O331" i="3"/>
  <c r="AK331" i="3" s="1"/>
  <c r="AM331" i="3" s="1"/>
  <c r="O127" i="3"/>
  <c r="AK127" i="3" s="1"/>
  <c r="AM127" i="3" s="1"/>
  <c r="O2" i="3"/>
  <c r="O102" i="3"/>
  <c r="AK102" i="3" s="1"/>
  <c r="AM102" i="3" s="1"/>
  <c r="O356" i="3"/>
  <c r="AK356" i="3" s="1"/>
  <c r="AM356" i="3" s="1"/>
  <c r="O524" i="3"/>
  <c r="AK524" i="3" s="1"/>
  <c r="AM524" i="3" s="1"/>
  <c r="O302" i="3"/>
  <c r="AK302" i="3" s="1"/>
  <c r="AM302" i="3" s="1"/>
  <c r="O398" i="3"/>
  <c r="AK398" i="3" s="1"/>
  <c r="AM398" i="3" s="1"/>
  <c r="O164" i="3"/>
  <c r="AK164" i="3" s="1"/>
  <c r="AM164" i="3" s="1"/>
  <c r="O471" i="3"/>
  <c r="AK471" i="3" s="1"/>
  <c r="AM471" i="3" s="1"/>
  <c r="O50" i="3"/>
  <c r="AK50" i="3" s="1"/>
  <c r="AM50" i="3" s="1"/>
  <c r="O247" i="3"/>
  <c r="AK247" i="3" s="1"/>
  <c r="AM247" i="3" s="1"/>
  <c r="O590" i="3"/>
  <c r="AK590" i="3" s="1"/>
  <c r="AM590" i="3" s="1"/>
  <c r="O506" i="3"/>
  <c r="AK506" i="3" s="1"/>
  <c r="AM506" i="3" s="1"/>
  <c r="O42" i="3"/>
  <c r="AK42" i="3" s="1"/>
  <c r="AM42" i="3" s="1"/>
  <c r="O103" i="3"/>
  <c r="AK103" i="3" s="1"/>
  <c r="AM103" i="3" s="1"/>
  <c r="O253" i="3"/>
  <c r="AK253" i="3" s="1"/>
  <c r="AM253" i="3" s="1"/>
  <c r="O477" i="3"/>
  <c r="AK477" i="3" s="1"/>
  <c r="AM477" i="3" s="1"/>
  <c r="O444" i="3"/>
  <c r="AK444" i="3" s="1"/>
  <c r="AM444" i="3" s="1"/>
  <c r="O455" i="3"/>
  <c r="AK455" i="3" s="1"/>
  <c r="AM455" i="3" s="1"/>
  <c r="O150" i="3"/>
  <c r="AK150" i="3" s="1"/>
  <c r="AM150" i="3" s="1"/>
  <c r="O520" i="3"/>
  <c r="AK520" i="3" s="1"/>
  <c r="AM520" i="3" s="1"/>
  <c r="O359" i="3"/>
  <c r="AK359" i="3" s="1"/>
  <c r="AM359" i="3" s="1"/>
  <c r="O555" i="3"/>
  <c r="AK555" i="3" s="1"/>
  <c r="AM555" i="3" s="1"/>
  <c r="O194" i="3"/>
  <c r="AK194" i="3" s="1"/>
  <c r="AM194" i="3" s="1"/>
  <c r="O541" i="3"/>
  <c r="AK541" i="3" s="1"/>
  <c r="AM541" i="3" s="1"/>
  <c r="O137" i="3"/>
  <c r="AK137" i="3" s="1"/>
  <c r="AM137" i="3" s="1"/>
  <c r="O244" i="3"/>
  <c r="AK244" i="3" s="1"/>
  <c r="AM244" i="3" s="1"/>
  <c r="O266" i="3"/>
  <c r="AK266" i="3" s="1"/>
  <c r="AM266" i="3" s="1"/>
  <c r="O332" i="3"/>
  <c r="AK332" i="3" s="1"/>
  <c r="AM332" i="3" s="1"/>
  <c r="O59" i="3"/>
  <c r="AK59" i="3" s="1"/>
  <c r="AM59" i="3" s="1"/>
  <c r="O202" i="3"/>
  <c r="AK202" i="3" s="1"/>
  <c r="AM202" i="3" s="1"/>
  <c r="O626" i="3"/>
  <c r="AK626" i="3" s="1"/>
  <c r="AM626" i="3" s="1"/>
  <c r="O554" i="3"/>
  <c r="AK554" i="3" s="1"/>
  <c r="AM554" i="3" s="1"/>
  <c r="O364" i="3"/>
  <c r="AK364" i="3" s="1"/>
  <c r="AM364" i="3" s="1"/>
  <c r="O625" i="3"/>
  <c r="AK625" i="3" s="1"/>
  <c r="AM625" i="3" s="1"/>
  <c r="O628" i="3"/>
  <c r="AK628" i="3" s="1"/>
  <c r="AM628" i="3" s="1"/>
  <c r="O600" i="3"/>
  <c r="AK600" i="3" s="1"/>
  <c r="AM600" i="3" s="1"/>
  <c r="O426" i="3"/>
  <c r="AK426" i="3" s="1"/>
  <c r="AM426" i="3" s="1"/>
  <c r="O198" i="3"/>
  <c r="AK198" i="3" s="1"/>
  <c r="AM198" i="3" s="1"/>
  <c r="O94" i="3"/>
  <c r="AK94" i="3" s="1"/>
  <c r="AM94" i="3" s="1"/>
  <c r="O349" i="3"/>
  <c r="AK349" i="3" s="1"/>
  <c r="AM349" i="3" s="1"/>
  <c r="O511" i="3"/>
  <c r="AK511" i="3" s="1"/>
  <c r="AM511" i="3" s="1"/>
  <c r="O338" i="3"/>
  <c r="AK338" i="3" s="1"/>
  <c r="AM338" i="3" s="1"/>
  <c r="O573" i="3"/>
  <c r="AK573" i="3" s="1"/>
  <c r="AM573" i="3" s="1"/>
  <c r="O475" i="3"/>
  <c r="AK475" i="3" s="1"/>
  <c r="AM475" i="3" s="1"/>
  <c r="O612" i="3"/>
  <c r="AK612" i="3" s="1"/>
  <c r="AM612" i="3" s="1"/>
  <c r="O36" i="3"/>
  <c r="AK36" i="3" s="1"/>
  <c r="AM36" i="3" s="1"/>
  <c r="O547" i="3"/>
  <c r="AK547" i="3" s="1"/>
  <c r="AM547" i="3" s="1"/>
  <c r="O307" i="3"/>
  <c r="AK307" i="3" s="1"/>
  <c r="AM307" i="3" s="1"/>
  <c r="O75" i="3"/>
  <c r="AK75" i="3" s="1"/>
  <c r="AM75" i="3" s="1"/>
  <c r="O372" i="3"/>
  <c r="AK372" i="3" s="1"/>
  <c r="AM372" i="3" s="1"/>
  <c r="O195" i="3"/>
  <c r="AK195" i="3" s="1"/>
  <c r="AM195" i="3" s="1"/>
  <c r="O443" i="3"/>
  <c r="AK443" i="3" s="1"/>
  <c r="AM443" i="3" s="1"/>
  <c r="O326" i="3"/>
  <c r="AK326" i="3" s="1"/>
  <c r="AM326" i="3" s="1"/>
  <c r="O459" i="3"/>
  <c r="AK459" i="3" s="1"/>
  <c r="AM459" i="3" s="1"/>
  <c r="O519" i="3"/>
  <c r="AK519" i="3" s="1"/>
  <c r="AM519" i="3" s="1"/>
  <c r="O346" i="3"/>
  <c r="AK346" i="3" s="1"/>
  <c r="AM346" i="3" s="1"/>
  <c r="O101" i="3"/>
  <c r="AK101" i="3" s="1"/>
  <c r="AM101" i="3" s="1"/>
  <c r="O465" i="3"/>
  <c r="AK465" i="3" s="1"/>
  <c r="AM465" i="3" s="1"/>
  <c r="O565" i="3"/>
  <c r="AK565" i="3" s="1"/>
  <c r="AM565" i="3" s="1"/>
  <c r="O607" i="3"/>
  <c r="AK607" i="3" s="1"/>
  <c r="AM607" i="3" s="1"/>
  <c r="O13" i="3"/>
  <c r="AK13" i="3" s="1"/>
  <c r="AM13" i="3" s="1"/>
  <c r="O290" i="3"/>
  <c r="AK290" i="3" s="1"/>
  <c r="AM290" i="3" s="1"/>
  <c r="O213" i="3"/>
  <c r="AK213" i="3" s="1"/>
  <c r="AM213" i="3" s="1"/>
  <c r="O73" i="3"/>
  <c r="AK73" i="3" s="1"/>
  <c r="AM73" i="3" s="1"/>
  <c r="O412" i="3"/>
  <c r="AK412" i="3" s="1"/>
  <c r="AM412" i="3" s="1"/>
  <c r="O219" i="3"/>
  <c r="AK219" i="3" s="1"/>
  <c r="AM219" i="3" s="1"/>
  <c r="O615" i="3"/>
  <c r="AK615" i="3" s="1"/>
  <c r="AM615" i="3" s="1"/>
  <c r="O591" i="3"/>
  <c r="AK591" i="3" s="1"/>
  <c r="AM591" i="3" s="1"/>
  <c r="O214" i="3"/>
  <c r="AK214" i="3" s="1"/>
  <c r="AM214" i="3" s="1"/>
  <c r="O390" i="3"/>
  <c r="AK390" i="3" s="1"/>
  <c r="AM390" i="3" s="1"/>
  <c r="O205" i="3"/>
  <c r="AK205" i="3" s="1"/>
  <c r="AM205" i="3" s="1"/>
  <c r="O111" i="3"/>
  <c r="AK111" i="3" s="1"/>
  <c r="AM111" i="3" s="1"/>
  <c r="O389" i="3"/>
  <c r="AK389" i="3" s="1"/>
  <c r="AM389" i="3" s="1"/>
  <c r="O178" i="3"/>
  <c r="AK178" i="3" s="1"/>
  <c r="AM178" i="3" s="1"/>
  <c r="O578" i="3"/>
  <c r="AK578" i="3" s="1"/>
  <c r="AM578" i="3" s="1"/>
  <c r="O358" i="3"/>
  <c r="AK358" i="3" s="1"/>
  <c r="AM358" i="3" s="1"/>
  <c r="O158" i="3"/>
  <c r="AK158" i="3" s="1"/>
  <c r="AM158" i="3" s="1"/>
  <c r="O399" i="3"/>
  <c r="AK399" i="3" s="1"/>
  <c r="AM399" i="3" s="1"/>
  <c r="O53" i="3"/>
  <c r="AK53" i="3" s="1"/>
  <c r="AM53" i="3" s="1"/>
  <c r="O228" i="3"/>
  <c r="AK228" i="3" s="1"/>
  <c r="AM228" i="3" s="1"/>
  <c r="O156" i="3"/>
  <c r="AK156" i="3" s="1"/>
  <c r="AM156" i="3" s="1"/>
  <c r="O602" i="3"/>
  <c r="AK602" i="3" s="1"/>
  <c r="AM602" i="3" s="1"/>
  <c r="O163" i="3"/>
  <c r="AK163" i="3" s="1"/>
  <c r="AM163" i="3" s="1"/>
  <c r="O391" i="3"/>
  <c r="AK391" i="3" s="1"/>
  <c r="AM391" i="3" s="1"/>
  <c r="O450" i="3"/>
  <c r="AK450" i="3" s="1"/>
  <c r="AM450" i="3" s="1"/>
  <c r="O594" i="3"/>
  <c r="AK594" i="3" s="1"/>
  <c r="AM594" i="3" s="1"/>
  <c r="O531" i="3"/>
  <c r="AK531" i="3" s="1"/>
  <c r="AM531" i="3" s="1"/>
  <c r="O82" i="3"/>
  <c r="AK82" i="3" s="1"/>
  <c r="AM82" i="3" s="1"/>
  <c r="O473" i="3"/>
  <c r="AK473" i="3" s="1"/>
  <c r="AM473" i="3" s="1"/>
  <c r="O329" i="3"/>
  <c r="AK329" i="3" s="1"/>
  <c r="AM329" i="3" s="1"/>
  <c r="O385" i="3"/>
  <c r="AK385" i="3" s="1"/>
  <c r="AM385" i="3" s="1"/>
  <c r="O434" i="3"/>
  <c r="AK434" i="3" s="1"/>
  <c r="AM434" i="3" s="1"/>
  <c r="O257" i="3"/>
  <c r="AK257" i="3" s="1"/>
  <c r="AM257" i="3" s="1"/>
  <c r="O69" i="3"/>
  <c r="AK69" i="3" s="1"/>
  <c r="AM69" i="3" s="1"/>
  <c r="O22" i="3"/>
  <c r="AK22" i="3" s="1"/>
  <c r="AM22" i="3" s="1"/>
  <c r="O24" i="3"/>
  <c r="AK24" i="3" s="1"/>
  <c r="AM24" i="3" s="1"/>
  <c r="O499" i="3"/>
  <c r="AK499" i="3" s="1"/>
  <c r="AM499" i="3" s="1"/>
  <c r="O67" i="3"/>
  <c r="AK67" i="3" s="1"/>
  <c r="AM67" i="3" s="1"/>
  <c r="O141" i="3"/>
  <c r="AK141" i="3" s="1"/>
  <c r="AM141" i="3" s="1"/>
  <c r="O595" i="3"/>
  <c r="AK595" i="3" s="1"/>
  <c r="AM595" i="3" s="1"/>
  <c r="O544" i="3"/>
  <c r="AK544" i="3" s="1"/>
  <c r="AM544" i="3" s="1"/>
  <c r="O265" i="3"/>
  <c r="AK265" i="3" s="1"/>
  <c r="AM265" i="3" s="1"/>
  <c r="O352" i="3"/>
  <c r="AK352" i="3" s="1"/>
  <c r="AM352" i="3" s="1"/>
  <c r="O623" i="3"/>
  <c r="AK623" i="3" s="1"/>
  <c r="AM623" i="3" s="1"/>
  <c r="O312" i="3"/>
  <c r="AK312" i="3" s="1"/>
  <c r="AM312" i="3" s="1"/>
  <c r="O148" i="3"/>
  <c r="AK148" i="3" s="1"/>
  <c r="AM148" i="3" s="1"/>
  <c r="O414" i="3"/>
  <c r="AK414" i="3" s="1"/>
  <c r="AM414" i="3" s="1"/>
  <c r="O562" i="3"/>
  <c r="AK562" i="3" s="1"/>
  <c r="AM562" i="3" s="1"/>
  <c r="O311" i="3"/>
  <c r="AK311" i="3" s="1"/>
  <c r="AM311" i="3" s="1"/>
  <c r="O569" i="3"/>
  <c r="AK569" i="3" s="1"/>
  <c r="AM569" i="3" s="1"/>
  <c r="O119" i="3"/>
  <c r="AK119" i="3" s="1"/>
  <c r="AM119" i="3" s="1"/>
  <c r="O146" i="3"/>
  <c r="AK146" i="3" s="1"/>
  <c r="AM146" i="3" s="1"/>
  <c r="O48" i="3"/>
  <c r="AK48" i="3" s="1"/>
  <c r="AM48" i="3" s="1"/>
  <c r="O447" i="3"/>
  <c r="AK447" i="3" s="1"/>
  <c r="AM447" i="3" s="1"/>
  <c r="O17" i="3"/>
  <c r="AK17" i="3" s="1"/>
  <c r="AM17" i="3" s="1"/>
  <c r="O631" i="3"/>
  <c r="AK631" i="3" s="1"/>
  <c r="AM631" i="3" s="1"/>
  <c r="O188" i="3"/>
  <c r="AK188" i="3" s="1"/>
  <c r="AM188" i="3" s="1"/>
  <c r="O97" i="3"/>
  <c r="AK97" i="3" s="1"/>
  <c r="AM97" i="3" s="1"/>
  <c r="O294" i="3"/>
  <c r="AK294" i="3" s="1"/>
  <c r="AM294" i="3" s="1"/>
  <c r="O209" i="3"/>
  <c r="AK209" i="3" s="1"/>
  <c r="AM209" i="3" s="1"/>
  <c r="O624" i="3"/>
  <c r="AK624" i="3" s="1"/>
  <c r="AM624" i="3" s="1"/>
  <c r="O199" i="3"/>
  <c r="AK199" i="3" s="1"/>
  <c r="AM199" i="3" s="1"/>
  <c r="O464" i="3"/>
  <c r="AK464" i="3" s="1"/>
  <c r="AM464" i="3" s="1"/>
  <c r="O64" i="3"/>
  <c r="AK64" i="3" s="1"/>
  <c r="AM64" i="3" s="1"/>
  <c r="O317" i="3"/>
  <c r="AK317" i="3" s="1"/>
  <c r="AM317" i="3" s="1"/>
  <c r="O161" i="3"/>
  <c r="AK161" i="3" s="1"/>
  <c r="AM161" i="3" s="1"/>
  <c r="O288" i="3"/>
  <c r="AK288" i="3" s="1"/>
  <c r="AM288" i="3" s="1"/>
  <c r="O171" i="3"/>
  <c r="AK171" i="3" s="1"/>
  <c r="AM171" i="3" s="1"/>
  <c r="O497" i="3"/>
  <c r="AK497" i="3" s="1"/>
  <c r="AM497" i="3" s="1"/>
  <c r="O278" i="3"/>
  <c r="AK278" i="3" s="1"/>
  <c r="AM278" i="3" s="1"/>
  <c r="O379" i="3"/>
  <c r="AK379" i="3" s="1"/>
  <c r="AM379" i="3" s="1"/>
  <c r="O407" i="3"/>
  <c r="AK407" i="3" s="1"/>
  <c r="AM407" i="3" s="1"/>
  <c r="O289" i="3"/>
  <c r="AK289" i="3" s="1"/>
  <c r="AM289" i="3" s="1"/>
  <c r="O52" i="3"/>
  <c r="AK52" i="3" s="1"/>
  <c r="AM52" i="3" s="1"/>
  <c r="O117" i="3"/>
  <c r="AK117" i="3" s="1"/>
  <c r="AM117" i="3" s="1"/>
  <c r="O603" i="3"/>
  <c r="AK603" i="3" s="1"/>
  <c r="AM603" i="3" s="1"/>
  <c r="O180" i="3"/>
  <c r="AK180" i="3" s="1"/>
  <c r="AM180" i="3" s="1"/>
  <c r="O501" i="3"/>
  <c r="AK501" i="3" s="1"/>
  <c r="AM501" i="3" s="1"/>
  <c r="O61" i="3"/>
  <c r="AK61" i="3" s="1"/>
  <c r="AM61" i="3" s="1"/>
  <c r="O308" i="3"/>
  <c r="AK308" i="3" s="1"/>
  <c r="AM308" i="3" s="1"/>
  <c r="O296" i="3"/>
  <c r="AK296" i="3" s="1"/>
  <c r="AM296" i="3" s="1"/>
  <c r="O166" i="3"/>
  <c r="AK166" i="3" s="1"/>
  <c r="AM166" i="3" s="1"/>
  <c r="O189" i="3"/>
  <c r="AK189" i="3" s="1"/>
  <c r="AM189" i="3" s="1"/>
  <c r="O530" i="3"/>
  <c r="AK530" i="3" s="1"/>
  <c r="AM530" i="3" s="1"/>
  <c r="O16" i="3"/>
  <c r="AK16" i="3" s="1"/>
  <c r="AM16" i="3" s="1"/>
  <c r="O436" i="3"/>
  <c r="AK436" i="3" s="1"/>
  <c r="AM436" i="3" s="1"/>
  <c r="O262" i="3"/>
  <c r="AK262" i="3" s="1"/>
  <c r="AM262" i="3" s="1"/>
  <c r="O363" i="3"/>
  <c r="AK363" i="3" s="1"/>
  <c r="AM363" i="3" s="1"/>
  <c r="O120" i="3"/>
  <c r="AK120" i="3" s="1"/>
  <c r="AM120" i="3" s="1"/>
  <c r="O222" i="3"/>
  <c r="AK222" i="3" s="1"/>
  <c r="AM222" i="3" s="1"/>
  <c r="O208" i="3"/>
  <c r="AK208" i="3" s="1"/>
  <c r="AM208" i="3" s="1"/>
  <c r="O233" i="3"/>
  <c r="AK233" i="3" s="1"/>
  <c r="AM233" i="3" s="1"/>
  <c r="O248" i="3"/>
  <c r="AK248" i="3" s="1"/>
  <c r="AM248" i="3" s="1"/>
  <c r="O539" i="3"/>
  <c r="AK539" i="3" s="1"/>
  <c r="AM539" i="3" s="1"/>
  <c r="O377" i="3"/>
  <c r="AK377" i="3" s="1"/>
  <c r="AM377" i="3" s="1"/>
  <c r="O484" i="3"/>
  <c r="AK484" i="3" s="1"/>
  <c r="AM484" i="3" s="1"/>
  <c r="O571" i="3"/>
  <c r="AK571" i="3" s="1"/>
  <c r="AM571" i="3" s="1"/>
  <c r="O439" i="3"/>
  <c r="AK439" i="3" s="1"/>
  <c r="AM439" i="3" s="1"/>
  <c r="O330" i="3"/>
  <c r="AK330" i="3" s="1"/>
  <c r="AM330" i="3" s="1"/>
  <c r="O173" i="3"/>
  <c r="AK173" i="3" s="1"/>
  <c r="AM173" i="3" s="1"/>
  <c r="O170" i="3"/>
  <c r="AK170" i="3" s="1"/>
  <c r="AM170" i="3" s="1"/>
  <c r="O512" i="3"/>
  <c r="AK512" i="3" s="1"/>
  <c r="AM512" i="3" s="1"/>
  <c r="O206" i="3"/>
  <c r="AK206" i="3" s="1"/>
  <c r="AM206" i="3" s="1"/>
  <c r="O378" i="3"/>
  <c r="AK378" i="3" s="1"/>
  <c r="AM378" i="3" s="1"/>
  <c r="O535" i="3"/>
  <c r="AK535" i="3" s="1"/>
  <c r="AM535" i="3" s="1"/>
  <c r="O617" i="3"/>
  <c r="AK617" i="3" s="1"/>
  <c r="AM617" i="3" s="1"/>
  <c r="O80" i="3"/>
  <c r="AK80" i="3" s="1"/>
  <c r="AM80" i="3" s="1"/>
  <c r="O486" i="3"/>
  <c r="AK486" i="3" s="1"/>
  <c r="AM486" i="3" s="1"/>
  <c r="O113" i="3"/>
  <c r="AK113" i="3" s="1"/>
  <c r="AM113" i="3" s="1"/>
  <c r="O417" i="3"/>
  <c r="AK417" i="3" s="1"/>
  <c r="AM417" i="3" s="1"/>
  <c r="O361" i="3"/>
  <c r="AK361" i="3" s="1"/>
  <c r="AM361" i="3" s="1"/>
  <c r="O469" i="3"/>
  <c r="AK469" i="3" s="1"/>
  <c r="AM469" i="3" s="1"/>
  <c r="O538" i="3"/>
  <c r="AK538" i="3" s="1"/>
  <c r="AM538" i="3" s="1"/>
  <c r="O159" i="3"/>
  <c r="AK159" i="3" s="1"/>
  <c r="AM159" i="3" s="1"/>
  <c r="O19" i="3"/>
  <c r="AK19" i="3" s="1"/>
  <c r="AM19" i="3" s="1"/>
  <c r="O124" i="3"/>
  <c r="AK124" i="3" s="1"/>
  <c r="AM124" i="3" s="1"/>
  <c r="O319" i="3"/>
  <c r="AK319" i="3" s="1"/>
  <c r="AM319" i="3" s="1"/>
  <c r="O341" i="3"/>
  <c r="AK341" i="3" s="1"/>
  <c r="AM341" i="3" s="1"/>
  <c r="O144" i="3"/>
  <c r="AK144" i="3" s="1"/>
  <c r="AM144" i="3" s="1"/>
  <c r="O83" i="3"/>
  <c r="AK83" i="3" s="1"/>
  <c r="AM83" i="3" s="1"/>
  <c r="O232" i="3"/>
  <c r="AK232" i="3" s="1"/>
  <c r="AM232" i="3" s="1"/>
  <c r="O183" i="3"/>
  <c r="AK183" i="3" s="1"/>
  <c r="AM183" i="3" s="1"/>
  <c r="O70" i="3"/>
  <c r="AK70" i="3" s="1"/>
  <c r="AM70" i="3" s="1"/>
  <c r="O408" i="3"/>
  <c r="AK408" i="3" s="1"/>
  <c r="AM408" i="3" s="1"/>
  <c r="O272" i="3"/>
  <c r="AK272" i="3" s="1"/>
  <c r="AM272" i="3" s="1"/>
  <c r="O441" i="3"/>
  <c r="AK441" i="3" s="1"/>
  <c r="AM441" i="3" s="1"/>
  <c r="O376" i="3"/>
  <c r="AK376" i="3" s="1"/>
  <c r="AM376" i="3" s="1"/>
  <c r="O340" i="3"/>
  <c r="AK340" i="3" s="1"/>
  <c r="AM340" i="3" s="1"/>
  <c r="O309" i="3"/>
  <c r="AK309" i="3" s="1"/>
  <c r="AM309" i="3" s="1"/>
  <c r="O392" i="3"/>
  <c r="AK392" i="3" s="1"/>
  <c r="AM392" i="3" s="1"/>
  <c r="O405" i="3"/>
  <c r="AK405" i="3" s="1"/>
  <c r="AM405" i="3" s="1"/>
  <c r="O435" i="3"/>
  <c r="AK435" i="3" s="1"/>
  <c r="AM435" i="3" s="1"/>
  <c r="O105" i="3"/>
  <c r="AK105" i="3" s="1"/>
  <c r="AM105" i="3" s="1"/>
  <c r="O284" i="3"/>
  <c r="AK284" i="3" s="1"/>
  <c r="AM284" i="3" s="1"/>
  <c r="O354" i="3"/>
  <c r="AK354" i="3" s="1"/>
  <c r="AM354" i="3" s="1"/>
  <c r="O273" i="3"/>
  <c r="AK273" i="3" s="1"/>
  <c r="AM273" i="3" s="1"/>
  <c r="O44" i="3"/>
  <c r="AK44" i="3" s="1"/>
  <c r="AM44" i="3" s="1"/>
  <c r="O583" i="3"/>
  <c r="AK583" i="3" s="1"/>
  <c r="AM583" i="3" s="1"/>
  <c r="O582" i="3"/>
  <c r="AK582" i="3" s="1"/>
  <c r="AM582" i="3" s="1"/>
  <c r="O618" i="3"/>
  <c r="AK618" i="3" s="1"/>
  <c r="AM618" i="3" s="1"/>
  <c r="O165" i="3"/>
  <c r="AK165" i="3" s="1"/>
  <c r="AM165" i="3" s="1"/>
  <c r="O553" i="3"/>
  <c r="AK553" i="3" s="1"/>
  <c r="AM553" i="3" s="1"/>
  <c r="O261" i="3"/>
  <c r="AK261" i="3" s="1"/>
  <c r="AM261" i="3" s="1"/>
  <c r="O186" i="3"/>
  <c r="AK186" i="3" s="1"/>
  <c r="AM186" i="3" s="1"/>
  <c r="O79" i="3"/>
  <c r="AK79" i="3" s="1"/>
  <c r="AM79" i="3" s="1"/>
  <c r="O305" i="3"/>
  <c r="AK305" i="3" s="1"/>
  <c r="AM305" i="3" s="1"/>
  <c r="O453" i="3"/>
  <c r="AK453" i="3" s="1"/>
  <c r="AM453" i="3" s="1"/>
  <c r="O175" i="3"/>
  <c r="AK175" i="3" s="1"/>
  <c r="AM175" i="3" s="1"/>
  <c r="O400" i="3"/>
  <c r="AK400" i="3" s="1"/>
  <c r="AM400" i="3" s="1"/>
  <c r="O320" i="3"/>
  <c r="AK320" i="3" s="1"/>
  <c r="AM320" i="3" s="1"/>
  <c r="O66" i="3"/>
  <c r="AK66" i="3" s="1"/>
  <c r="AM66" i="3" s="1"/>
  <c r="O394" i="3"/>
  <c r="AK394" i="3" s="1"/>
  <c r="AM394" i="3" s="1"/>
  <c r="O387" i="3"/>
  <c r="AK387" i="3" s="1"/>
  <c r="AM387" i="3" s="1"/>
  <c r="O249" i="3"/>
  <c r="AK249" i="3" s="1"/>
  <c r="AM249" i="3" s="1"/>
  <c r="O107" i="3"/>
  <c r="AK107" i="3" s="1"/>
  <c r="AM107" i="3" s="1"/>
  <c r="O236" i="3"/>
  <c r="AK236" i="3" s="1"/>
  <c r="AM236" i="3" s="1"/>
  <c r="O5" i="3"/>
  <c r="AK5" i="3" s="1"/>
  <c r="AM5" i="3" s="1"/>
  <c r="O489" i="3"/>
  <c r="AK489" i="3" s="1"/>
  <c r="AM489" i="3" s="1"/>
  <c r="O55" i="3"/>
  <c r="AK55" i="3" s="1"/>
  <c r="AM55" i="3" s="1"/>
  <c r="O39" i="3"/>
  <c r="AK39" i="3" s="1"/>
  <c r="AM39" i="3" s="1"/>
  <c r="O211" i="3"/>
  <c r="AK211" i="3" s="1"/>
  <c r="AM211" i="3" s="1"/>
  <c r="O239" i="3"/>
  <c r="AK239" i="3" s="1"/>
  <c r="AM239" i="3" s="1"/>
  <c r="O56" i="3"/>
  <c r="AK56" i="3" s="1"/>
  <c r="AM56" i="3" s="1"/>
  <c r="O235" i="3"/>
  <c r="AK235" i="3" s="1"/>
  <c r="AM235" i="3" s="1"/>
  <c r="O252" i="3"/>
  <c r="AK252" i="3" s="1"/>
  <c r="AM252" i="3" s="1"/>
  <c r="O534" i="3"/>
  <c r="AK534" i="3" s="1"/>
  <c r="AM534" i="3" s="1"/>
  <c r="O269" i="3"/>
  <c r="AK269" i="3" s="1"/>
  <c r="AM269" i="3" s="1"/>
  <c r="O543" i="3"/>
  <c r="AK543" i="3" s="1"/>
  <c r="AM543" i="3" s="1"/>
  <c r="O466" i="3"/>
  <c r="AK466" i="3" s="1"/>
  <c r="AM466" i="3" s="1"/>
  <c r="O457" i="3"/>
  <c r="AK457" i="3" s="1"/>
  <c r="AM457" i="3" s="1"/>
  <c r="O121" i="3"/>
  <c r="AK121" i="3" s="1"/>
  <c r="AM121" i="3" s="1"/>
  <c r="O598" i="3"/>
  <c r="AK598" i="3" s="1"/>
  <c r="AM598" i="3" s="1"/>
  <c r="O335" i="3"/>
  <c r="AK335" i="3" s="1"/>
  <c r="AM335" i="3" s="1"/>
  <c r="O560" i="3"/>
  <c r="AK560" i="3" s="1"/>
  <c r="AM560" i="3" s="1"/>
  <c r="O51" i="3"/>
  <c r="AK51" i="3" s="1"/>
  <c r="AM51" i="3" s="1"/>
  <c r="O287" i="3"/>
  <c r="AK287" i="3" s="1"/>
  <c r="AM287" i="3" s="1"/>
  <c r="O135" i="3"/>
  <c r="AK135" i="3" s="1"/>
  <c r="AM135" i="3" s="1"/>
  <c r="O577" i="3"/>
  <c r="AK577" i="3" s="1"/>
  <c r="AM577" i="3" s="1"/>
  <c r="O470" i="3"/>
  <c r="AK470" i="3" s="1"/>
  <c r="AM470" i="3" s="1"/>
  <c r="O323" i="3"/>
  <c r="AK323" i="3" s="1"/>
  <c r="AM323" i="3" s="1"/>
  <c r="O495" i="3"/>
  <c r="AK495" i="3" s="1"/>
  <c r="AM495" i="3" s="1"/>
  <c r="O84" i="3"/>
  <c r="AK84" i="3" s="1"/>
  <c r="AM84" i="3" s="1"/>
  <c r="O274" i="3"/>
  <c r="AK274" i="3" s="1"/>
  <c r="AM274" i="3" s="1"/>
  <c r="O10" i="3"/>
  <c r="AK10" i="3" s="1"/>
  <c r="AM10" i="3" s="1"/>
  <c r="O254" i="3"/>
  <c r="AK254" i="3" s="1"/>
  <c r="AM254" i="3" s="1"/>
  <c r="O584" i="3"/>
  <c r="AK584" i="3" s="1"/>
  <c r="AM584" i="3" s="1"/>
  <c r="O424" i="3"/>
  <c r="AK424" i="3" s="1"/>
  <c r="AM424" i="3" s="1"/>
  <c r="O190" i="3"/>
  <c r="AK190" i="3" s="1"/>
  <c r="AM190" i="3" s="1"/>
  <c r="O621" i="3"/>
  <c r="AK621" i="3" s="1"/>
  <c r="AM621" i="3" s="1"/>
  <c r="O197" i="3"/>
  <c r="AK197" i="3" s="1"/>
  <c r="AM197" i="3" s="1"/>
  <c r="O134" i="3"/>
  <c r="AK134" i="3" s="1"/>
  <c r="AM134" i="3" s="1"/>
  <c r="O47" i="3"/>
  <c r="AK47" i="3" s="1"/>
  <c r="AM47" i="3" s="1"/>
  <c r="O622" i="3"/>
  <c r="AK622" i="3" s="1"/>
  <c r="AM622" i="3" s="1"/>
  <c r="O90" i="3"/>
  <c r="AK90" i="3" s="1"/>
  <c r="AM90" i="3" s="1"/>
  <c r="O518" i="3"/>
  <c r="AK518" i="3" s="1"/>
  <c r="AM518" i="3" s="1"/>
  <c r="O196" i="3"/>
  <c r="AK196" i="3" s="1"/>
  <c r="AM196" i="3" s="1"/>
  <c r="O14" i="3"/>
  <c r="AK14" i="3" s="1"/>
  <c r="AM14" i="3" s="1"/>
  <c r="O463" i="3"/>
  <c r="AK463" i="3" s="1"/>
  <c r="AM463" i="3" s="1"/>
  <c r="O508" i="3"/>
  <c r="AK508" i="3" s="1"/>
  <c r="AM508" i="3" s="1"/>
  <c r="O345" i="3"/>
  <c r="AK345" i="3" s="1"/>
  <c r="AM345" i="3" s="1"/>
  <c r="O225" i="3"/>
  <c r="AK225" i="3" s="1"/>
  <c r="AM225" i="3" s="1"/>
  <c r="O371" i="3"/>
  <c r="AK371" i="3" s="1"/>
  <c r="AM371" i="3" s="1"/>
  <c r="O579" i="3"/>
  <c r="AK579" i="3" s="1"/>
  <c r="AM579" i="3" s="1"/>
  <c r="O536" i="3"/>
  <c r="AK536" i="3" s="1"/>
  <c r="AM536" i="3" s="1"/>
  <c r="O438" i="3"/>
  <c r="AK438" i="3" s="1"/>
  <c r="AM438" i="3" s="1"/>
  <c r="O229" i="3"/>
  <c r="AK229" i="3" s="1"/>
  <c r="AM229" i="3" s="1"/>
  <c r="O318" i="3"/>
  <c r="AK318" i="3" s="1"/>
  <c r="AM318" i="3" s="1"/>
  <c r="O35" i="3"/>
  <c r="AK35" i="3" s="1"/>
  <c r="AM35" i="3" s="1"/>
  <c r="O277" i="3"/>
  <c r="AK277" i="3" s="1"/>
  <c r="AM277" i="3" s="1"/>
  <c r="O291" i="3"/>
  <c r="AK291" i="3" s="1"/>
  <c r="AM291" i="3" s="1"/>
  <c r="O540" i="3"/>
  <c r="AK540" i="3" s="1"/>
  <c r="AM540" i="3" s="1"/>
  <c r="O419" i="3"/>
  <c r="AK419" i="3" s="1"/>
  <c r="AM419" i="3" s="1"/>
  <c r="O106" i="3"/>
  <c r="AK106" i="3" s="1"/>
  <c r="AM106" i="3" s="1"/>
  <c r="O130" i="3"/>
  <c r="AK130" i="3" s="1"/>
  <c r="AM130" i="3" s="1"/>
  <c r="O619" i="3"/>
  <c r="AK619" i="3" s="1"/>
  <c r="AM619" i="3" s="1"/>
  <c r="O54" i="3"/>
  <c r="AK54" i="3" s="1"/>
  <c r="AM54" i="3" s="1"/>
  <c r="O258" i="3"/>
  <c r="AK258" i="3" s="1"/>
  <c r="AM258" i="3" s="1"/>
  <c r="O315" i="3"/>
  <c r="AK315" i="3" s="1"/>
  <c r="AM315" i="3" s="1"/>
  <c r="O226" i="3"/>
  <c r="AK226" i="3" s="1"/>
  <c r="AM226" i="3" s="1"/>
  <c r="O21" i="3"/>
  <c r="AK21" i="3" s="1"/>
  <c r="AM21" i="3" s="1"/>
  <c r="O18" i="3"/>
  <c r="AK18" i="3" s="1"/>
  <c r="AM18" i="3" s="1"/>
  <c r="O548" i="3"/>
  <c r="AK548" i="3" s="1"/>
  <c r="AM548" i="3" s="1"/>
  <c r="O220" i="3"/>
  <c r="AK220" i="3" s="1"/>
  <c r="AM220" i="3" s="1"/>
  <c r="O20" i="3"/>
  <c r="AK20" i="3" s="1"/>
  <c r="AM20" i="3" s="1"/>
  <c r="O388" i="3"/>
  <c r="AK388" i="3" s="1"/>
  <c r="AM388" i="3" s="1"/>
  <c r="O91" i="3"/>
  <c r="AK91" i="3" s="1"/>
  <c r="AM91" i="3" s="1"/>
  <c r="O409" i="3"/>
  <c r="AK409" i="3" s="1"/>
  <c r="AM409" i="3" s="1"/>
  <c r="O187" i="3"/>
  <c r="AK187" i="3" s="1"/>
  <c r="AM187" i="3" s="1"/>
  <c r="O129" i="3"/>
  <c r="AK129" i="3" s="1"/>
  <c r="AM129" i="3" s="1"/>
  <c r="O370" i="3"/>
  <c r="AK370" i="3" s="1"/>
  <c r="AM370" i="3" s="1"/>
  <c r="O49" i="3"/>
  <c r="AK49" i="3" s="1"/>
  <c r="AM49" i="3" s="1"/>
  <c r="O143" i="3"/>
  <c r="AK143" i="3" s="1"/>
  <c r="AM143" i="3" s="1"/>
  <c r="O350" i="3"/>
  <c r="AK350" i="3" s="1"/>
  <c r="AM350" i="3" s="1"/>
  <c r="O174" i="3"/>
  <c r="AK174" i="3" s="1"/>
  <c r="AM174" i="3" s="1"/>
  <c r="O347" i="3"/>
  <c r="AK347" i="3" s="1"/>
  <c r="AM347" i="3" s="1"/>
  <c r="O327" i="3"/>
  <c r="AK327" i="3" s="1"/>
  <c r="AM327" i="3" s="1"/>
  <c r="O550" i="3"/>
  <c r="AK550" i="3" s="1"/>
  <c r="AM550" i="3" s="1"/>
  <c r="O532" i="3"/>
  <c r="AK532" i="3" s="1"/>
  <c r="AM532" i="3" s="1"/>
  <c r="O31" i="3"/>
  <c r="AK31" i="3" s="1"/>
  <c r="AM31" i="3" s="1"/>
  <c r="O478" i="3"/>
  <c r="AK478" i="3" s="1"/>
  <c r="AM478" i="3" s="1"/>
  <c r="O204" i="3"/>
  <c r="AK204" i="3" s="1"/>
  <c r="AM204" i="3" s="1"/>
  <c r="O286" i="3"/>
  <c r="AK286" i="3" s="1"/>
  <c r="AM286" i="3" s="1"/>
  <c r="O218" i="3"/>
  <c r="AK218" i="3" s="1"/>
  <c r="AM218" i="3" s="1"/>
  <c r="O492" i="3"/>
  <c r="AK492" i="3" s="1"/>
  <c r="AM492" i="3" s="1"/>
  <c r="O237" i="3"/>
  <c r="AK237" i="3" s="1"/>
  <c r="AM237" i="3" s="1"/>
  <c r="O88" i="3"/>
  <c r="AK88" i="3" s="1"/>
  <c r="AM88" i="3" s="1"/>
  <c r="O496" i="3"/>
  <c r="AK496" i="3" s="1"/>
  <c r="AM496" i="3" s="1"/>
  <c r="O596" i="3"/>
  <c r="AK596" i="3" s="1"/>
  <c r="AM596" i="3" s="1"/>
  <c r="O373" i="3"/>
  <c r="AK373" i="3" s="1"/>
  <c r="AM373" i="3" s="1"/>
  <c r="O502" i="3"/>
  <c r="AK502" i="3" s="1"/>
  <c r="AM502" i="3" s="1"/>
  <c r="O6" i="3"/>
  <c r="AK6" i="3" s="1"/>
  <c r="AM6" i="3" s="1"/>
  <c r="O432" i="3"/>
  <c r="AK432" i="3" s="1"/>
  <c r="AM432" i="3" s="1"/>
  <c r="O437" i="3"/>
  <c r="AK437" i="3" s="1"/>
  <c r="AM437" i="3" s="1"/>
  <c r="O126" i="3"/>
  <c r="AK126" i="3" s="1"/>
  <c r="AM126" i="3" s="1"/>
  <c r="O27" i="3"/>
  <c r="AK27" i="3" s="1"/>
  <c r="AM27" i="3" s="1"/>
  <c r="O342" i="3"/>
  <c r="AK342" i="3" s="1"/>
  <c r="AM342" i="3" s="1"/>
  <c r="O552" i="3"/>
  <c r="AK552" i="3" s="1"/>
  <c r="AM552" i="3" s="1"/>
  <c r="O549" i="3"/>
  <c r="AK549" i="3" s="1"/>
  <c r="AM549" i="3" s="1"/>
  <c r="O494" i="3"/>
  <c r="AK494" i="3" s="1"/>
  <c r="AM494" i="3" s="1"/>
  <c r="O246" i="3"/>
  <c r="AK246" i="3" s="1"/>
  <c r="AM246" i="3" s="1"/>
  <c r="O138" i="3"/>
  <c r="AK138" i="3" s="1"/>
  <c r="AM138" i="3" s="1"/>
  <c r="O152" i="3"/>
  <c r="AK152" i="3" s="1"/>
  <c r="AM152" i="3" s="1"/>
  <c r="O30" i="3"/>
  <c r="AK30" i="3" s="1"/>
  <c r="AM30" i="3" s="1"/>
  <c r="O210" i="3"/>
  <c r="AK210" i="3" s="1"/>
  <c r="AM210" i="3" s="1"/>
  <c r="O491" i="3"/>
  <c r="AK491" i="3" s="1"/>
  <c r="AM491" i="3" s="1"/>
  <c r="O401" i="3"/>
  <c r="AK401" i="3" s="1"/>
  <c r="AM401" i="3" s="1"/>
  <c r="O468" i="3"/>
  <c r="AK468" i="3" s="1"/>
  <c r="AM468" i="3" s="1"/>
  <c r="O367" i="3"/>
  <c r="AK367" i="3" s="1"/>
  <c r="AM367" i="3" s="1"/>
  <c r="O122" i="3"/>
  <c r="AK122" i="3" s="1"/>
  <c r="AM122" i="3" s="1"/>
  <c r="O136" i="3"/>
  <c r="AK136" i="3" s="1"/>
  <c r="AM136" i="3" s="1"/>
  <c r="O451" i="3"/>
  <c r="AK451" i="3" s="1"/>
  <c r="AM451" i="3" s="1"/>
  <c r="O505" i="3"/>
  <c r="AK505" i="3" s="1"/>
  <c r="AM505" i="3" s="1"/>
  <c r="O155" i="3"/>
  <c r="AK155" i="3" s="1"/>
  <c r="AM155" i="3" s="1"/>
  <c r="O472" i="3"/>
  <c r="AK472" i="3" s="1"/>
  <c r="AM472" i="3" s="1"/>
  <c r="O510" i="3"/>
  <c r="AK510" i="3" s="1"/>
  <c r="AM510" i="3" s="1"/>
  <c r="O264" i="3"/>
  <c r="AK264" i="3" s="1"/>
  <c r="AM264" i="3" s="1"/>
  <c r="O281" i="3"/>
  <c r="AK281" i="3" s="1"/>
  <c r="AM281" i="3" s="1"/>
  <c r="O458" i="3"/>
  <c r="AK458" i="3" s="1"/>
  <c r="AM458" i="3" s="1"/>
  <c r="O267" i="3"/>
  <c r="AK267" i="3" s="1"/>
  <c r="AM267" i="3" s="1"/>
  <c r="O328" i="3"/>
  <c r="AK328" i="3" s="1"/>
  <c r="AM328" i="3" s="1"/>
  <c r="O9" i="3"/>
  <c r="AK9" i="3" s="1"/>
  <c r="AM9" i="3" s="1"/>
  <c r="O351" i="3"/>
  <c r="AK351" i="3" s="1"/>
  <c r="AM351" i="3" s="1"/>
  <c r="O395" i="3"/>
  <c r="AK395" i="3" s="1"/>
  <c r="AM395" i="3" s="1"/>
  <c r="O493" i="3"/>
  <c r="AK493" i="3" s="1"/>
  <c r="AM493" i="3" s="1"/>
  <c r="O108" i="3"/>
  <c r="AK108" i="3" s="1"/>
  <c r="AM108" i="3" s="1"/>
  <c r="O98" i="3"/>
  <c r="AK98" i="3" s="1"/>
  <c r="AM98" i="3" s="1"/>
  <c r="O589" i="3"/>
  <c r="AK589" i="3" s="1"/>
  <c r="AM589" i="3" s="1"/>
  <c r="O344" i="3"/>
  <c r="AK344" i="3" s="1"/>
  <c r="AM344" i="3" s="1"/>
  <c r="O41" i="3"/>
  <c r="AK41" i="3" s="1"/>
  <c r="AM41" i="3" s="1"/>
  <c r="O71" i="3"/>
  <c r="AK71" i="3" s="1"/>
  <c r="AM71" i="3" s="1"/>
  <c r="O238" i="3"/>
  <c r="AK238" i="3" s="1"/>
  <c r="AM238" i="3" s="1"/>
  <c r="O433" i="3"/>
  <c r="AK433" i="3" s="1"/>
  <c r="AM433" i="3" s="1"/>
  <c r="O176" i="3"/>
  <c r="AK176" i="3" s="1"/>
  <c r="AM176" i="3" s="1"/>
  <c r="O362" i="3"/>
  <c r="AK362" i="3" s="1"/>
  <c r="AM362" i="3" s="1"/>
  <c r="O430" i="3"/>
  <c r="AK430" i="3" s="1"/>
  <c r="AM430" i="3" s="1"/>
  <c r="O449" i="3"/>
  <c r="AK449" i="3" s="1"/>
  <c r="AM449" i="3" s="1"/>
  <c r="O580" i="3"/>
  <c r="AK580" i="3" s="1"/>
  <c r="AM580" i="3" s="1"/>
  <c r="O509" i="3"/>
  <c r="AK509" i="3" s="1"/>
  <c r="AM509" i="3" s="1"/>
  <c r="O632" i="3"/>
  <c r="AK632" i="3" s="1"/>
  <c r="AM632" i="3" s="1"/>
  <c r="O215" i="3"/>
  <c r="AK215" i="3" s="1"/>
  <c r="AM215" i="3" s="1"/>
  <c r="O86" i="3"/>
  <c r="AK86" i="3" s="1"/>
  <c r="AM86" i="3" s="1"/>
  <c r="O177" i="3"/>
  <c r="AK177" i="3" s="1"/>
  <c r="AM177" i="3" s="1"/>
  <c r="O522" i="3"/>
  <c r="AK522" i="3" s="1"/>
  <c r="AM522" i="3" s="1"/>
  <c r="O609" i="3"/>
  <c r="AK609" i="3" s="1"/>
  <c r="AM609" i="3" s="1"/>
  <c r="O601" i="3"/>
  <c r="AK601" i="3" s="1"/>
  <c r="AM601" i="3" s="1"/>
  <c r="O324" i="3"/>
  <c r="AK324" i="3" s="1"/>
  <c r="AM324" i="3" s="1"/>
  <c r="O564" i="3"/>
  <c r="AK564" i="3" s="1"/>
  <c r="AM564" i="3" s="1"/>
  <c r="O74" i="3"/>
  <c r="AK74" i="3" s="1"/>
  <c r="AM74" i="3" s="1"/>
  <c r="O185" i="3"/>
  <c r="AK185" i="3" s="1"/>
  <c r="AM185" i="3" s="1"/>
  <c r="O132" i="3"/>
  <c r="AK132" i="3" s="1"/>
  <c r="AM132" i="3" s="1"/>
  <c r="O231" i="3"/>
  <c r="AK231" i="3" s="1"/>
  <c r="AM231" i="3" s="1"/>
  <c r="O585" i="3"/>
  <c r="AK585" i="3" s="1"/>
  <c r="AM585" i="3" s="1"/>
  <c r="O404" i="3"/>
  <c r="AK404" i="3" s="1"/>
  <c r="AM404" i="3" s="1"/>
  <c r="O384" i="3"/>
  <c r="AK384" i="3" s="1"/>
  <c r="AM384" i="3" s="1"/>
  <c r="O298" i="3"/>
  <c r="AK298" i="3" s="1"/>
  <c r="AM298" i="3" s="1"/>
  <c r="O43" i="3"/>
  <c r="AK43" i="3" s="1"/>
  <c r="AM43" i="3" s="1"/>
  <c r="O360" i="3"/>
  <c r="AK360" i="3" s="1"/>
  <c r="AM360" i="3" s="1"/>
  <c r="O592" i="3"/>
  <c r="AK592" i="3" s="1"/>
  <c r="AM592" i="3" s="1"/>
  <c r="O442" i="3"/>
  <c r="AK442" i="3" s="1"/>
  <c r="AM442" i="3" s="1"/>
  <c r="O245" i="3"/>
  <c r="AK245" i="3" s="1"/>
  <c r="AM245" i="3" s="1"/>
  <c r="O403" i="3"/>
  <c r="AK403" i="3" s="1"/>
  <c r="AM403" i="3" s="1"/>
  <c r="O488" i="3"/>
  <c r="AK488" i="3" s="1"/>
  <c r="AM488" i="3" s="1"/>
  <c r="O299" i="3"/>
  <c r="AK299" i="3" s="1"/>
  <c r="AM299" i="3" s="1"/>
  <c r="O507" i="3"/>
  <c r="AK507" i="3" s="1"/>
  <c r="AM507" i="3" s="1"/>
  <c r="O413" i="3"/>
  <c r="AK413" i="3" s="1"/>
  <c r="AM413" i="3" s="1"/>
  <c r="O605" i="3"/>
  <c r="AK605" i="3" s="1"/>
  <c r="AM605" i="3" s="1"/>
  <c r="O461" i="3"/>
  <c r="AK461" i="3" s="1"/>
  <c r="AM461" i="3" s="1"/>
  <c r="O487" i="3"/>
  <c r="AK487" i="3" s="1"/>
  <c r="AM487" i="3" s="1"/>
  <c r="O630" i="3"/>
  <c r="AK630" i="3" s="1"/>
  <c r="AM630" i="3" s="1"/>
  <c r="O241" i="3"/>
  <c r="AK241" i="3" s="1"/>
  <c r="AM241" i="3" s="1"/>
  <c r="O62" i="3"/>
  <c r="AK62" i="3" s="1"/>
  <c r="AM62" i="3" s="1"/>
  <c r="O145" i="3"/>
  <c r="AK145" i="3" s="1"/>
  <c r="AM145" i="3" s="1"/>
  <c r="O397" i="3"/>
  <c r="AK397" i="3" s="1"/>
  <c r="AM397" i="3" s="1"/>
  <c r="O516" i="3"/>
  <c r="AK516" i="3" s="1"/>
  <c r="AM516" i="3" s="1"/>
  <c r="O597" i="3"/>
  <c r="AK597" i="3" s="1"/>
  <c r="AM597" i="3" s="1"/>
  <c r="O68" i="3"/>
  <c r="AK68" i="3" s="1"/>
  <c r="AM68" i="3" s="1"/>
  <c r="O558" i="3"/>
  <c r="AK558" i="3" s="1"/>
  <c r="AM558" i="3" s="1"/>
  <c r="O25" i="3"/>
  <c r="AK25" i="3" s="1"/>
  <c r="AM25" i="3" s="1"/>
  <c r="O300" i="3"/>
  <c r="AK300" i="3" s="1"/>
  <c r="AM300" i="3" s="1"/>
  <c r="O383" i="3"/>
  <c r="AK383" i="3" s="1"/>
  <c r="AM383" i="3" s="1"/>
  <c r="O410" i="3"/>
  <c r="AK410" i="3" s="1"/>
  <c r="AM410" i="3" s="1"/>
  <c r="O201" i="3"/>
  <c r="AK201" i="3" s="1"/>
  <c r="AM201" i="3" s="1"/>
  <c r="O240" i="3"/>
  <c r="AK240" i="3" s="1"/>
  <c r="AM240" i="3" s="1"/>
  <c r="O109" i="3"/>
  <c r="AK109" i="3" s="1"/>
  <c r="AM109" i="3" s="1"/>
  <c r="O131" i="3"/>
  <c r="AK131" i="3" s="1"/>
  <c r="AM131" i="3" s="1"/>
  <c r="O402" i="3"/>
  <c r="AK402" i="3" s="1"/>
  <c r="AM402" i="3" s="1"/>
  <c r="O608" i="3"/>
  <c r="AK608" i="3" s="1"/>
  <c r="AM608" i="3" s="1"/>
  <c r="O627" i="3"/>
  <c r="AK627" i="3" s="1"/>
  <c r="AM627" i="3" s="1"/>
  <c r="O96" i="3"/>
  <c r="AK96" i="3" s="1"/>
  <c r="AM96" i="3" s="1"/>
  <c r="O336" i="3"/>
  <c r="AK336" i="3" s="1"/>
  <c r="AM336" i="3" s="1"/>
  <c r="O633" i="3"/>
  <c r="AK633" i="3" s="1"/>
  <c r="AM633" i="3" s="1"/>
  <c r="O456" i="3"/>
  <c r="AK456" i="3" s="1"/>
  <c r="AM456" i="3" s="1"/>
  <c r="O153" i="3"/>
  <c r="AK153" i="3" s="1"/>
  <c r="AM153" i="3" s="1"/>
  <c r="O306" i="3"/>
  <c r="AK306" i="3" s="1"/>
  <c r="AM306" i="3" s="1"/>
  <c r="O504" i="3"/>
  <c r="AK504" i="3" s="1"/>
  <c r="AM504" i="3" s="1"/>
  <c r="O421" i="3"/>
  <c r="AK421" i="3" s="1"/>
  <c r="AM421" i="3" s="1"/>
  <c r="O72" i="3"/>
  <c r="AK72" i="3" s="1"/>
  <c r="AM72" i="3" s="1"/>
  <c r="O448" i="3"/>
  <c r="AK448" i="3" s="1"/>
  <c r="AM448" i="3" s="1"/>
  <c r="O563" i="3"/>
  <c r="AK563" i="3" s="1"/>
  <c r="AM563" i="3" s="1"/>
  <c r="O416" i="3"/>
  <c r="AK416" i="3" s="1"/>
  <c r="AM416" i="3" s="1"/>
  <c r="O167" i="3"/>
  <c r="AK167" i="3" s="1"/>
  <c r="AM167" i="3" s="1"/>
  <c r="O380" i="3"/>
  <c r="AK380" i="3" s="1"/>
  <c r="AM380" i="3" s="1"/>
  <c r="O65" i="3"/>
  <c r="AK65" i="3" s="1"/>
  <c r="AM65" i="3" s="1"/>
  <c r="O557" i="3"/>
  <c r="AK557" i="3" s="1"/>
  <c r="AM557" i="3" s="1"/>
  <c r="O551" i="3"/>
  <c r="AK551" i="3" s="1"/>
  <c r="AM551" i="3" s="1"/>
  <c r="O420" i="3"/>
  <c r="AK420" i="3" s="1"/>
  <c r="AM420" i="3" s="1"/>
  <c r="O572" i="3"/>
  <c r="AK572" i="3" s="1"/>
  <c r="AM572" i="3" s="1"/>
  <c r="O616" i="3"/>
  <c r="AK616" i="3" s="1"/>
  <c r="AM616" i="3" s="1"/>
  <c r="O423" i="3"/>
  <c r="AK423" i="3" s="1"/>
  <c r="AM423" i="3" s="1"/>
  <c r="O467" i="3"/>
  <c r="AK467" i="3" s="1"/>
  <c r="AM467" i="3" s="1"/>
  <c r="O191" i="3"/>
  <c r="AK191" i="3" s="1"/>
  <c r="AM191" i="3" s="1"/>
  <c r="O427" i="3"/>
  <c r="AK427" i="3" s="1"/>
  <c r="AM427" i="3" s="1"/>
  <c r="O169" i="3"/>
  <c r="AK169" i="3" s="1"/>
  <c r="AM169" i="3" s="1"/>
  <c r="O243" i="3"/>
  <c r="AK243" i="3" s="1"/>
  <c r="AM243" i="3" s="1"/>
  <c r="O184" i="3"/>
  <c r="AK184" i="3" s="1"/>
  <c r="AM184" i="3" s="1"/>
  <c r="O337" i="3"/>
  <c r="AK337" i="3" s="1"/>
  <c r="AM337" i="3" s="1"/>
  <c r="O192" i="3"/>
  <c r="AK192" i="3" s="1"/>
  <c r="AM192" i="3" s="1"/>
  <c r="O304" i="3"/>
  <c r="AK304" i="3" s="1"/>
  <c r="AM304" i="3" s="1"/>
  <c r="O182" i="3"/>
  <c r="AK182" i="3" s="1"/>
  <c r="AM182" i="3" s="1"/>
  <c r="O112" i="3"/>
  <c r="AK112" i="3" s="1"/>
  <c r="AM112" i="3" s="1"/>
  <c r="O462" i="3"/>
  <c r="AK462" i="3" s="1"/>
  <c r="AM462" i="3" s="1"/>
  <c r="O368" i="3"/>
  <c r="AK368" i="3" s="1"/>
  <c r="AM368" i="3" s="1"/>
  <c r="O45" i="3"/>
  <c r="AK45" i="3" s="1"/>
  <c r="AM45" i="3" s="1"/>
  <c r="O179" i="3"/>
  <c r="AK179" i="3" s="1"/>
  <c r="AM179" i="3" s="1"/>
  <c r="O303" i="3"/>
  <c r="AK303" i="3" s="1"/>
  <c r="AM303" i="3" s="1"/>
  <c r="O365" i="3"/>
  <c r="AK365" i="3" s="1"/>
  <c r="AM365" i="3" s="1"/>
  <c r="O545" i="3"/>
  <c r="AK545" i="3" s="1"/>
  <c r="AM545" i="3" s="1"/>
  <c r="O151" i="3"/>
  <c r="AK151" i="3" s="1"/>
  <c r="AM151" i="3" s="1"/>
  <c r="O15" i="3"/>
  <c r="AK15" i="3" s="1"/>
  <c r="AM15" i="3" s="1"/>
  <c r="O483" i="3"/>
  <c r="AK483" i="3" s="1"/>
  <c r="AM483" i="3" s="1"/>
  <c r="O604" i="3"/>
  <c r="AK604" i="3" s="1"/>
  <c r="AM604" i="3" s="1"/>
  <c r="O40" i="3"/>
  <c r="AK40" i="3" s="1"/>
  <c r="AM40" i="3" s="1"/>
  <c r="O431" i="3"/>
  <c r="AK431" i="3" s="1"/>
  <c r="AM431" i="3" s="1"/>
  <c r="O576" i="3"/>
  <c r="AK576" i="3" s="1"/>
  <c r="AM576" i="3" s="1"/>
  <c r="O125" i="3"/>
  <c r="AK125" i="3" s="1"/>
  <c r="AM125" i="3" s="1"/>
  <c r="O99" i="3"/>
  <c r="AK99" i="3" s="1"/>
  <c r="AM99" i="3" s="1"/>
  <c r="O251" i="3"/>
  <c r="AK251" i="3" s="1"/>
  <c r="AM251" i="3" s="1"/>
  <c r="O454" i="3"/>
  <c r="AK454" i="3" s="1"/>
  <c r="AM454" i="3" s="1"/>
  <c r="O474" i="3"/>
  <c r="AK474" i="3" s="1"/>
  <c r="AM474" i="3" s="1"/>
  <c r="O476" i="3"/>
  <c r="AK476" i="3" s="1"/>
  <c r="AM476" i="3" s="1"/>
  <c r="O193" i="3"/>
  <c r="AK193" i="3" s="1"/>
  <c r="AM193" i="3" s="1"/>
  <c r="O217" i="3"/>
  <c r="AK217" i="3" s="1"/>
  <c r="AM217" i="3" s="1"/>
  <c r="O292" i="3"/>
  <c r="AK292" i="3" s="1"/>
  <c r="AM292" i="3" s="1"/>
  <c r="O325" i="3"/>
  <c r="AK325" i="3" s="1"/>
  <c r="AM325" i="3" s="1"/>
  <c r="O87" i="3"/>
  <c r="AK87" i="3" s="1"/>
  <c r="AM87" i="3" s="1"/>
  <c r="O110" i="3"/>
  <c r="AK110" i="3" s="1"/>
  <c r="AM110" i="3" s="1"/>
  <c r="O216" i="3"/>
  <c r="AK216" i="3" s="1"/>
  <c r="AM216" i="3" s="1"/>
  <c r="O334" i="3"/>
  <c r="AK334" i="3" s="1"/>
  <c r="AM334" i="3" s="1"/>
  <c r="O481" i="3"/>
  <c r="AK481" i="3" s="1"/>
  <c r="AM481" i="3" s="1"/>
  <c r="O7" i="3"/>
  <c r="AK7" i="3" s="1"/>
  <c r="AM7" i="3" s="1"/>
  <c r="O282" i="3"/>
  <c r="AK282" i="3" s="1"/>
  <c r="AM282" i="3" s="1"/>
  <c r="O446" i="3"/>
  <c r="AK446" i="3" s="1"/>
  <c r="AM446" i="3" s="1"/>
  <c r="O11" i="3"/>
  <c r="AK11" i="3" s="1"/>
  <c r="AM11" i="3" s="1"/>
  <c r="O95" i="3"/>
  <c r="AK95" i="3" s="1"/>
  <c r="AM95" i="3" s="1"/>
  <c r="O93" i="3"/>
  <c r="AK93" i="3" s="1"/>
  <c r="AM93" i="3" s="1"/>
  <c r="O316" i="3"/>
  <c r="AK316" i="3" s="1"/>
  <c r="AM316" i="3" s="1"/>
  <c r="O3" i="3"/>
  <c r="AK3" i="3" s="1"/>
  <c r="AM3" i="3" s="1"/>
  <c r="O33" i="3"/>
  <c r="AK33" i="3" s="1"/>
  <c r="AM33" i="3" s="1"/>
  <c r="O529" i="3"/>
  <c r="AK529" i="3" s="1"/>
  <c r="AM529" i="3" s="1"/>
  <c r="O546" i="3"/>
  <c r="AK546" i="3" s="1"/>
  <c r="AM546" i="3" s="1"/>
  <c r="O479" i="3"/>
  <c r="AK479" i="3" s="1"/>
  <c r="AM479" i="3" s="1"/>
  <c r="O353" i="3"/>
  <c r="AK353" i="3" s="1"/>
  <c r="AM353" i="3" s="1"/>
  <c r="O295" i="3"/>
  <c r="AK295" i="3" s="1"/>
  <c r="AM295" i="3" s="1"/>
  <c r="O275" i="3"/>
  <c r="AK275" i="3" s="1"/>
  <c r="AM275" i="3" s="1"/>
  <c r="O123" i="3"/>
  <c r="AK123" i="3" s="1"/>
  <c r="AM123" i="3" s="1"/>
  <c r="O406" i="3"/>
  <c r="AK406" i="3" s="1"/>
  <c r="AM406" i="3" s="1"/>
  <c r="O575" i="3"/>
  <c r="AK575" i="3" s="1"/>
  <c r="AM575" i="3" s="1"/>
  <c r="O593" i="3"/>
  <c r="AK593" i="3" s="1"/>
  <c r="AM593" i="3" s="1"/>
  <c r="O260" i="3"/>
  <c r="AK260" i="3" s="1"/>
  <c r="AM260" i="3" s="1"/>
  <c r="O285" i="3"/>
  <c r="AK285" i="3" s="1"/>
  <c r="AM285" i="3" s="1"/>
  <c r="O154" i="3"/>
  <c r="AK154" i="3" s="1"/>
  <c r="AM154" i="3" s="1"/>
  <c r="O200" i="3"/>
  <c r="AK200" i="3" s="1"/>
  <c r="AM200" i="3" s="1"/>
  <c r="O29" i="3"/>
  <c r="AK29" i="3" s="1"/>
  <c r="AM29" i="3" s="1"/>
  <c r="O140" i="3"/>
  <c r="AK140" i="3" s="1"/>
  <c r="AM140" i="3" s="1"/>
  <c r="O133" i="3"/>
  <c r="AK133" i="3" s="1"/>
  <c r="AM133" i="3" s="1"/>
  <c r="O85" i="3"/>
  <c r="AK85" i="3" s="1"/>
  <c r="AM85" i="3" s="1"/>
  <c r="O81" i="3"/>
  <c r="AK81" i="3" s="1"/>
  <c r="AM81" i="3" s="1"/>
  <c r="O115" i="3"/>
  <c r="AK115" i="3" s="1"/>
  <c r="AM115" i="3" s="1"/>
  <c r="O611" i="3"/>
  <c r="AK611" i="3" s="1"/>
  <c r="AM611" i="3" s="1"/>
  <c r="O559" i="3"/>
  <c r="AK559" i="3" s="1"/>
  <c r="AM559" i="3" s="1"/>
  <c r="O268" i="3"/>
  <c r="AK268" i="3" s="1"/>
  <c r="AM268" i="3" s="1"/>
  <c r="O570" i="3"/>
  <c r="AK570" i="3" s="1"/>
  <c r="AM570" i="3" s="1"/>
  <c r="O12" i="3"/>
  <c r="AK12" i="3" s="1"/>
  <c r="AM12" i="3" s="1"/>
  <c r="O521" i="3"/>
  <c r="AK521" i="3" s="1"/>
  <c r="AM521" i="3" s="1"/>
  <c r="O118" i="3"/>
  <c r="AK118" i="3" s="1"/>
  <c r="AM118" i="3" s="1"/>
  <c r="O321" i="3"/>
  <c r="AK321" i="3" s="1"/>
  <c r="AM321" i="3" s="1"/>
  <c r="O313" i="3"/>
  <c r="AK313" i="3" s="1"/>
  <c r="AM313" i="3" s="1"/>
  <c r="O357" i="3"/>
  <c r="AK357" i="3" s="1"/>
  <c r="AM357" i="3" s="1"/>
  <c r="O57" i="3"/>
  <c r="AK57" i="3" s="1"/>
  <c r="AM57" i="3" s="1"/>
  <c r="O503" i="3"/>
  <c r="AK503" i="3" s="1"/>
  <c r="AM503" i="3" s="1"/>
  <c r="O293" i="3"/>
  <c r="AK293" i="3" s="1"/>
  <c r="AM293" i="3" s="1"/>
  <c r="O162" i="3"/>
  <c r="AK162" i="3" s="1"/>
  <c r="AM162" i="3" s="1"/>
  <c r="O513" i="3"/>
  <c r="AK513" i="3" s="1"/>
  <c r="AM513" i="3" s="1"/>
  <c r="O587" i="3"/>
  <c r="AK587" i="3" s="1"/>
  <c r="AM587" i="3" s="1"/>
  <c r="O517" i="3"/>
  <c r="AK517" i="3" s="1"/>
  <c r="AM517" i="3" s="1"/>
  <c r="O58" i="3"/>
  <c r="AK58" i="3" s="1"/>
  <c r="AM58" i="3" s="1"/>
  <c r="O566" i="3"/>
  <c r="AK566" i="3" s="1"/>
  <c r="AM566" i="3" s="1"/>
  <c r="O230" i="3"/>
  <c r="AK230" i="3" s="1"/>
  <c r="AM230" i="3" s="1"/>
  <c r="O89" i="3"/>
  <c r="AK89" i="3" s="1"/>
  <c r="AM89" i="3" s="1"/>
  <c r="O242" i="3"/>
  <c r="AK242" i="3" s="1"/>
  <c r="AM242" i="3" s="1"/>
  <c r="O276" i="3"/>
  <c r="AK276" i="3" s="1"/>
  <c r="AM276" i="3" s="1"/>
  <c r="O60" i="3"/>
  <c r="AK60" i="3" s="1"/>
  <c r="AM60" i="3" s="1"/>
  <c r="O223" i="3"/>
  <c r="AK223" i="3" s="1"/>
  <c r="AM223" i="3" s="1"/>
  <c r="O77" i="3"/>
  <c r="AK77" i="3" s="1"/>
  <c r="AM77" i="3" s="1"/>
  <c r="O445" i="3"/>
  <c r="AK445" i="3" s="1"/>
  <c r="AM445" i="3" s="1"/>
  <c r="O533" i="3"/>
  <c r="AK533" i="3" s="1"/>
  <c r="AM533" i="3" s="1"/>
  <c r="O38" i="3"/>
  <c r="AK38" i="3" s="1"/>
  <c r="AM38" i="3" s="1"/>
  <c r="O561" i="3"/>
  <c r="AK561" i="3" s="1"/>
  <c r="AM561" i="3" s="1"/>
  <c r="O452" i="3"/>
  <c r="AK452" i="3" s="1"/>
  <c r="AM452" i="3" s="1"/>
  <c r="O23" i="3"/>
  <c r="AK23" i="3" s="1"/>
  <c r="AM23" i="3" s="1"/>
  <c r="O460" i="3"/>
  <c r="AK460" i="3" s="1"/>
  <c r="AM460" i="3" s="1"/>
  <c r="O542" i="3"/>
  <c r="AK542" i="3" s="1"/>
  <c r="AM542" i="3" s="1"/>
  <c r="O157" i="3"/>
  <c r="AK157" i="3" s="1"/>
  <c r="AM157" i="3" s="1"/>
  <c r="O614" i="3"/>
  <c r="AK614" i="3" s="1"/>
  <c r="AM614" i="3" s="1"/>
  <c r="O280" i="3"/>
  <c r="AK280" i="3" s="1"/>
  <c r="AM280" i="3" s="1"/>
  <c r="O428" i="3"/>
  <c r="AK428" i="3" s="1"/>
  <c r="AM428" i="3" s="1"/>
  <c r="O301" i="3"/>
  <c r="AK301" i="3" s="1"/>
  <c r="AM301" i="3" s="1"/>
  <c r="O224" i="3"/>
  <c r="AK224" i="3" s="1"/>
  <c r="AM224" i="3" s="1"/>
  <c r="O270" i="3"/>
  <c r="AK270" i="3" s="1"/>
  <c r="AM270" i="3" s="1"/>
  <c r="O34" i="3"/>
  <c r="AK34" i="3" s="1"/>
  <c r="AM34" i="3" s="1"/>
  <c r="O382" i="3"/>
  <c r="AK382" i="3" s="1"/>
  <c r="AM382" i="3" s="1"/>
  <c r="O142" i="3"/>
  <c r="AK142" i="3" s="1"/>
  <c r="AM142" i="3" s="1"/>
  <c r="O92" i="3"/>
  <c r="AK92" i="3" s="1"/>
  <c r="AM92" i="3" s="1"/>
  <c r="O527" i="3"/>
  <c r="AK527" i="3" s="1"/>
  <c r="AM527" i="3" s="1"/>
  <c r="O283" i="3"/>
  <c r="AK283" i="3" s="1"/>
  <c r="AM283" i="3" s="1"/>
  <c r="O221" i="3"/>
  <c r="AK221" i="3" s="1"/>
  <c r="AM221" i="3" s="1"/>
  <c r="O620" i="3"/>
  <c r="AK620" i="3" s="1"/>
  <c r="AM620" i="3" s="1"/>
  <c r="O425" i="3"/>
  <c r="AK425" i="3" s="1"/>
  <c r="AM425" i="3" s="1"/>
  <c r="O429" i="3"/>
  <c r="AK429" i="3" s="1"/>
  <c r="AM429" i="3" s="1"/>
  <c r="O333" i="3"/>
  <c r="AK333" i="3" s="1"/>
  <c r="AM333" i="3" s="1"/>
  <c r="O381" i="3"/>
  <c r="AK381" i="3" s="1"/>
  <c r="AM381" i="3" s="1"/>
  <c r="O76" i="3"/>
  <c r="AK76" i="3" s="1"/>
  <c r="AM76" i="3" s="1"/>
  <c r="O369" i="3"/>
  <c r="AK369" i="3" s="1"/>
  <c r="AM369" i="3" s="1"/>
  <c r="O343" i="3"/>
  <c r="AK343" i="3" s="1"/>
  <c r="AM343" i="3" s="1"/>
  <c r="O172" i="3"/>
  <c r="AK172" i="3" s="1"/>
  <c r="AM172" i="3" s="1"/>
  <c r="O181" i="3"/>
  <c r="AK181" i="3" s="1"/>
  <c r="AM181" i="3" s="1"/>
  <c r="O375" i="3"/>
  <c r="AK375" i="3" s="1"/>
  <c r="AM375" i="3" s="1"/>
  <c r="O104" i="3"/>
  <c r="AK104" i="3" s="1"/>
  <c r="AM104" i="3" s="1"/>
  <c r="O485" i="3"/>
  <c r="AK485" i="3" s="1"/>
  <c r="AM485" i="3" s="1"/>
  <c r="O147" i="3"/>
  <c r="AK147" i="3" s="1"/>
  <c r="AM147" i="3" s="1"/>
  <c r="O212" i="3"/>
  <c r="AK212" i="3" s="1"/>
  <c r="AM212" i="3" s="1"/>
  <c r="O374" i="3"/>
  <c r="AK374" i="3" s="1"/>
  <c r="AM374" i="3" s="1"/>
  <c r="O339" i="3"/>
  <c r="AK339" i="3" s="1"/>
  <c r="AM339" i="3" s="1"/>
  <c r="O168" i="3"/>
  <c r="AK168" i="3" s="1"/>
  <c r="AM168" i="3" s="1"/>
  <c r="O46" i="3"/>
  <c r="AK46" i="3" s="1"/>
  <c r="AM46" i="3" s="1"/>
  <c r="O396" i="3"/>
  <c r="AK396" i="3" s="1"/>
  <c r="AM396" i="3" s="1"/>
  <c r="O525" i="3"/>
  <c r="AK525" i="3" s="1"/>
  <c r="AM525" i="3" s="1"/>
  <c r="O606" i="3"/>
  <c r="AK606" i="3" s="1"/>
  <c r="AM606" i="3" s="1"/>
  <c r="O528" i="3"/>
  <c r="AK528" i="3" s="1"/>
  <c r="AM528" i="3" s="1"/>
  <c r="O480" i="3"/>
  <c r="AK480" i="3" s="1"/>
  <c r="AM480" i="3" s="1"/>
  <c r="O114" i="3"/>
  <c r="AK114" i="3" s="1"/>
  <c r="AM114" i="3" s="1"/>
  <c r="O537" i="3"/>
  <c r="AK537" i="3" s="1"/>
  <c r="AM537" i="3" s="1"/>
  <c r="O526" i="3"/>
  <c r="AK526" i="3" s="1"/>
  <c r="AM526" i="3" s="1"/>
  <c r="O355" i="3"/>
  <c r="AK355" i="3" s="1"/>
  <c r="AM355" i="3" s="1"/>
  <c r="O139" i="3"/>
  <c r="AK139" i="3" s="1"/>
  <c r="AM139" i="3" s="1"/>
  <c r="O8" i="3"/>
  <c r="AK8" i="3" s="1"/>
  <c r="AM8" i="3" s="1"/>
  <c r="O411" i="3"/>
  <c r="AK411" i="3" s="1"/>
  <c r="AM411" i="3" s="1"/>
  <c r="O310" i="3"/>
  <c r="AK310" i="3" s="1"/>
  <c r="AM310" i="3" s="1"/>
  <c r="O515" i="3"/>
  <c r="AK515" i="3" s="1"/>
  <c r="AM515" i="3" s="1"/>
  <c r="O348" i="3"/>
  <c r="AK348" i="3" s="1"/>
  <c r="AM348" i="3" s="1"/>
  <c r="O599" i="3"/>
  <c r="AK599" i="3" s="1"/>
  <c r="AM599" i="3" s="1"/>
  <c r="O297" i="3"/>
  <c r="AK297" i="3" s="1"/>
  <c r="AM297" i="3" s="1"/>
  <c r="O271" i="3"/>
  <c r="AK271" i="3" s="1"/>
  <c r="AM271" i="3" s="1"/>
  <c r="O149" i="3"/>
  <c r="AK149" i="3" s="1"/>
  <c r="AM149" i="3" s="1"/>
  <c r="O263" i="3"/>
  <c r="AK263" i="3" s="1"/>
  <c r="AM263" i="3" s="1"/>
  <c r="O37" i="3"/>
  <c r="AK37" i="3" s="1"/>
  <c r="AM37" i="3" s="1"/>
  <c r="O160" i="3"/>
  <c r="AK160" i="3" s="1"/>
  <c r="AM160" i="3" s="1"/>
  <c r="O568" i="3"/>
  <c r="AK568" i="3" s="1"/>
  <c r="AM568" i="3" s="1"/>
  <c r="O78" i="3"/>
  <c r="AK78" i="3" s="1"/>
  <c r="AM78" i="3" s="1"/>
  <c r="O128" i="3"/>
  <c r="AK128" i="3" s="1"/>
  <c r="AM128" i="3" s="1"/>
  <c r="O422" i="3"/>
  <c r="AK422" i="3" s="1"/>
  <c r="AM422" i="3" s="1"/>
  <c r="O415" i="3"/>
  <c r="AK415" i="3" s="1"/>
  <c r="AM415" i="3" s="1"/>
  <c r="O574" i="3"/>
  <c r="AK574" i="3" s="1"/>
  <c r="AM574" i="3" s="1"/>
  <c r="O259" i="3"/>
  <c r="AK259" i="3" s="1"/>
  <c r="AM259" i="3" s="1"/>
  <c r="O498" i="3"/>
  <c r="AK498" i="3" s="1"/>
  <c r="AM498" i="3" s="1"/>
  <c r="O279" i="3"/>
  <c r="AK279" i="3" s="1"/>
  <c r="AM279" i="3" s="1"/>
  <c r="O4" i="3"/>
  <c r="AK4" i="3" s="1"/>
  <c r="AM4" i="3" s="1"/>
  <c r="O250" i="3"/>
  <c r="AK250" i="3" s="1"/>
  <c r="AM250" i="3" s="1"/>
  <c r="O613" i="3"/>
  <c r="AK613" i="3" s="1"/>
  <c r="AM613" i="3" s="1"/>
  <c r="O556" i="3"/>
  <c r="AK556" i="3" s="1"/>
  <c r="AM556" i="3" s="1"/>
  <c r="O523" i="3"/>
  <c r="AK523" i="3" s="1"/>
  <c r="AM523" i="3" s="1"/>
  <c r="O418" i="3"/>
  <c r="AK418" i="3" s="1"/>
  <c r="AM418" i="3" s="1"/>
  <c r="O567" i="3"/>
  <c r="AK567" i="3" s="1"/>
  <c r="AM567" i="3" s="1"/>
  <c r="R2" i="3" l="1"/>
  <c r="AK2" i="3"/>
  <c r="R567" i="3"/>
  <c r="T567" i="3" s="1"/>
  <c r="U567" i="3" s="1"/>
  <c r="R498" i="3"/>
  <c r="T498" i="3" s="1"/>
  <c r="U498" i="3" s="1"/>
  <c r="R160" i="3"/>
  <c r="T160" i="3" s="1"/>
  <c r="U160" i="3" s="1"/>
  <c r="R515" i="3"/>
  <c r="T515" i="3" s="1"/>
  <c r="U515" i="3" s="1"/>
  <c r="R114" i="3"/>
  <c r="T114" i="3" s="1"/>
  <c r="U114" i="3" s="1"/>
  <c r="R339" i="3"/>
  <c r="T339" i="3" s="1"/>
  <c r="U339" i="3" s="1"/>
  <c r="R172" i="3"/>
  <c r="T172" i="3" s="1"/>
  <c r="U172" i="3" s="1"/>
  <c r="R620" i="3"/>
  <c r="T620" i="3" s="1"/>
  <c r="U620" i="3" s="1"/>
  <c r="R270" i="3"/>
  <c r="T270" i="3" s="1"/>
  <c r="U270" i="3" s="1"/>
  <c r="R460" i="3"/>
  <c r="T460" i="3" s="1"/>
  <c r="U460" i="3" s="1"/>
  <c r="R223" i="3"/>
  <c r="T223" i="3" s="1"/>
  <c r="U223" i="3" s="1"/>
  <c r="R89" i="3"/>
  <c r="T89" i="3" s="1"/>
  <c r="U89" i="3" s="1"/>
  <c r="R293" i="3"/>
  <c r="T293" i="3" s="1"/>
  <c r="U293" i="3" s="1"/>
  <c r="R12" i="3"/>
  <c r="T12" i="3" s="1"/>
  <c r="U12" i="3" s="1"/>
  <c r="R133" i="3"/>
  <c r="T133" i="3" s="1"/>
  <c r="U133" i="3" s="1"/>
  <c r="R575" i="3"/>
  <c r="T575" i="3" s="1"/>
  <c r="U575" i="3" s="1"/>
  <c r="R529" i="3"/>
  <c r="T529" i="3" s="1"/>
  <c r="U529" i="3" s="1"/>
  <c r="R282" i="3"/>
  <c r="T282" i="3" s="1"/>
  <c r="U282" i="3" s="1"/>
  <c r="R292" i="3"/>
  <c r="T292" i="3" s="1"/>
  <c r="U292" i="3" s="1"/>
  <c r="R125" i="3"/>
  <c r="T125" i="3" s="1"/>
  <c r="U125" i="3" s="1"/>
  <c r="R545" i="3"/>
  <c r="T545" i="3" s="1"/>
  <c r="U545" i="3" s="1"/>
  <c r="R182" i="3"/>
  <c r="T182" i="3" s="1"/>
  <c r="U182" i="3" s="1"/>
  <c r="R191" i="3"/>
  <c r="T191" i="3" s="1"/>
  <c r="U191" i="3" s="1"/>
  <c r="R65" i="3"/>
  <c r="T65" i="3" s="1"/>
  <c r="U65" i="3" s="1"/>
  <c r="R504" i="3"/>
  <c r="T504" i="3" s="1"/>
  <c r="U504" i="3" s="1"/>
  <c r="R608" i="3"/>
  <c r="T608" i="3" s="1"/>
  <c r="U608" i="3" s="1"/>
  <c r="R300" i="3"/>
  <c r="T300" i="3" s="1"/>
  <c r="U300" i="3" s="1"/>
  <c r="R62" i="3"/>
  <c r="T62" i="3" s="1"/>
  <c r="U62" i="3" s="1"/>
  <c r="R299" i="3"/>
  <c r="T299" i="3" s="1"/>
  <c r="U299" i="3" s="1"/>
  <c r="R298" i="3"/>
  <c r="T298" i="3" s="1"/>
  <c r="U298" i="3" s="1"/>
  <c r="R564" i="3"/>
  <c r="T564" i="3" s="1"/>
  <c r="U564" i="3" s="1"/>
  <c r="R522" i="3"/>
  <c r="T522" i="3" s="1"/>
  <c r="U522" i="3" s="1"/>
  <c r="R430" i="3"/>
  <c r="T430" i="3" s="1"/>
  <c r="U430" i="3" s="1"/>
  <c r="R589" i="3"/>
  <c r="T589" i="3" s="1"/>
  <c r="U589" i="3" s="1"/>
  <c r="R267" i="3"/>
  <c r="T267" i="3" s="1"/>
  <c r="U267" i="3" s="1"/>
  <c r="R451" i="3"/>
  <c r="T451" i="3" s="1"/>
  <c r="U451" i="3" s="1"/>
  <c r="R30" i="3"/>
  <c r="T30" i="3" s="1"/>
  <c r="U30" i="3" s="1"/>
  <c r="R27" i="3"/>
  <c r="T27" i="3" s="1"/>
  <c r="U27" i="3" s="1"/>
  <c r="R496" i="3"/>
  <c r="T496" i="3" s="1"/>
  <c r="U496" i="3" s="1"/>
  <c r="R31" i="3"/>
  <c r="T31" i="3" s="1"/>
  <c r="U31" i="3" s="1"/>
  <c r="R409" i="3"/>
  <c r="T409" i="3" s="1"/>
  <c r="U409" i="3" s="1"/>
  <c r="R226" i="3"/>
  <c r="T226" i="3" s="1"/>
  <c r="U226" i="3" s="1"/>
  <c r="R540" i="3"/>
  <c r="T540" i="3" s="1"/>
  <c r="U540" i="3" s="1"/>
  <c r="R579" i="3"/>
  <c r="T579" i="3" s="1"/>
  <c r="U579" i="3" s="1"/>
  <c r="R518" i="3"/>
  <c r="T518" i="3" s="1"/>
  <c r="U518" i="3" s="1"/>
  <c r="R424" i="3"/>
  <c r="T424" i="3" s="1"/>
  <c r="U424" i="3" s="1"/>
  <c r="R470" i="3"/>
  <c r="T470" i="3" s="1"/>
  <c r="U470" i="3" s="1"/>
  <c r="R121" i="3"/>
  <c r="T121" i="3" s="1"/>
  <c r="U121" i="3" s="1"/>
  <c r="R56" i="3"/>
  <c r="T56" i="3" s="1"/>
  <c r="U56" i="3" s="1"/>
  <c r="R107" i="3"/>
  <c r="T107" i="3" s="1"/>
  <c r="U107" i="3" s="1"/>
  <c r="R453" i="3"/>
  <c r="T453" i="3" s="1"/>
  <c r="U453" i="3" s="1"/>
  <c r="R261" i="3"/>
  <c r="T261" i="3" s="1"/>
  <c r="U261" i="3" s="1"/>
  <c r="R582" i="3"/>
  <c r="T582" i="3" s="1"/>
  <c r="U582" i="3" s="1"/>
  <c r="R354" i="3"/>
  <c r="T354" i="3" s="1"/>
  <c r="U354" i="3" s="1"/>
  <c r="R376" i="3"/>
  <c r="T376" i="3" s="1"/>
  <c r="U376" i="3" s="1"/>
  <c r="R70" i="3"/>
  <c r="T70" i="3" s="1"/>
  <c r="U70" i="3" s="1"/>
  <c r="R144" i="3"/>
  <c r="T144" i="3" s="1"/>
  <c r="U144" i="3" s="1"/>
  <c r="R19" i="3"/>
  <c r="T19" i="3" s="1"/>
  <c r="U19" i="3" s="1"/>
  <c r="R361" i="3"/>
  <c r="T361" i="3" s="1"/>
  <c r="U361" i="3" s="1"/>
  <c r="R80" i="3"/>
  <c r="T80" i="3" s="1"/>
  <c r="U80" i="3" s="1"/>
  <c r="R206" i="3"/>
  <c r="T206" i="3" s="1"/>
  <c r="U206" i="3" s="1"/>
  <c r="R330" i="3"/>
  <c r="T330" i="3" s="1"/>
  <c r="U330" i="3" s="1"/>
  <c r="R377" i="3"/>
  <c r="T377" i="3" s="1"/>
  <c r="U377" i="3" s="1"/>
  <c r="R208" i="3"/>
  <c r="T208" i="3" s="1"/>
  <c r="U208" i="3" s="1"/>
  <c r="R262" i="3"/>
  <c r="T262" i="3" s="1"/>
  <c r="U262" i="3" s="1"/>
  <c r="R189" i="3"/>
  <c r="T189" i="3" s="1"/>
  <c r="U189" i="3" s="1"/>
  <c r="R61" i="3"/>
  <c r="T61" i="3" s="1"/>
  <c r="U61" i="3" s="1"/>
  <c r="R117" i="3"/>
  <c r="T117" i="3" s="1"/>
  <c r="U117" i="3" s="1"/>
  <c r="R379" i="3"/>
  <c r="T379" i="3" s="1"/>
  <c r="U379" i="3" s="1"/>
  <c r="R288" i="3"/>
  <c r="T288" i="3" s="1"/>
  <c r="U288" i="3" s="1"/>
  <c r="R464" i="3"/>
  <c r="T464" i="3" s="1"/>
  <c r="U464" i="3" s="1"/>
  <c r="R294" i="3"/>
  <c r="T294" i="3" s="1"/>
  <c r="U294" i="3" s="1"/>
  <c r="R17" i="3"/>
  <c r="T17" i="3" s="1"/>
  <c r="U17" i="3" s="1"/>
  <c r="R119" i="3"/>
  <c r="T119" i="3" s="1"/>
  <c r="U119" i="3" s="1"/>
  <c r="R414" i="3"/>
  <c r="T414" i="3" s="1"/>
  <c r="U414" i="3" s="1"/>
  <c r="R352" i="3"/>
  <c r="T352" i="3" s="1"/>
  <c r="U352" i="3" s="1"/>
  <c r="R141" i="3"/>
  <c r="T141" i="3" s="1"/>
  <c r="U141" i="3" s="1"/>
  <c r="R22" i="3"/>
  <c r="T22" i="3" s="1"/>
  <c r="U22" i="3" s="1"/>
  <c r="R385" i="3"/>
  <c r="T385" i="3" s="1"/>
  <c r="U385" i="3" s="1"/>
  <c r="R531" i="3"/>
  <c r="T531" i="3" s="1"/>
  <c r="U531" i="3" s="1"/>
  <c r="R163" i="3"/>
  <c r="T163" i="3" s="1"/>
  <c r="U163" i="3" s="1"/>
  <c r="R53" i="3"/>
  <c r="T53" i="3" s="1"/>
  <c r="U53" i="3" s="1"/>
  <c r="R205" i="3"/>
  <c r="T205" i="3" s="1"/>
  <c r="U205" i="3" s="1"/>
  <c r="R615" i="3"/>
  <c r="T615" i="3" s="1"/>
  <c r="U615" i="3" s="1"/>
  <c r="R213" i="3"/>
  <c r="T213" i="3" s="1"/>
  <c r="U213" i="3" s="1"/>
  <c r="R565" i="3"/>
  <c r="T565" i="3" s="1"/>
  <c r="U565" i="3" s="1"/>
  <c r="R519" i="3"/>
  <c r="T519" i="3" s="1"/>
  <c r="U519" i="3" s="1"/>
  <c r="R195" i="3"/>
  <c r="T195" i="3" s="1"/>
  <c r="U195" i="3" s="1"/>
  <c r="R547" i="3"/>
  <c r="T547" i="3" s="1"/>
  <c r="U547" i="3" s="1"/>
  <c r="R573" i="3"/>
  <c r="T573" i="3" s="1"/>
  <c r="U573" i="3" s="1"/>
  <c r="R94" i="3"/>
  <c r="T94" i="3" s="1"/>
  <c r="U94" i="3" s="1"/>
  <c r="R628" i="3"/>
  <c r="T628" i="3" s="1"/>
  <c r="U628" i="3" s="1"/>
  <c r="R626" i="3"/>
  <c r="T626" i="3" s="1"/>
  <c r="U626" i="3" s="1"/>
  <c r="R266" i="3"/>
  <c r="T266" i="3" s="1"/>
  <c r="U266" i="3" s="1"/>
  <c r="R194" i="3"/>
  <c r="T194" i="3" s="1"/>
  <c r="U194" i="3" s="1"/>
  <c r="R150" i="3"/>
  <c r="T150" i="3" s="1"/>
  <c r="U150" i="3" s="1"/>
  <c r="R253" i="3"/>
  <c r="T253" i="3" s="1"/>
  <c r="U253" i="3" s="1"/>
  <c r="R590" i="3"/>
  <c r="T590" i="3" s="1"/>
  <c r="U590" i="3" s="1"/>
  <c r="R164" i="3"/>
  <c r="T164" i="3" s="1"/>
  <c r="U164" i="3" s="1"/>
  <c r="R356" i="3"/>
  <c r="T356" i="3" s="1"/>
  <c r="U356" i="3" s="1"/>
  <c r="R331" i="3"/>
  <c r="T331" i="3" s="1"/>
  <c r="U331" i="3" s="1"/>
  <c r="R490" i="3"/>
  <c r="T490" i="3" s="1"/>
  <c r="U490" i="3" s="1"/>
  <c r="R314" i="3"/>
  <c r="T314" i="3" s="1"/>
  <c r="U314" i="3" s="1"/>
  <c r="R629" i="3"/>
  <c r="T629" i="3" s="1"/>
  <c r="U629" i="3" s="1"/>
  <c r="R234" i="3"/>
  <c r="T234" i="3" s="1"/>
  <c r="U234" i="3" s="1"/>
  <c r="R586" i="3"/>
  <c r="T586" i="3" s="1"/>
  <c r="U586" i="3" s="1"/>
  <c r="R610" i="3"/>
  <c r="T610" i="3" s="1"/>
  <c r="U610" i="3" s="1"/>
  <c r="R551" i="3"/>
  <c r="T551" i="3" s="1"/>
  <c r="U551" i="3" s="1"/>
  <c r="R523" i="3"/>
  <c r="T523" i="3" s="1"/>
  <c r="U523" i="3" s="1"/>
  <c r="R4" i="3"/>
  <c r="T4" i="3" s="1"/>
  <c r="U4" i="3" s="1"/>
  <c r="R574" i="3"/>
  <c r="T574" i="3" s="1"/>
  <c r="U574" i="3" s="1"/>
  <c r="R78" i="3"/>
  <c r="T78" i="3" s="1"/>
  <c r="U78" i="3" s="1"/>
  <c r="R263" i="3"/>
  <c r="T263" i="3" s="1"/>
  <c r="U263" i="3" s="1"/>
  <c r="R599" i="3"/>
  <c r="T599" i="3" s="1"/>
  <c r="U599" i="3" s="1"/>
  <c r="R411" i="3"/>
  <c r="T411" i="3" s="1"/>
  <c r="U411" i="3" s="1"/>
  <c r="R526" i="3"/>
  <c r="T526" i="3" s="1"/>
  <c r="U526" i="3" s="1"/>
  <c r="R528" i="3"/>
  <c r="T528" i="3" s="1"/>
  <c r="U528" i="3" s="1"/>
  <c r="R46" i="3"/>
  <c r="T46" i="3" s="1"/>
  <c r="U46" i="3" s="1"/>
  <c r="R212" i="3"/>
  <c r="T212" i="3" s="1"/>
  <c r="U212" i="3" s="1"/>
  <c r="R375" i="3"/>
  <c r="T375" i="3" s="1"/>
  <c r="U375" i="3" s="1"/>
  <c r="R369" i="3"/>
  <c r="T369" i="3" s="1"/>
  <c r="U369" i="3" s="1"/>
  <c r="R429" i="3"/>
  <c r="T429" i="3" s="1"/>
  <c r="U429" i="3" s="1"/>
  <c r="R283" i="3"/>
  <c r="T283" i="3" s="1"/>
  <c r="U283" i="3" s="1"/>
  <c r="R382" i="3"/>
  <c r="T382" i="3" s="1"/>
  <c r="U382" i="3" s="1"/>
  <c r="R301" i="3"/>
  <c r="T301" i="3" s="1"/>
  <c r="U301" i="3" s="1"/>
  <c r="R157" i="3"/>
  <c r="T157" i="3" s="1"/>
  <c r="U157" i="3" s="1"/>
  <c r="R452" i="3"/>
  <c r="T452" i="3" s="1"/>
  <c r="U452" i="3" s="1"/>
  <c r="R445" i="3"/>
  <c r="T445" i="3" s="1"/>
  <c r="U445" i="3" s="1"/>
  <c r="R276" i="3"/>
  <c r="T276" i="3" s="1"/>
  <c r="U276" i="3" s="1"/>
  <c r="R566" i="3"/>
  <c r="T566" i="3" s="1"/>
  <c r="U566" i="3" s="1"/>
  <c r="R513" i="3"/>
  <c r="T513" i="3" s="1"/>
  <c r="U513" i="3" s="1"/>
  <c r="R57" i="3"/>
  <c r="T57" i="3" s="1"/>
  <c r="U57" i="3" s="1"/>
  <c r="R118" i="3"/>
  <c r="T118" i="3" s="1"/>
  <c r="U118" i="3" s="1"/>
  <c r="R268" i="3"/>
  <c r="T268" i="3" s="1"/>
  <c r="U268" i="3" s="1"/>
  <c r="R81" i="3"/>
  <c r="T81" i="3" s="1"/>
  <c r="U81" i="3" s="1"/>
  <c r="R29" i="3"/>
  <c r="T29" i="3" s="1"/>
  <c r="U29" i="3" s="1"/>
  <c r="R260" i="3"/>
  <c r="T260" i="3" s="1"/>
  <c r="U260" i="3" s="1"/>
  <c r="R123" i="3"/>
  <c r="T123" i="3" s="1"/>
  <c r="U123" i="3" s="1"/>
  <c r="R479" i="3"/>
  <c r="T479" i="3" s="1"/>
  <c r="U479" i="3" s="1"/>
  <c r="R3" i="3"/>
  <c r="T3" i="3" s="1"/>
  <c r="U3" i="3" s="1"/>
  <c r="R11" i="3"/>
  <c r="T11" i="3" s="1"/>
  <c r="U11" i="3" s="1"/>
  <c r="R481" i="3"/>
  <c r="T481" i="3" s="1"/>
  <c r="U481" i="3" s="1"/>
  <c r="R87" i="3"/>
  <c r="T87" i="3" s="1"/>
  <c r="U87" i="3" s="1"/>
  <c r="R193" i="3"/>
  <c r="T193" i="3" s="1"/>
  <c r="U193" i="3" s="1"/>
  <c r="R251" i="3"/>
  <c r="T251" i="3" s="1"/>
  <c r="U251" i="3" s="1"/>
  <c r="R431" i="3"/>
  <c r="T431" i="3" s="1"/>
  <c r="U431" i="3" s="1"/>
  <c r="R15" i="3"/>
  <c r="T15" i="3" s="1"/>
  <c r="U15" i="3" s="1"/>
  <c r="R303" i="3"/>
  <c r="T303" i="3" s="1"/>
  <c r="U303" i="3" s="1"/>
  <c r="R462" i="3"/>
  <c r="T462" i="3" s="1"/>
  <c r="U462" i="3" s="1"/>
  <c r="R192" i="3"/>
  <c r="T192" i="3" s="1"/>
  <c r="U192" i="3" s="1"/>
  <c r="R169" i="3"/>
  <c r="T169" i="3" s="1"/>
  <c r="U169" i="3" s="1"/>
  <c r="R423" i="3"/>
  <c r="T423" i="3" s="1"/>
  <c r="U423" i="3" s="1"/>
  <c r="R167" i="3"/>
  <c r="T167" i="3" s="1"/>
  <c r="U167" i="3" s="1"/>
  <c r="R72" i="3"/>
  <c r="T72" i="3" s="1"/>
  <c r="U72" i="3" s="1"/>
  <c r="R153" i="3"/>
  <c r="T153" i="3" s="1"/>
  <c r="U153" i="3" s="1"/>
  <c r="R96" i="3"/>
  <c r="T96" i="3" s="1"/>
  <c r="U96" i="3" s="1"/>
  <c r="R131" i="3"/>
  <c r="T131" i="3" s="1"/>
  <c r="U131" i="3" s="1"/>
  <c r="R410" i="3"/>
  <c r="T410" i="3" s="1"/>
  <c r="U410" i="3" s="1"/>
  <c r="R558" i="3"/>
  <c r="T558" i="3" s="1"/>
  <c r="U558" i="3" s="1"/>
  <c r="R397" i="3"/>
  <c r="T397" i="3" s="1"/>
  <c r="U397" i="3" s="1"/>
  <c r="R630" i="3"/>
  <c r="T630" i="3" s="1"/>
  <c r="U630" i="3" s="1"/>
  <c r="R413" i="3"/>
  <c r="T413" i="3" s="1"/>
  <c r="U413" i="3" s="1"/>
  <c r="R403" i="3"/>
  <c r="T403" i="3" s="1"/>
  <c r="U403" i="3" s="1"/>
  <c r="R360" i="3"/>
  <c r="T360" i="3" s="1"/>
  <c r="U360" i="3" s="1"/>
  <c r="R404" i="3"/>
  <c r="T404" i="3" s="1"/>
  <c r="U404" i="3" s="1"/>
  <c r="R185" i="3"/>
  <c r="T185" i="3" s="1"/>
  <c r="U185" i="3" s="1"/>
  <c r="R601" i="3"/>
  <c r="T601" i="3" s="1"/>
  <c r="U601" i="3" s="1"/>
  <c r="R86" i="3"/>
  <c r="T86" i="3" s="1"/>
  <c r="U86" i="3" s="1"/>
  <c r="R580" i="3"/>
  <c r="T580" i="3" s="1"/>
  <c r="U580" i="3" s="1"/>
  <c r="R176" i="3"/>
  <c r="T176" i="3" s="1"/>
  <c r="U176" i="3" s="1"/>
  <c r="R41" i="3"/>
  <c r="T41" i="3" s="1"/>
  <c r="U41" i="3" s="1"/>
  <c r="R108" i="3"/>
  <c r="T108" i="3" s="1"/>
  <c r="U108" i="3" s="1"/>
  <c r="R9" i="3"/>
  <c r="T9" i="3" s="1"/>
  <c r="U9" i="3" s="1"/>
  <c r="R281" i="3"/>
  <c r="T281" i="3" s="1"/>
  <c r="U281" i="3" s="1"/>
  <c r="R155" i="3"/>
  <c r="T155" i="3" s="1"/>
  <c r="U155" i="3" s="1"/>
  <c r="R122" i="3"/>
  <c r="T122" i="3" s="1"/>
  <c r="U122" i="3" s="1"/>
  <c r="R491" i="3"/>
  <c r="T491" i="3" s="1"/>
  <c r="U491" i="3" s="1"/>
  <c r="R138" i="3"/>
  <c r="T138" i="3" s="1"/>
  <c r="U138" i="3" s="1"/>
  <c r="R552" i="3"/>
  <c r="T552" i="3" s="1"/>
  <c r="U552" i="3" s="1"/>
  <c r="R437" i="3"/>
  <c r="T437" i="3" s="1"/>
  <c r="U437" i="3" s="1"/>
  <c r="R373" i="3"/>
  <c r="T373" i="3" s="1"/>
  <c r="U373" i="3" s="1"/>
  <c r="R237" i="3"/>
  <c r="T237" i="3" s="1"/>
  <c r="U237" i="3" s="1"/>
  <c r="R204" i="3"/>
  <c r="T204" i="3" s="1"/>
  <c r="U204" i="3" s="1"/>
  <c r="R550" i="3"/>
  <c r="T550" i="3" s="1"/>
  <c r="U550" i="3" s="1"/>
  <c r="R350" i="3"/>
  <c r="T350" i="3" s="1"/>
  <c r="U350" i="3" s="1"/>
  <c r="R129" i="3"/>
  <c r="T129" i="3" s="1"/>
  <c r="U129" i="3" s="1"/>
  <c r="R388" i="3"/>
  <c r="T388" i="3" s="1"/>
  <c r="U388" i="3" s="1"/>
  <c r="R18" i="3"/>
  <c r="T18" i="3" s="1"/>
  <c r="U18" i="3" s="1"/>
  <c r="R258" i="3"/>
  <c r="T258" i="3" s="1"/>
  <c r="U258" i="3" s="1"/>
  <c r="R106" i="3"/>
  <c r="T106" i="3" s="1"/>
  <c r="U106" i="3" s="1"/>
  <c r="R277" i="3"/>
  <c r="T277" i="3" s="1"/>
  <c r="U277" i="3" s="1"/>
  <c r="R438" i="3"/>
  <c r="T438" i="3" s="1"/>
  <c r="U438" i="3" s="1"/>
  <c r="R225" i="3"/>
  <c r="T225" i="3" s="1"/>
  <c r="U225" i="3" s="1"/>
  <c r="R14" i="3"/>
  <c r="T14" i="3" s="1"/>
  <c r="U14" i="3" s="1"/>
  <c r="R622" i="3"/>
  <c r="T622" i="3" s="1"/>
  <c r="U622" i="3" s="1"/>
  <c r="R621" i="3"/>
  <c r="T621" i="3" s="1"/>
  <c r="U621" i="3" s="1"/>
  <c r="R254" i="3"/>
  <c r="T254" i="3" s="1"/>
  <c r="U254" i="3" s="1"/>
  <c r="R495" i="3"/>
  <c r="T495" i="3" s="1"/>
  <c r="U495" i="3" s="1"/>
  <c r="R135" i="3"/>
  <c r="T135" i="3" s="1"/>
  <c r="U135" i="3" s="1"/>
  <c r="R335" i="3"/>
  <c r="T335" i="3" s="1"/>
  <c r="U335" i="3" s="1"/>
  <c r="R466" i="3"/>
  <c r="T466" i="3" s="1"/>
  <c r="U466" i="3" s="1"/>
  <c r="R252" i="3"/>
  <c r="T252" i="3" s="1"/>
  <c r="U252" i="3" s="1"/>
  <c r="R211" i="3"/>
  <c r="T211" i="3" s="1"/>
  <c r="U211" i="3" s="1"/>
  <c r="R5" i="3"/>
  <c r="T5" i="3" s="1"/>
  <c r="U5" i="3" s="1"/>
  <c r="R387" i="3"/>
  <c r="T387" i="3" s="1"/>
  <c r="U387" i="3" s="1"/>
  <c r="R400" i="3"/>
  <c r="T400" i="3" s="1"/>
  <c r="U400" i="3" s="1"/>
  <c r="R79" i="3"/>
  <c r="T79" i="3" s="1"/>
  <c r="U79" i="3" s="1"/>
  <c r="R165" i="3"/>
  <c r="T165" i="3" s="1"/>
  <c r="U165" i="3" s="1"/>
  <c r="R44" i="3"/>
  <c r="T44" i="3" s="1"/>
  <c r="U44" i="3" s="1"/>
  <c r="R105" i="3"/>
  <c r="T105" i="3" s="1"/>
  <c r="U105" i="3" s="1"/>
  <c r="R309" i="3"/>
  <c r="T309" i="3" s="1"/>
  <c r="U309" i="3" s="1"/>
  <c r="R272" i="3"/>
  <c r="T272" i="3" s="1"/>
  <c r="U272" i="3" s="1"/>
  <c r="R232" i="3"/>
  <c r="T232" i="3" s="1"/>
  <c r="U232" i="3" s="1"/>
  <c r="R319" i="3"/>
  <c r="T319" i="3" s="1"/>
  <c r="U319" i="3" s="1"/>
  <c r="R538" i="3"/>
  <c r="T538" i="3" s="1"/>
  <c r="U538" i="3" s="1"/>
  <c r="R113" i="3"/>
  <c r="T113" i="3" s="1"/>
  <c r="U113" i="3" s="1"/>
  <c r="R535" i="3"/>
  <c r="T535" i="3" s="1"/>
  <c r="U535" i="3" s="1"/>
  <c r="R170" i="3"/>
  <c r="T170" i="3" s="1"/>
  <c r="U170" i="3" s="1"/>
  <c r="R571" i="3"/>
  <c r="T571" i="3" s="1"/>
  <c r="U571" i="3" s="1"/>
  <c r="R248" i="3"/>
  <c r="T248" i="3" s="1"/>
  <c r="U248" i="3" s="1"/>
  <c r="R120" i="3"/>
  <c r="T120" i="3" s="1"/>
  <c r="U120" i="3" s="1"/>
  <c r="R16" i="3"/>
  <c r="T16" i="3" s="1"/>
  <c r="U16" i="3" s="1"/>
  <c r="R296" i="3"/>
  <c r="T296" i="3" s="1"/>
  <c r="U296" i="3" s="1"/>
  <c r="R180" i="3"/>
  <c r="T180" i="3" s="1"/>
  <c r="U180" i="3" s="1"/>
  <c r="R289" i="3"/>
  <c r="T289" i="3" s="1"/>
  <c r="U289" i="3" s="1"/>
  <c r="R497" i="3"/>
  <c r="T497" i="3" s="1"/>
  <c r="U497" i="3" s="1"/>
  <c r="R317" i="3"/>
  <c r="T317" i="3" s="1"/>
  <c r="U317" i="3" s="1"/>
  <c r="R624" i="3"/>
  <c r="T624" i="3" s="1"/>
  <c r="U624" i="3" s="1"/>
  <c r="R188" i="3"/>
  <c r="T188" i="3" s="1"/>
  <c r="U188" i="3" s="1"/>
  <c r="R48" i="3"/>
  <c r="T48" i="3" s="1"/>
  <c r="U48" i="3" s="1"/>
  <c r="R311" i="3"/>
  <c r="T311" i="3" s="1"/>
  <c r="U311" i="3" s="1"/>
  <c r="R312" i="3"/>
  <c r="T312" i="3" s="1"/>
  <c r="U312" i="3" s="1"/>
  <c r="R544" i="3"/>
  <c r="T544" i="3" s="1"/>
  <c r="U544" i="3" s="1"/>
  <c r="R499" i="3"/>
  <c r="T499" i="3" s="1"/>
  <c r="U499" i="3" s="1"/>
  <c r="R257" i="3"/>
  <c r="T257" i="3" s="1"/>
  <c r="U257" i="3" s="1"/>
  <c r="R473" i="3"/>
  <c r="T473" i="3" s="1"/>
  <c r="U473" i="3" s="1"/>
  <c r="R450" i="3"/>
  <c r="T450" i="3" s="1"/>
  <c r="U450" i="3" s="1"/>
  <c r="R156" i="3"/>
  <c r="T156" i="3" s="1"/>
  <c r="U156" i="3" s="1"/>
  <c r="R158" i="3"/>
  <c r="T158" i="3" s="1"/>
  <c r="U158" i="3" s="1"/>
  <c r="R389" i="3"/>
  <c r="T389" i="3" s="1"/>
  <c r="U389" i="3" s="1"/>
  <c r="R214" i="3"/>
  <c r="T214" i="3" s="1"/>
  <c r="U214" i="3" s="1"/>
  <c r="R412" i="3"/>
  <c r="T412" i="3" s="1"/>
  <c r="U412" i="3" s="1"/>
  <c r="R13" i="3"/>
  <c r="T13" i="3" s="1"/>
  <c r="U13" i="3" s="1"/>
  <c r="R101" i="3"/>
  <c r="T101" i="3" s="1"/>
  <c r="U101" i="3" s="1"/>
  <c r="R326" i="3"/>
  <c r="T326" i="3" s="1"/>
  <c r="U326" i="3" s="1"/>
  <c r="R75" i="3"/>
  <c r="T75" i="3" s="1"/>
  <c r="U75" i="3" s="1"/>
  <c r="R612" i="3"/>
  <c r="T612" i="3" s="1"/>
  <c r="U612" i="3" s="1"/>
  <c r="R511" i="3"/>
  <c r="T511" i="3" s="1"/>
  <c r="U511" i="3" s="1"/>
  <c r="R426" i="3"/>
  <c r="T426" i="3" s="1"/>
  <c r="U426" i="3" s="1"/>
  <c r="R364" i="3"/>
  <c r="T364" i="3" s="1"/>
  <c r="U364" i="3" s="1"/>
  <c r="R59" i="3"/>
  <c r="T59" i="3" s="1"/>
  <c r="U59" i="3" s="1"/>
  <c r="R137" i="3"/>
  <c r="T137" i="3" s="1"/>
  <c r="U137" i="3" s="1"/>
  <c r="R359" i="3"/>
  <c r="T359" i="3" s="1"/>
  <c r="U359" i="3" s="1"/>
  <c r="R444" i="3"/>
  <c r="T444" i="3" s="1"/>
  <c r="U444" i="3" s="1"/>
  <c r="R42" i="3"/>
  <c r="T42" i="3" s="1"/>
  <c r="U42" i="3" s="1"/>
  <c r="R50" i="3"/>
  <c r="T50" i="3" s="1"/>
  <c r="U50" i="3" s="1"/>
  <c r="R302" i="3"/>
  <c r="T302" i="3" s="1"/>
  <c r="U302" i="3" s="1"/>
  <c r="T2" i="3"/>
  <c r="R203" i="3"/>
  <c r="T203" i="3" s="1"/>
  <c r="U203" i="3" s="1"/>
  <c r="R100" i="3"/>
  <c r="T100" i="3" s="1"/>
  <c r="U100" i="3" s="1"/>
  <c r="R366" i="3"/>
  <c r="T366" i="3" s="1"/>
  <c r="U366" i="3" s="1"/>
  <c r="R227" i="3"/>
  <c r="T227" i="3" s="1"/>
  <c r="U227" i="3" s="1"/>
  <c r="R393" i="3"/>
  <c r="T393" i="3" s="1"/>
  <c r="U393" i="3" s="1"/>
  <c r="R63" i="3"/>
  <c r="T63" i="3" s="1"/>
  <c r="U63" i="3" s="1"/>
  <c r="R386" i="3"/>
  <c r="T386" i="3" s="1"/>
  <c r="U386" i="3" s="1"/>
  <c r="R556" i="3"/>
  <c r="T556" i="3" s="1"/>
  <c r="U556" i="3" s="1"/>
  <c r="R279" i="3"/>
  <c r="T279" i="3" s="1"/>
  <c r="U279" i="3" s="1"/>
  <c r="R415" i="3"/>
  <c r="T415" i="3" s="1"/>
  <c r="U415" i="3" s="1"/>
  <c r="R568" i="3"/>
  <c r="T568" i="3" s="1"/>
  <c r="U568" i="3" s="1"/>
  <c r="R149" i="3"/>
  <c r="T149" i="3" s="1"/>
  <c r="U149" i="3" s="1"/>
  <c r="R348" i="3"/>
  <c r="T348" i="3" s="1"/>
  <c r="U348" i="3" s="1"/>
  <c r="R8" i="3"/>
  <c r="T8" i="3" s="1"/>
  <c r="U8" i="3" s="1"/>
  <c r="R537" i="3"/>
  <c r="T537" i="3" s="1"/>
  <c r="U537" i="3" s="1"/>
  <c r="R606" i="3"/>
  <c r="T606" i="3" s="1"/>
  <c r="U606" i="3" s="1"/>
  <c r="R168" i="3"/>
  <c r="T168" i="3" s="1"/>
  <c r="U168" i="3" s="1"/>
  <c r="R147" i="3"/>
  <c r="T147" i="3" s="1"/>
  <c r="U147" i="3" s="1"/>
  <c r="R181" i="3"/>
  <c r="T181" i="3" s="1"/>
  <c r="U181" i="3" s="1"/>
  <c r="R76" i="3"/>
  <c r="T76" i="3" s="1"/>
  <c r="U76" i="3" s="1"/>
  <c r="R425" i="3"/>
  <c r="T425" i="3" s="1"/>
  <c r="U425" i="3" s="1"/>
  <c r="R527" i="3"/>
  <c r="T527" i="3" s="1"/>
  <c r="U527" i="3" s="1"/>
  <c r="R34" i="3"/>
  <c r="T34" i="3" s="1"/>
  <c r="U34" i="3" s="1"/>
  <c r="R428" i="3"/>
  <c r="T428" i="3" s="1"/>
  <c r="U428" i="3" s="1"/>
  <c r="R542" i="3"/>
  <c r="T542" i="3" s="1"/>
  <c r="U542" i="3" s="1"/>
  <c r="R561" i="3"/>
  <c r="T561" i="3" s="1"/>
  <c r="U561" i="3" s="1"/>
  <c r="R77" i="3"/>
  <c r="T77" i="3" s="1"/>
  <c r="U77" i="3" s="1"/>
  <c r="R242" i="3"/>
  <c r="T242" i="3" s="1"/>
  <c r="U242" i="3" s="1"/>
  <c r="R58" i="3"/>
  <c r="T58" i="3" s="1"/>
  <c r="U58" i="3" s="1"/>
  <c r="R162" i="3"/>
  <c r="T162" i="3" s="1"/>
  <c r="U162" i="3" s="1"/>
  <c r="R357" i="3"/>
  <c r="T357" i="3" s="1"/>
  <c r="U357" i="3" s="1"/>
  <c r="R521" i="3"/>
  <c r="T521" i="3" s="1"/>
  <c r="U521" i="3" s="1"/>
  <c r="R559" i="3"/>
  <c r="T559" i="3" s="1"/>
  <c r="U559" i="3" s="1"/>
  <c r="R85" i="3"/>
  <c r="T85" i="3" s="1"/>
  <c r="U85" i="3" s="1"/>
  <c r="R200" i="3"/>
  <c r="T200" i="3" s="1"/>
  <c r="U200" i="3" s="1"/>
  <c r="R593" i="3"/>
  <c r="T593" i="3" s="1"/>
  <c r="U593" i="3" s="1"/>
  <c r="R275" i="3"/>
  <c r="T275" i="3" s="1"/>
  <c r="U275" i="3" s="1"/>
  <c r="R546" i="3"/>
  <c r="T546" i="3" s="1"/>
  <c r="U546" i="3" s="1"/>
  <c r="R316" i="3"/>
  <c r="T316" i="3" s="1"/>
  <c r="U316" i="3" s="1"/>
  <c r="R446" i="3"/>
  <c r="T446" i="3" s="1"/>
  <c r="U446" i="3" s="1"/>
  <c r="R334" i="3"/>
  <c r="T334" i="3" s="1"/>
  <c r="U334" i="3" s="1"/>
  <c r="R325" i="3"/>
  <c r="T325" i="3" s="1"/>
  <c r="U325" i="3" s="1"/>
  <c r="R476" i="3"/>
  <c r="T476" i="3" s="1"/>
  <c r="U476" i="3" s="1"/>
  <c r="R99" i="3"/>
  <c r="T99" i="3" s="1"/>
  <c r="U99" i="3" s="1"/>
  <c r="R40" i="3"/>
  <c r="T40" i="3" s="1"/>
  <c r="U40" i="3" s="1"/>
  <c r="R151" i="3"/>
  <c r="T151" i="3" s="1"/>
  <c r="U151" i="3" s="1"/>
  <c r="R179" i="3"/>
  <c r="T179" i="3" s="1"/>
  <c r="U179" i="3" s="1"/>
  <c r="R112" i="3"/>
  <c r="T112" i="3" s="1"/>
  <c r="U112" i="3" s="1"/>
  <c r="R337" i="3"/>
  <c r="T337" i="3" s="1"/>
  <c r="U337" i="3" s="1"/>
  <c r="R427" i="3"/>
  <c r="T427" i="3" s="1"/>
  <c r="U427" i="3" s="1"/>
  <c r="R616" i="3"/>
  <c r="T616" i="3" s="1"/>
  <c r="U616" i="3" s="1"/>
  <c r="R557" i="3"/>
  <c r="T557" i="3" s="1"/>
  <c r="U557" i="3" s="1"/>
  <c r="R416" i="3"/>
  <c r="T416" i="3" s="1"/>
  <c r="U416" i="3" s="1"/>
  <c r="R421" i="3"/>
  <c r="T421" i="3" s="1"/>
  <c r="U421" i="3" s="1"/>
  <c r="R456" i="3"/>
  <c r="T456" i="3" s="1"/>
  <c r="U456" i="3" s="1"/>
  <c r="R627" i="3"/>
  <c r="T627" i="3" s="1"/>
  <c r="U627" i="3" s="1"/>
  <c r="R109" i="3"/>
  <c r="T109" i="3" s="1"/>
  <c r="U109" i="3" s="1"/>
  <c r="R383" i="3"/>
  <c r="T383" i="3" s="1"/>
  <c r="U383" i="3" s="1"/>
  <c r="R68" i="3"/>
  <c r="T68" i="3" s="1"/>
  <c r="U68" i="3" s="1"/>
  <c r="R145" i="3"/>
  <c r="T145" i="3" s="1"/>
  <c r="U145" i="3" s="1"/>
  <c r="R487" i="3"/>
  <c r="T487" i="3" s="1"/>
  <c r="U487" i="3" s="1"/>
  <c r="R507" i="3"/>
  <c r="T507" i="3" s="1"/>
  <c r="U507" i="3" s="1"/>
  <c r="R245" i="3"/>
  <c r="T245" i="3" s="1"/>
  <c r="U245" i="3" s="1"/>
  <c r="R43" i="3"/>
  <c r="T43" i="3" s="1"/>
  <c r="U43" i="3" s="1"/>
  <c r="R585" i="3"/>
  <c r="T585" i="3" s="1"/>
  <c r="U585" i="3" s="1"/>
  <c r="R74" i="3"/>
  <c r="T74" i="3" s="1"/>
  <c r="U74" i="3" s="1"/>
  <c r="R609" i="3"/>
  <c r="T609" i="3" s="1"/>
  <c r="U609" i="3" s="1"/>
  <c r="R215" i="3"/>
  <c r="T215" i="3" s="1"/>
  <c r="U215" i="3" s="1"/>
  <c r="R449" i="3"/>
  <c r="T449" i="3" s="1"/>
  <c r="U449" i="3" s="1"/>
  <c r="R433" i="3"/>
  <c r="T433" i="3" s="1"/>
  <c r="U433" i="3" s="1"/>
  <c r="R344" i="3"/>
  <c r="T344" i="3" s="1"/>
  <c r="U344" i="3" s="1"/>
  <c r="R493" i="3"/>
  <c r="T493" i="3" s="1"/>
  <c r="U493" i="3" s="1"/>
  <c r="R328" i="3"/>
  <c r="T328" i="3" s="1"/>
  <c r="U328" i="3" s="1"/>
  <c r="R264" i="3"/>
  <c r="T264" i="3" s="1"/>
  <c r="U264" i="3" s="1"/>
  <c r="R505" i="3"/>
  <c r="T505" i="3" s="1"/>
  <c r="U505" i="3" s="1"/>
  <c r="R367" i="3"/>
  <c r="T367" i="3" s="1"/>
  <c r="U367" i="3" s="1"/>
  <c r="R210" i="3"/>
  <c r="T210" i="3" s="1"/>
  <c r="U210" i="3" s="1"/>
  <c r="R246" i="3"/>
  <c r="T246" i="3" s="1"/>
  <c r="U246" i="3" s="1"/>
  <c r="R342" i="3"/>
  <c r="T342" i="3" s="1"/>
  <c r="U342" i="3" s="1"/>
  <c r="R432" i="3"/>
  <c r="T432" i="3" s="1"/>
  <c r="U432" i="3" s="1"/>
  <c r="R596" i="3"/>
  <c r="T596" i="3" s="1"/>
  <c r="U596" i="3" s="1"/>
  <c r="R492" i="3"/>
  <c r="T492" i="3" s="1"/>
  <c r="U492" i="3" s="1"/>
  <c r="R478" i="3"/>
  <c r="T478" i="3" s="1"/>
  <c r="U478" i="3" s="1"/>
  <c r="R327" i="3"/>
  <c r="T327" i="3" s="1"/>
  <c r="U327" i="3" s="1"/>
  <c r="R143" i="3"/>
  <c r="T143" i="3" s="1"/>
  <c r="U143" i="3" s="1"/>
  <c r="R187" i="3"/>
  <c r="T187" i="3" s="1"/>
  <c r="U187" i="3" s="1"/>
  <c r="R20" i="3"/>
  <c r="T20" i="3" s="1"/>
  <c r="U20" i="3" s="1"/>
  <c r="R21" i="3"/>
  <c r="T21" i="3" s="1"/>
  <c r="U21" i="3" s="1"/>
  <c r="R54" i="3"/>
  <c r="T54" i="3" s="1"/>
  <c r="U54" i="3" s="1"/>
  <c r="R419" i="3"/>
  <c r="T419" i="3" s="1"/>
  <c r="U419" i="3" s="1"/>
  <c r="R35" i="3"/>
  <c r="T35" i="3" s="1"/>
  <c r="U35" i="3" s="1"/>
  <c r="R536" i="3"/>
  <c r="T536" i="3" s="1"/>
  <c r="U536" i="3" s="1"/>
  <c r="R345" i="3"/>
  <c r="T345" i="3" s="1"/>
  <c r="U345" i="3" s="1"/>
  <c r="R196" i="3"/>
  <c r="T196" i="3" s="1"/>
  <c r="U196" i="3" s="1"/>
  <c r="R47" i="3"/>
  <c r="T47" i="3" s="1"/>
  <c r="U47" i="3" s="1"/>
  <c r="R190" i="3"/>
  <c r="T190" i="3" s="1"/>
  <c r="U190" i="3" s="1"/>
  <c r="R10" i="3"/>
  <c r="T10" i="3" s="1"/>
  <c r="U10" i="3" s="1"/>
  <c r="R323" i="3"/>
  <c r="T323" i="3" s="1"/>
  <c r="U323" i="3" s="1"/>
  <c r="R287" i="3"/>
  <c r="T287" i="3" s="1"/>
  <c r="U287" i="3" s="1"/>
  <c r="R598" i="3"/>
  <c r="T598" i="3" s="1"/>
  <c r="U598" i="3" s="1"/>
  <c r="R543" i="3"/>
  <c r="T543" i="3" s="1"/>
  <c r="U543" i="3" s="1"/>
  <c r="R235" i="3"/>
  <c r="T235" i="3" s="1"/>
  <c r="U235" i="3" s="1"/>
  <c r="R39" i="3"/>
  <c r="T39" i="3" s="1"/>
  <c r="U39" i="3" s="1"/>
  <c r="R236" i="3"/>
  <c r="T236" i="3" s="1"/>
  <c r="U236" i="3" s="1"/>
  <c r="R394" i="3"/>
  <c r="T394" i="3" s="1"/>
  <c r="U394" i="3" s="1"/>
  <c r="R175" i="3"/>
  <c r="T175" i="3" s="1"/>
  <c r="U175" i="3" s="1"/>
  <c r="R186" i="3"/>
  <c r="T186" i="3" s="1"/>
  <c r="U186" i="3" s="1"/>
  <c r="R618" i="3"/>
  <c r="T618" i="3" s="1"/>
  <c r="U618" i="3" s="1"/>
  <c r="R273" i="3"/>
  <c r="T273" i="3" s="1"/>
  <c r="U273" i="3" s="1"/>
  <c r="R435" i="3"/>
  <c r="T435" i="3" s="1"/>
  <c r="U435" i="3" s="1"/>
  <c r="R340" i="3"/>
  <c r="T340" i="3" s="1"/>
  <c r="U340" i="3" s="1"/>
  <c r="R408" i="3"/>
  <c r="T408" i="3" s="1"/>
  <c r="U408" i="3" s="1"/>
  <c r="R83" i="3"/>
  <c r="T83" i="3" s="1"/>
  <c r="U83" i="3" s="1"/>
  <c r="R124" i="3"/>
  <c r="T124" i="3" s="1"/>
  <c r="U124" i="3" s="1"/>
  <c r="R469" i="3"/>
  <c r="T469" i="3" s="1"/>
  <c r="U469" i="3" s="1"/>
  <c r="R486" i="3"/>
  <c r="T486" i="3" s="1"/>
  <c r="U486" i="3" s="1"/>
  <c r="R378" i="3"/>
  <c r="T378" i="3" s="1"/>
  <c r="U378" i="3" s="1"/>
  <c r="R173" i="3"/>
  <c r="T173" i="3" s="1"/>
  <c r="U173" i="3" s="1"/>
  <c r="R484" i="3"/>
  <c r="T484" i="3" s="1"/>
  <c r="U484" i="3" s="1"/>
  <c r="R233" i="3"/>
  <c r="T233" i="3" s="1"/>
  <c r="U233" i="3" s="1"/>
  <c r="R363" i="3"/>
  <c r="T363" i="3" s="1"/>
  <c r="U363" i="3" s="1"/>
  <c r="R530" i="3"/>
  <c r="T530" i="3" s="1"/>
  <c r="U530" i="3" s="1"/>
  <c r="R308" i="3"/>
  <c r="T308" i="3" s="1"/>
  <c r="U308" i="3" s="1"/>
  <c r="R603" i="3"/>
  <c r="T603" i="3" s="1"/>
  <c r="U603" i="3" s="1"/>
  <c r="R407" i="3"/>
  <c r="T407" i="3" s="1"/>
  <c r="U407" i="3" s="1"/>
  <c r="R171" i="3"/>
  <c r="T171" i="3" s="1"/>
  <c r="U171" i="3" s="1"/>
  <c r="R64" i="3"/>
  <c r="T64" i="3" s="1"/>
  <c r="U64" i="3" s="1"/>
  <c r="R209" i="3"/>
  <c r="T209" i="3" s="1"/>
  <c r="U209" i="3" s="1"/>
  <c r="R631" i="3"/>
  <c r="T631" i="3" s="1"/>
  <c r="U631" i="3" s="1"/>
  <c r="R146" i="3"/>
  <c r="T146" i="3" s="1"/>
  <c r="U146" i="3" s="1"/>
  <c r="R562" i="3"/>
  <c r="T562" i="3" s="1"/>
  <c r="U562" i="3" s="1"/>
  <c r="R623" i="3"/>
  <c r="T623" i="3" s="1"/>
  <c r="U623" i="3" s="1"/>
  <c r="R595" i="3"/>
  <c r="T595" i="3" s="1"/>
  <c r="U595" i="3" s="1"/>
  <c r="R24" i="3"/>
  <c r="T24" i="3" s="1"/>
  <c r="U24" i="3" s="1"/>
  <c r="R434" i="3"/>
  <c r="T434" i="3" s="1"/>
  <c r="U434" i="3" s="1"/>
  <c r="R82" i="3"/>
  <c r="T82" i="3" s="1"/>
  <c r="U82" i="3" s="1"/>
  <c r="R391" i="3"/>
  <c r="T391" i="3" s="1"/>
  <c r="U391" i="3" s="1"/>
  <c r="R228" i="3"/>
  <c r="T228" i="3" s="1"/>
  <c r="U228" i="3" s="1"/>
  <c r="R358" i="3"/>
  <c r="T358" i="3" s="1"/>
  <c r="U358" i="3" s="1"/>
  <c r="R111" i="3"/>
  <c r="T111" i="3" s="1"/>
  <c r="U111" i="3" s="1"/>
  <c r="R591" i="3"/>
  <c r="T591" i="3" s="1"/>
  <c r="U591" i="3" s="1"/>
  <c r="R73" i="3"/>
  <c r="T73" i="3" s="1"/>
  <c r="U73" i="3" s="1"/>
  <c r="R607" i="3"/>
  <c r="T607" i="3" s="1"/>
  <c r="U607" i="3" s="1"/>
  <c r="R346" i="3"/>
  <c r="T346" i="3" s="1"/>
  <c r="U346" i="3" s="1"/>
  <c r="R443" i="3"/>
  <c r="T443" i="3" s="1"/>
  <c r="U443" i="3" s="1"/>
  <c r="R307" i="3"/>
  <c r="T307" i="3" s="1"/>
  <c r="U307" i="3" s="1"/>
  <c r="R475" i="3"/>
  <c r="T475" i="3" s="1"/>
  <c r="U475" i="3" s="1"/>
  <c r="R349" i="3"/>
  <c r="T349" i="3" s="1"/>
  <c r="U349" i="3" s="1"/>
  <c r="R600" i="3"/>
  <c r="T600" i="3" s="1"/>
  <c r="U600" i="3" s="1"/>
  <c r="R554" i="3"/>
  <c r="T554" i="3" s="1"/>
  <c r="U554" i="3" s="1"/>
  <c r="R332" i="3"/>
  <c r="T332" i="3" s="1"/>
  <c r="U332" i="3" s="1"/>
  <c r="R541" i="3"/>
  <c r="T541" i="3" s="1"/>
  <c r="U541" i="3" s="1"/>
  <c r="R520" i="3"/>
  <c r="T520" i="3" s="1"/>
  <c r="U520" i="3" s="1"/>
  <c r="R477" i="3"/>
  <c r="T477" i="3" s="1"/>
  <c r="U477" i="3" s="1"/>
  <c r="R506" i="3"/>
  <c r="T506" i="3" s="1"/>
  <c r="U506" i="3" s="1"/>
  <c r="R471" i="3"/>
  <c r="T471" i="3" s="1"/>
  <c r="U471" i="3" s="1"/>
  <c r="R524" i="3"/>
  <c r="T524" i="3" s="1"/>
  <c r="U524" i="3" s="1"/>
  <c r="R127" i="3"/>
  <c r="T127" i="3" s="1"/>
  <c r="U127" i="3" s="1"/>
  <c r="R26" i="3"/>
  <c r="T26" i="3" s="1"/>
  <c r="U26" i="3" s="1"/>
  <c r="R116" i="3"/>
  <c r="T116" i="3" s="1"/>
  <c r="U116" i="3" s="1"/>
  <c r="R581" i="3"/>
  <c r="T581" i="3" s="1"/>
  <c r="U581" i="3" s="1"/>
  <c r="R256" i="3"/>
  <c r="T256" i="3" s="1"/>
  <c r="U256" i="3" s="1"/>
  <c r="R28" i="3"/>
  <c r="T28" i="3" s="1"/>
  <c r="U28" i="3" s="1"/>
  <c r="R514" i="3"/>
  <c r="T514" i="3" s="1"/>
  <c r="U514" i="3" s="1"/>
  <c r="R613" i="3"/>
  <c r="T613" i="3" s="1"/>
  <c r="U613" i="3" s="1"/>
  <c r="R422" i="3"/>
  <c r="T422" i="3" s="1"/>
  <c r="U422" i="3" s="1"/>
  <c r="R271" i="3"/>
  <c r="T271" i="3" s="1"/>
  <c r="U271" i="3" s="1"/>
  <c r="R139" i="3"/>
  <c r="T139" i="3" s="1"/>
  <c r="U139" i="3" s="1"/>
  <c r="R525" i="3"/>
  <c r="T525" i="3" s="1"/>
  <c r="U525" i="3" s="1"/>
  <c r="R485" i="3"/>
  <c r="T485" i="3" s="1"/>
  <c r="U485" i="3" s="1"/>
  <c r="R381" i="3"/>
  <c r="T381" i="3" s="1"/>
  <c r="U381" i="3" s="1"/>
  <c r="R92" i="3"/>
  <c r="T92" i="3" s="1"/>
  <c r="U92" i="3" s="1"/>
  <c r="R280" i="3"/>
  <c r="T280" i="3" s="1"/>
  <c r="U280" i="3" s="1"/>
  <c r="R38" i="3"/>
  <c r="T38" i="3" s="1"/>
  <c r="U38" i="3" s="1"/>
  <c r="R517" i="3"/>
  <c r="T517" i="3" s="1"/>
  <c r="U517" i="3" s="1"/>
  <c r="R313" i="3"/>
  <c r="T313" i="3" s="1"/>
  <c r="U313" i="3" s="1"/>
  <c r="R611" i="3"/>
  <c r="T611" i="3" s="1"/>
  <c r="U611" i="3" s="1"/>
  <c r="R154" i="3"/>
  <c r="T154" i="3" s="1"/>
  <c r="U154" i="3" s="1"/>
  <c r="R295" i="3"/>
  <c r="T295" i="3" s="1"/>
  <c r="U295" i="3" s="1"/>
  <c r="R93" i="3"/>
  <c r="T93" i="3" s="1"/>
  <c r="U93" i="3" s="1"/>
  <c r="R216" i="3"/>
  <c r="T216" i="3" s="1"/>
  <c r="U216" i="3" s="1"/>
  <c r="R474" i="3"/>
  <c r="T474" i="3" s="1"/>
  <c r="U474" i="3" s="1"/>
  <c r="R604" i="3"/>
  <c r="T604" i="3" s="1"/>
  <c r="U604" i="3" s="1"/>
  <c r="R45" i="3"/>
  <c r="T45" i="3" s="1"/>
  <c r="U45" i="3" s="1"/>
  <c r="R184" i="3"/>
  <c r="T184" i="3" s="1"/>
  <c r="U184" i="3" s="1"/>
  <c r="R572" i="3"/>
  <c r="T572" i="3" s="1"/>
  <c r="U572" i="3" s="1"/>
  <c r="R563" i="3"/>
  <c r="T563" i="3" s="1"/>
  <c r="U563" i="3" s="1"/>
  <c r="R633" i="3"/>
  <c r="T633" i="3" s="1"/>
  <c r="U633" i="3" s="1"/>
  <c r="R240" i="3"/>
  <c r="T240" i="3" s="1"/>
  <c r="U240" i="3" s="1"/>
  <c r="R597" i="3"/>
  <c r="T597" i="3" s="1"/>
  <c r="U597" i="3" s="1"/>
  <c r="R461" i="3"/>
  <c r="T461" i="3" s="1"/>
  <c r="U461" i="3" s="1"/>
  <c r="R442" i="3"/>
  <c r="T442" i="3" s="1"/>
  <c r="U442" i="3" s="1"/>
  <c r="R231" i="3"/>
  <c r="T231" i="3" s="1"/>
  <c r="U231" i="3" s="1"/>
  <c r="R632" i="3"/>
  <c r="T632" i="3" s="1"/>
  <c r="U632" i="3" s="1"/>
  <c r="R238" i="3"/>
  <c r="T238" i="3" s="1"/>
  <c r="U238" i="3" s="1"/>
  <c r="R395" i="3"/>
  <c r="T395" i="3" s="1"/>
  <c r="U395" i="3" s="1"/>
  <c r="R510" i="3"/>
  <c r="T510" i="3" s="1"/>
  <c r="U510" i="3" s="1"/>
  <c r="R468" i="3"/>
  <c r="T468" i="3" s="1"/>
  <c r="U468" i="3" s="1"/>
  <c r="R494" i="3"/>
  <c r="T494" i="3" s="1"/>
  <c r="U494" i="3" s="1"/>
  <c r="R6" i="3"/>
  <c r="T6" i="3" s="1"/>
  <c r="U6" i="3" s="1"/>
  <c r="R218" i="3"/>
  <c r="T218" i="3" s="1"/>
  <c r="U218" i="3" s="1"/>
  <c r="R49" i="3"/>
  <c r="T49" i="3" s="1"/>
  <c r="U49" i="3" s="1"/>
  <c r="R220" i="3"/>
  <c r="T220" i="3" s="1"/>
  <c r="U220" i="3" s="1"/>
  <c r="R619" i="3"/>
  <c r="T619" i="3" s="1"/>
  <c r="U619" i="3" s="1"/>
  <c r="R318" i="3"/>
  <c r="T318" i="3" s="1"/>
  <c r="U318" i="3" s="1"/>
  <c r="R508" i="3"/>
  <c r="T508" i="3" s="1"/>
  <c r="U508" i="3" s="1"/>
  <c r="R134" i="3"/>
  <c r="T134" i="3" s="1"/>
  <c r="U134" i="3" s="1"/>
  <c r="R274" i="3"/>
  <c r="T274" i="3" s="1"/>
  <c r="U274" i="3" s="1"/>
  <c r="R51" i="3"/>
  <c r="T51" i="3" s="1"/>
  <c r="U51" i="3" s="1"/>
  <c r="R269" i="3"/>
  <c r="T269" i="3" s="1"/>
  <c r="U269" i="3" s="1"/>
  <c r="R55" i="3"/>
  <c r="T55" i="3" s="1"/>
  <c r="U55" i="3" s="1"/>
  <c r="R66" i="3"/>
  <c r="T66" i="3" s="1"/>
  <c r="U66" i="3" s="1"/>
  <c r="R405" i="3"/>
  <c r="T405" i="3" s="1"/>
  <c r="U405" i="3" s="1"/>
  <c r="R578" i="3"/>
  <c r="T578" i="3" s="1"/>
  <c r="U578" i="3" s="1"/>
  <c r="R347" i="3"/>
  <c r="T347" i="3" s="1"/>
  <c r="U347" i="3" s="1"/>
  <c r="R418" i="3"/>
  <c r="T418" i="3" s="1"/>
  <c r="U418" i="3" s="1"/>
  <c r="R250" i="3"/>
  <c r="T250" i="3" s="1"/>
  <c r="U250" i="3" s="1"/>
  <c r="R259" i="3"/>
  <c r="T259" i="3" s="1"/>
  <c r="U259" i="3" s="1"/>
  <c r="R128" i="3"/>
  <c r="T128" i="3" s="1"/>
  <c r="U128" i="3" s="1"/>
  <c r="R37" i="3"/>
  <c r="T37" i="3" s="1"/>
  <c r="U37" i="3" s="1"/>
  <c r="R297" i="3"/>
  <c r="T297" i="3" s="1"/>
  <c r="U297" i="3" s="1"/>
  <c r="R310" i="3"/>
  <c r="T310" i="3" s="1"/>
  <c r="U310" i="3" s="1"/>
  <c r="R355" i="3"/>
  <c r="T355" i="3" s="1"/>
  <c r="U355" i="3" s="1"/>
  <c r="R480" i="3"/>
  <c r="T480" i="3" s="1"/>
  <c r="U480" i="3" s="1"/>
  <c r="R396" i="3"/>
  <c r="T396" i="3" s="1"/>
  <c r="U396" i="3" s="1"/>
  <c r="R374" i="3"/>
  <c r="T374" i="3" s="1"/>
  <c r="U374" i="3" s="1"/>
  <c r="R104" i="3"/>
  <c r="T104" i="3" s="1"/>
  <c r="U104" i="3" s="1"/>
  <c r="R343" i="3"/>
  <c r="T343" i="3" s="1"/>
  <c r="U343" i="3" s="1"/>
  <c r="R333" i="3"/>
  <c r="T333" i="3" s="1"/>
  <c r="U333" i="3" s="1"/>
  <c r="R221" i="3"/>
  <c r="T221" i="3" s="1"/>
  <c r="U221" i="3" s="1"/>
  <c r="R142" i="3"/>
  <c r="T142" i="3" s="1"/>
  <c r="U142" i="3" s="1"/>
  <c r="R224" i="3"/>
  <c r="T224" i="3" s="1"/>
  <c r="U224" i="3" s="1"/>
  <c r="R614" i="3"/>
  <c r="T614" i="3" s="1"/>
  <c r="U614" i="3" s="1"/>
  <c r="R23" i="3"/>
  <c r="T23" i="3" s="1"/>
  <c r="U23" i="3" s="1"/>
  <c r="R533" i="3"/>
  <c r="T533" i="3" s="1"/>
  <c r="U533" i="3" s="1"/>
  <c r="R60" i="3"/>
  <c r="T60" i="3" s="1"/>
  <c r="U60" i="3" s="1"/>
  <c r="R230" i="3"/>
  <c r="T230" i="3" s="1"/>
  <c r="U230" i="3" s="1"/>
  <c r="R587" i="3"/>
  <c r="T587" i="3" s="1"/>
  <c r="U587" i="3" s="1"/>
  <c r="R503" i="3"/>
  <c r="T503" i="3" s="1"/>
  <c r="U503" i="3" s="1"/>
  <c r="R321" i="3"/>
  <c r="T321" i="3" s="1"/>
  <c r="U321" i="3" s="1"/>
  <c r="R570" i="3"/>
  <c r="T570" i="3" s="1"/>
  <c r="U570" i="3" s="1"/>
  <c r="R115" i="3"/>
  <c r="T115" i="3" s="1"/>
  <c r="U115" i="3" s="1"/>
  <c r="R140" i="3"/>
  <c r="T140" i="3" s="1"/>
  <c r="U140" i="3" s="1"/>
  <c r="R285" i="3"/>
  <c r="T285" i="3" s="1"/>
  <c r="U285" i="3" s="1"/>
  <c r="R406" i="3"/>
  <c r="T406" i="3" s="1"/>
  <c r="U406" i="3" s="1"/>
  <c r="R353" i="3"/>
  <c r="T353" i="3" s="1"/>
  <c r="U353" i="3" s="1"/>
  <c r="R33" i="3"/>
  <c r="T33" i="3" s="1"/>
  <c r="U33" i="3" s="1"/>
  <c r="R95" i="3"/>
  <c r="T95" i="3" s="1"/>
  <c r="U95" i="3" s="1"/>
  <c r="R7" i="3"/>
  <c r="T7" i="3" s="1"/>
  <c r="U7" i="3" s="1"/>
  <c r="R110" i="3"/>
  <c r="T110" i="3" s="1"/>
  <c r="U110" i="3" s="1"/>
  <c r="R217" i="3"/>
  <c r="T217" i="3" s="1"/>
  <c r="U217" i="3" s="1"/>
  <c r="R454" i="3"/>
  <c r="T454" i="3" s="1"/>
  <c r="U454" i="3" s="1"/>
  <c r="R576" i="3"/>
  <c r="T576" i="3" s="1"/>
  <c r="U576" i="3" s="1"/>
  <c r="R483" i="3"/>
  <c r="T483" i="3" s="1"/>
  <c r="U483" i="3" s="1"/>
  <c r="R365" i="3"/>
  <c r="T365" i="3" s="1"/>
  <c r="U365" i="3" s="1"/>
  <c r="R368" i="3"/>
  <c r="T368" i="3" s="1"/>
  <c r="U368" i="3" s="1"/>
  <c r="R304" i="3"/>
  <c r="T304" i="3" s="1"/>
  <c r="U304" i="3" s="1"/>
  <c r="R243" i="3"/>
  <c r="T243" i="3" s="1"/>
  <c r="U243" i="3" s="1"/>
  <c r="R467" i="3"/>
  <c r="T467" i="3" s="1"/>
  <c r="U467" i="3" s="1"/>
  <c r="R420" i="3"/>
  <c r="T420" i="3" s="1"/>
  <c r="U420" i="3" s="1"/>
  <c r="R380" i="3"/>
  <c r="T380" i="3" s="1"/>
  <c r="U380" i="3" s="1"/>
  <c r="R448" i="3"/>
  <c r="T448" i="3" s="1"/>
  <c r="U448" i="3" s="1"/>
  <c r="R306" i="3"/>
  <c r="T306" i="3" s="1"/>
  <c r="U306" i="3" s="1"/>
  <c r="R336" i="3"/>
  <c r="T336" i="3" s="1"/>
  <c r="U336" i="3" s="1"/>
  <c r="R402" i="3"/>
  <c r="T402" i="3" s="1"/>
  <c r="U402" i="3" s="1"/>
  <c r="R201" i="3"/>
  <c r="T201" i="3" s="1"/>
  <c r="U201" i="3" s="1"/>
  <c r="R25" i="3"/>
  <c r="T25" i="3" s="1"/>
  <c r="U25" i="3" s="1"/>
  <c r="R516" i="3"/>
  <c r="T516" i="3" s="1"/>
  <c r="U516" i="3" s="1"/>
  <c r="R241" i="3"/>
  <c r="T241" i="3" s="1"/>
  <c r="U241" i="3" s="1"/>
  <c r="R605" i="3"/>
  <c r="T605" i="3" s="1"/>
  <c r="U605" i="3" s="1"/>
  <c r="R488" i="3"/>
  <c r="T488" i="3" s="1"/>
  <c r="U488" i="3" s="1"/>
  <c r="R592" i="3"/>
  <c r="T592" i="3" s="1"/>
  <c r="U592" i="3" s="1"/>
  <c r="R384" i="3"/>
  <c r="T384" i="3" s="1"/>
  <c r="U384" i="3" s="1"/>
  <c r="R132" i="3"/>
  <c r="T132" i="3" s="1"/>
  <c r="U132" i="3" s="1"/>
  <c r="R324" i="3"/>
  <c r="T324" i="3" s="1"/>
  <c r="U324" i="3" s="1"/>
  <c r="R177" i="3"/>
  <c r="T177" i="3" s="1"/>
  <c r="U177" i="3" s="1"/>
  <c r="R509" i="3"/>
  <c r="T509" i="3" s="1"/>
  <c r="U509" i="3" s="1"/>
  <c r="R362" i="3"/>
  <c r="T362" i="3" s="1"/>
  <c r="U362" i="3" s="1"/>
  <c r="R71" i="3"/>
  <c r="T71" i="3" s="1"/>
  <c r="U71" i="3" s="1"/>
  <c r="R98" i="3"/>
  <c r="T98" i="3" s="1"/>
  <c r="U98" i="3" s="1"/>
  <c r="R351" i="3"/>
  <c r="T351" i="3" s="1"/>
  <c r="U351" i="3" s="1"/>
  <c r="R458" i="3"/>
  <c r="T458" i="3" s="1"/>
  <c r="U458" i="3" s="1"/>
  <c r="R472" i="3"/>
  <c r="T472" i="3" s="1"/>
  <c r="U472" i="3" s="1"/>
  <c r="R136" i="3"/>
  <c r="T136" i="3" s="1"/>
  <c r="U136" i="3" s="1"/>
  <c r="R401" i="3"/>
  <c r="T401" i="3" s="1"/>
  <c r="U401" i="3" s="1"/>
  <c r="R152" i="3"/>
  <c r="T152" i="3" s="1"/>
  <c r="U152" i="3" s="1"/>
  <c r="R549" i="3"/>
  <c r="T549" i="3" s="1"/>
  <c r="U549" i="3" s="1"/>
  <c r="R126" i="3"/>
  <c r="T126" i="3" s="1"/>
  <c r="U126" i="3" s="1"/>
  <c r="R502" i="3"/>
  <c r="T502" i="3" s="1"/>
  <c r="U502" i="3" s="1"/>
  <c r="R88" i="3"/>
  <c r="T88" i="3" s="1"/>
  <c r="U88" i="3" s="1"/>
  <c r="R286" i="3"/>
  <c r="T286" i="3" s="1"/>
  <c r="U286" i="3" s="1"/>
  <c r="R532" i="3"/>
  <c r="T532" i="3" s="1"/>
  <c r="U532" i="3" s="1"/>
  <c r="R174" i="3"/>
  <c r="T174" i="3" s="1"/>
  <c r="U174" i="3" s="1"/>
  <c r="R370" i="3"/>
  <c r="T370" i="3" s="1"/>
  <c r="U370" i="3" s="1"/>
  <c r="R91" i="3"/>
  <c r="T91" i="3" s="1"/>
  <c r="U91" i="3" s="1"/>
  <c r="R548" i="3"/>
  <c r="T548" i="3" s="1"/>
  <c r="U548" i="3" s="1"/>
  <c r="R315" i="3"/>
  <c r="T315" i="3" s="1"/>
  <c r="U315" i="3" s="1"/>
  <c r="R130" i="3"/>
  <c r="T130" i="3" s="1"/>
  <c r="U130" i="3" s="1"/>
  <c r="R291" i="3"/>
  <c r="T291" i="3" s="1"/>
  <c r="U291" i="3" s="1"/>
  <c r="R229" i="3"/>
  <c r="T229" i="3" s="1"/>
  <c r="U229" i="3" s="1"/>
  <c r="R371" i="3"/>
  <c r="T371" i="3" s="1"/>
  <c r="U371" i="3" s="1"/>
  <c r="R463" i="3"/>
  <c r="T463" i="3" s="1"/>
  <c r="U463" i="3" s="1"/>
  <c r="R90" i="3"/>
  <c r="T90" i="3" s="1"/>
  <c r="U90" i="3" s="1"/>
  <c r="R197" i="3"/>
  <c r="T197" i="3" s="1"/>
  <c r="U197" i="3" s="1"/>
  <c r="R584" i="3"/>
  <c r="T584" i="3" s="1"/>
  <c r="U584" i="3" s="1"/>
  <c r="R84" i="3"/>
  <c r="T84" i="3" s="1"/>
  <c r="U84" i="3" s="1"/>
  <c r="R577" i="3"/>
  <c r="T577" i="3" s="1"/>
  <c r="U577" i="3" s="1"/>
  <c r="R560" i="3"/>
  <c r="T560" i="3" s="1"/>
  <c r="U560" i="3" s="1"/>
  <c r="R457" i="3"/>
  <c r="T457" i="3" s="1"/>
  <c r="U457" i="3" s="1"/>
  <c r="R534" i="3"/>
  <c r="T534" i="3" s="1"/>
  <c r="U534" i="3" s="1"/>
  <c r="R239" i="3"/>
  <c r="T239" i="3" s="1"/>
  <c r="U239" i="3" s="1"/>
  <c r="R489" i="3"/>
  <c r="T489" i="3" s="1"/>
  <c r="U489" i="3" s="1"/>
  <c r="R249" i="3"/>
  <c r="T249" i="3" s="1"/>
  <c r="U249" i="3" s="1"/>
  <c r="R320" i="3"/>
  <c r="T320" i="3" s="1"/>
  <c r="U320" i="3" s="1"/>
  <c r="R305" i="3"/>
  <c r="T305" i="3" s="1"/>
  <c r="U305" i="3" s="1"/>
  <c r="R553" i="3"/>
  <c r="T553" i="3" s="1"/>
  <c r="U553" i="3" s="1"/>
  <c r="R583" i="3"/>
  <c r="T583" i="3" s="1"/>
  <c r="U583" i="3" s="1"/>
  <c r="R284" i="3"/>
  <c r="T284" i="3" s="1"/>
  <c r="U284" i="3" s="1"/>
  <c r="R392" i="3"/>
  <c r="T392" i="3" s="1"/>
  <c r="U392" i="3" s="1"/>
  <c r="R441" i="3"/>
  <c r="T441" i="3" s="1"/>
  <c r="U441" i="3" s="1"/>
  <c r="R183" i="3"/>
  <c r="T183" i="3" s="1"/>
  <c r="U183" i="3" s="1"/>
  <c r="R341" i="3"/>
  <c r="T341" i="3" s="1"/>
  <c r="U341" i="3" s="1"/>
  <c r="R159" i="3"/>
  <c r="T159" i="3" s="1"/>
  <c r="U159" i="3" s="1"/>
  <c r="R417" i="3"/>
  <c r="T417" i="3" s="1"/>
  <c r="U417" i="3" s="1"/>
  <c r="R617" i="3"/>
  <c r="T617" i="3" s="1"/>
  <c r="U617" i="3" s="1"/>
  <c r="R512" i="3"/>
  <c r="T512" i="3" s="1"/>
  <c r="U512" i="3" s="1"/>
  <c r="R439" i="3"/>
  <c r="T439" i="3" s="1"/>
  <c r="U439" i="3" s="1"/>
  <c r="R539" i="3"/>
  <c r="T539" i="3" s="1"/>
  <c r="U539" i="3" s="1"/>
  <c r="R222" i="3"/>
  <c r="T222" i="3" s="1"/>
  <c r="U222" i="3" s="1"/>
  <c r="R436" i="3"/>
  <c r="T436" i="3" s="1"/>
  <c r="U436" i="3" s="1"/>
  <c r="R166" i="3"/>
  <c r="T166" i="3" s="1"/>
  <c r="U166" i="3" s="1"/>
  <c r="R501" i="3"/>
  <c r="T501" i="3" s="1"/>
  <c r="U501" i="3" s="1"/>
  <c r="R52" i="3"/>
  <c r="T52" i="3" s="1"/>
  <c r="U52" i="3" s="1"/>
  <c r="R278" i="3"/>
  <c r="T278" i="3" s="1"/>
  <c r="U278" i="3" s="1"/>
  <c r="R161" i="3"/>
  <c r="T161" i="3" s="1"/>
  <c r="U161" i="3" s="1"/>
  <c r="R199" i="3"/>
  <c r="T199" i="3" s="1"/>
  <c r="U199" i="3" s="1"/>
  <c r="R97" i="3"/>
  <c r="T97" i="3" s="1"/>
  <c r="U97" i="3" s="1"/>
  <c r="R447" i="3"/>
  <c r="T447" i="3" s="1"/>
  <c r="U447" i="3" s="1"/>
  <c r="R569" i="3"/>
  <c r="T569" i="3" s="1"/>
  <c r="U569" i="3" s="1"/>
  <c r="R148" i="3"/>
  <c r="T148" i="3" s="1"/>
  <c r="U148" i="3" s="1"/>
  <c r="R265" i="3"/>
  <c r="T265" i="3" s="1"/>
  <c r="U265" i="3" s="1"/>
  <c r="R67" i="3"/>
  <c r="T67" i="3" s="1"/>
  <c r="U67" i="3" s="1"/>
  <c r="R69" i="3"/>
  <c r="T69" i="3" s="1"/>
  <c r="U69" i="3" s="1"/>
  <c r="R329" i="3"/>
  <c r="T329" i="3" s="1"/>
  <c r="U329" i="3" s="1"/>
  <c r="R594" i="3"/>
  <c r="T594" i="3" s="1"/>
  <c r="U594" i="3" s="1"/>
  <c r="R602" i="3"/>
  <c r="T602" i="3" s="1"/>
  <c r="U602" i="3" s="1"/>
  <c r="R399" i="3"/>
  <c r="T399" i="3" s="1"/>
  <c r="U399" i="3" s="1"/>
  <c r="R178" i="3"/>
  <c r="T178" i="3" s="1"/>
  <c r="U178" i="3" s="1"/>
  <c r="R390" i="3"/>
  <c r="T390" i="3" s="1"/>
  <c r="U390" i="3" s="1"/>
  <c r="R219" i="3"/>
  <c r="T219" i="3" s="1"/>
  <c r="U219" i="3" s="1"/>
  <c r="R290" i="3"/>
  <c r="T290" i="3" s="1"/>
  <c r="U290" i="3" s="1"/>
  <c r="R465" i="3"/>
  <c r="T465" i="3" s="1"/>
  <c r="U465" i="3" s="1"/>
  <c r="R459" i="3"/>
  <c r="T459" i="3" s="1"/>
  <c r="U459" i="3" s="1"/>
  <c r="R372" i="3"/>
  <c r="T372" i="3" s="1"/>
  <c r="U372" i="3" s="1"/>
  <c r="R36" i="3"/>
  <c r="T36" i="3" s="1"/>
  <c r="U36" i="3" s="1"/>
  <c r="R338" i="3"/>
  <c r="T338" i="3" s="1"/>
  <c r="U338" i="3" s="1"/>
  <c r="R198" i="3"/>
  <c r="T198" i="3" s="1"/>
  <c r="U198" i="3" s="1"/>
  <c r="R625" i="3"/>
  <c r="T625" i="3" s="1"/>
  <c r="U625" i="3" s="1"/>
  <c r="R202" i="3"/>
  <c r="T202" i="3" s="1"/>
  <c r="U202" i="3" s="1"/>
  <c r="R244" i="3"/>
  <c r="T244" i="3" s="1"/>
  <c r="U244" i="3" s="1"/>
  <c r="R555" i="3"/>
  <c r="T555" i="3" s="1"/>
  <c r="U555" i="3" s="1"/>
  <c r="R455" i="3"/>
  <c r="T455" i="3" s="1"/>
  <c r="U455" i="3" s="1"/>
  <c r="R103" i="3"/>
  <c r="T103" i="3" s="1"/>
  <c r="U103" i="3" s="1"/>
  <c r="R247" i="3"/>
  <c r="T247" i="3" s="1"/>
  <c r="U247" i="3" s="1"/>
  <c r="R398" i="3"/>
  <c r="T398" i="3" s="1"/>
  <c r="U398" i="3" s="1"/>
  <c r="R102" i="3"/>
  <c r="T102" i="3" s="1"/>
  <c r="U102" i="3" s="1"/>
  <c r="R588" i="3"/>
  <c r="T588" i="3" s="1"/>
  <c r="U588" i="3" s="1"/>
  <c r="R32" i="3"/>
  <c r="T32" i="3" s="1"/>
  <c r="U32" i="3" s="1"/>
  <c r="R440" i="3"/>
  <c r="T440" i="3" s="1"/>
  <c r="U440" i="3" s="1"/>
  <c r="R500" i="3"/>
  <c r="T500" i="3" s="1"/>
  <c r="U500" i="3" s="1"/>
  <c r="R322" i="3"/>
  <c r="T322" i="3" s="1"/>
  <c r="U322" i="3" s="1"/>
  <c r="R255" i="3"/>
  <c r="T255" i="3" s="1"/>
  <c r="U255" i="3" s="1"/>
  <c r="R207" i="3"/>
  <c r="T207" i="3" s="1"/>
  <c r="U207" i="3" s="1"/>
  <c r="R482" i="3"/>
  <c r="T482" i="3" s="1"/>
  <c r="U482" i="3" s="1"/>
  <c r="Y64" i="3"/>
  <c r="Y112" i="3"/>
  <c r="Y538" i="3"/>
  <c r="Y2" i="3"/>
  <c r="Y240" i="3"/>
  <c r="Y213" i="3"/>
  <c r="Y486" i="3"/>
  <c r="Y494" i="3"/>
  <c r="Y91" i="3"/>
  <c r="Y264" i="3"/>
  <c r="Y587" i="3"/>
  <c r="Y625" i="3"/>
  <c r="Y569" i="3"/>
  <c r="Y612" i="3"/>
  <c r="Y312" i="3"/>
  <c r="Y559" i="3"/>
  <c r="Y86" i="3"/>
  <c r="Y362" i="3"/>
  <c r="Y211" i="3"/>
  <c r="Y487" i="3"/>
  <c r="Y124" i="3"/>
  <c r="Y541" i="3"/>
  <c r="Y339" i="3"/>
  <c r="Y500" i="3"/>
  <c r="Y24" i="3"/>
  <c r="Y367" i="3"/>
  <c r="Y391" i="3"/>
  <c r="Y512" i="3"/>
  <c r="Y457" i="3"/>
  <c r="Y446" i="3"/>
  <c r="Y189" i="3"/>
  <c r="Y355" i="3"/>
  <c r="Y196" i="3"/>
  <c r="Y218" i="3"/>
  <c r="Y383" i="3"/>
  <c r="Y145" i="3"/>
  <c r="Y94" i="3"/>
  <c r="Y232" i="3"/>
  <c r="Y413" i="3"/>
  <c r="Y116" i="3"/>
  <c r="Y616" i="3"/>
  <c r="Y357" i="3"/>
  <c r="Y351" i="3"/>
  <c r="Y328" i="3"/>
  <c r="Y308" i="3"/>
  <c r="Y257" i="3"/>
  <c r="Y46" i="3"/>
  <c r="Y177" i="3"/>
  <c r="Y473" i="3"/>
  <c r="Y566" i="3"/>
  <c r="Y450" i="3"/>
  <c r="Y321" i="3"/>
  <c r="Y567" i="3"/>
  <c r="Y254" i="3"/>
  <c r="Y277" i="3"/>
  <c r="Y354" i="3"/>
  <c r="Y371" i="3"/>
  <c r="Y377" i="3"/>
  <c r="Y75" i="3"/>
  <c r="Y149" i="3"/>
  <c r="Y409" i="3"/>
  <c r="Y560" i="3"/>
  <c r="Y272" i="3"/>
  <c r="Y403" i="3"/>
  <c r="Y597" i="3"/>
  <c r="Y428" i="3"/>
  <c r="Y115" i="3"/>
  <c r="Y366" i="3"/>
  <c r="Y102" i="3"/>
  <c r="Y461" i="3"/>
  <c r="Y389" i="3"/>
  <c r="Y429" i="3"/>
  <c r="Y613" i="3"/>
  <c r="Y499" i="3"/>
  <c r="Y25" i="3"/>
  <c r="Y57" i="3"/>
  <c r="Y448" i="3"/>
  <c r="Y61" i="3"/>
  <c r="Y443" i="3"/>
  <c r="Y433" i="3"/>
  <c r="Y580" i="3"/>
  <c r="Y363" i="3"/>
  <c r="Y334" i="3"/>
  <c r="Y552" i="3"/>
  <c r="Y54" i="3"/>
  <c r="Y96" i="3"/>
  <c r="Y513" i="3"/>
  <c r="Y626" i="3"/>
  <c r="Y488" i="3"/>
  <c r="Y451" i="3"/>
  <c r="Y175" i="3"/>
  <c r="Y459" i="3"/>
  <c r="Y154" i="3"/>
  <c r="Y490" i="3"/>
  <c r="Y509" i="3"/>
  <c r="Y97" i="3"/>
  <c r="Y427" i="3"/>
  <c r="Y373" i="3"/>
  <c r="Y157" i="3"/>
  <c r="Y537" i="3"/>
  <c r="Y12" i="3"/>
  <c r="Y320" i="3"/>
  <c r="Y78" i="3"/>
  <c r="Y460" i="3"/>
  <c r="Y290" i="3"/>
  <c r="Y72" i="3"/>
  <c r="Y484" i="3"/>
  <c r="Y599" i="3"/>
  <c r="Y138" i="3"/>
  <c r="Y452" i="3"/>
  <c r="Y44" i="3"/>
  <c r="Y437" i="3"/>
  <c r="Y572" i="3"/>
  <c r="Y516" i="3"/>
  <c r="Y260" i="3"/>
  <c r="Y358" i="3"/>
  <c r="Y216" i="3"/>
  <c r="Y563" i="3"/>
  <c r="Y51" i="3"/>
  <c r="Y253" i="3"/>
  <c r="Y338" i="3"/>
  <c r="Y93" i="3"/>
  <c r="Y165" i="3"/>
  <c r="Y207" i="3"/>
  <c r="Y121" i="3"/>
  <c r="Y402" i="3"/>
  <c r="Y65" i="3"/>
  <c r="Y199" i="3"/>
  <c r="Y343" i="3"/>
  <c r="Y375" i="3"/>
  <c r="Y455" i="3"/>
  <c r="Y629" i="3"/>
  <c r="Y133" i="3"/>
  <c r="Y194" i="3"/>
  <c r="Y158" i="3"/>
  <c r="Y359" i="3"/>
  <c r="Y621" i="3"/>
  <c r="Y62" i="3"/>
  <c r="Y38" i="3"/>
  <c r="Y425" i="3"/>
  <c r="Y385" i="3"/>
  <c r="Y400" i="3"/>
  <c r="Y573" i="3"/>
  <c r="Y532" i="3"/>
  <c r="Y100" i="3"/>
  <c r="Y176" i="3"/>
  <c r="Y374" i="3"/>
  <c r="Y87" i="3"/>
  <c r="Y575" i="3"/>
  <c r="Y493" i="3"/>
  <c r="Y95" i="3"/>
  <c r="Y314" i="3"/>
  <c r="Y596" i="3"/>
  <c r="Y420" i="3"/>
  <c r="Y536" i="3"/>
  <c r="Y352" i="3"/>
  <c r="Y110" i="3"/>
  <c r="Y299" i="3"/>
  <c r="Y84" i="3"/>
  <c r="Y229" i="3"/>
  <c r="Y633" i="3"/>
  <c r="Y205" i="3"/>
  <c r="Y128" i="3"/>
  <c r="Y289" i="3"/>
  <c r="Y99" i="3"/>
  <c r="Y442" i="3"/>
  <c r="Y303" i="3"/>
  <c r="Y212" i="3"/>
  <c r="Y191" i="3"/>
  <c r="Y530" i="3"/>
  <c r="Y27" i="3"/>
  <c r="Y284" i="3"/>
  <c r="Y477" i="3"/>
  <c r="Y309" i="3"/>
  <c r="Y410" i="3"/>
  <c r="Y344" i="3"/>
  <c r="Y576" i="3"/>
  <c r="Y602" i="3"/>
  <c r="Y174" i="3"/>
  <c r="Y187" i="3"/>
  <c r="Y167" i="3"/>
  <c r="Y368" i="3"/>
  <c r="Y464" i="3"/>
  <c r="Y182" i="3"/>
  <c r="Y162" i="3"/>
  <c r="Y394" i="3"/>
  <c r="Y412" i="3"/>
  <c r="Y381" i="3"/>
  <c r="Y337" i="3"/>
  <c r="Y426" i="3"/>
  <c r="Y581" i="3"/>
  <c r="Y619" i="3"/>
  <c r="Y11" i="3"/>
  <c r="Y143" i="3"/>
  <c r="Y140" i="3"/>
  <c r="Y198" i="3"/>
  <c r="Y74" i="3"/>
  <c r="Y615" i="3"/>
  <c r="Y241" i="3"/>
  <c r="Y79" i="3"/>
  <c r="Y70" i="3"/>
  <c r="Y527" i="3"/>
  <c r="Y80" i="3"/>
  <c r="Y137" i="3"/>
  <c r="Y531" i="3"/>
  <c r="Y186" i="3"/>
  <c r="Y296" i="3"/>
  <c r="Y345" i="3"/>
  <c r="Y471" i="3"/>
  <c r="Y85" i="3"/>
  <c r="Y233" i="3"/>
  <c r="Y103" i="3"/>
  <c r="Y406" i="3"/>
  <c r="Y356" i="3"/>
  <c r="Y287" i="3"/>
  <c r="Y5" i="3"/>
  <c r="Y265" i="3"/>
  <c r="Y118" i="3"/>
  <c r="Y348" i="3"/>
  <c r="Y101" i="3"/>
  <c r="Y55" i="3"/>
  <c r="Y522" i="3"/>
  <c r="Y31" i="3"/>
  <c r="Y47" i="3"/>
  <c r="Y173" i="3"/>
  <c r="Y514" i="3"/>
  <c r="Y313" i="3"/>
  <c r="Y36" i="3"/>
  <c r="Y152" i="3"/>
  <c r="Y365" i="3"/>
  <c r="Y436" i="3"/>
  <c r="Y554" i="3"/>
  <c r="Y556" i="3"/>
  <c r="Y542" i="3"/>
  <c r="Y132" i="3"/>
  <c r="Y526" i="3"/>
  <c r="Y628" i="3"/>
  <c r="Y346" i="3"/>
  <c r="Y519" i="3"/>
  <c r="Y329" i="3"/>
  <c r="Y67" i="3"/>
  <c r="Y419" i="3"/>
  <c r="Y77" i="3"/>
  <c r="Y610" i="3"/>
  <c r="Y341" i="3"/>
  <c r="Y98" i="3"/>
  <c r="Y547" i="3"/>
  <c r="Y540" i="3"/>
  <c r="Y250" i="3"/>
  <c r="Y258" i="3"/>
  <c r="Y273" i="3"/>
  <c r="Y274" i="3"/>
  <c r="Y585" i="3"/>
  <c r="Y379" i="3"/>
  <c r="Y306" i="3"/>
  <c r="Y533" i="3"/>
  <c r="Y440" i="3"/>
  <c r="Y404" i="3"/>
  <c r="Y620" i="3"/>
  <c r="Y269" i="3"/>
  <c r="Y476" i="3"/>
  <c r="Y20" i="3"/>
  <c r="Y193" i="3"/>
  <c r="Y228" i="3"/>
  <c r="Y302" i="3"/>
  <c r="Y590" i="3"/>
  <c r="Y370" i="3"/>
  <c r="Y327" i="3"/>
  <c r="Y588" i="3"/>
  <c r="Y222" i="3"/>
  <c r="Y126" i="3"/>
  <c r="Y108" i="3"/>
  <c r="Y203" i="3"/>
  <c r="Y66" i="3"/>
  <c r="Y141" i="3"/>
  <c r="Y30" i="3"/>
  <c r="Y35" i="3"/>
  <c r="Y248" i="3"/>
  <c r="Y571" i="3"/>
  <c r="Y458" i="3"/>
  <c r="Y178" i="3"/>
  <c r="Y340" i="3"/>
  <c r="Y564" i="3"/>
  <c r="Y323" i="3"/>
  <c r="Y106" i="3"/>
  <c r="Y153" i="3"/>
  <c r="Y395" i="3"/>
  <c r="Y163" i="3"/>
  <c r="Y114" i="3"/>
  <c r="Y295" i="3"/>
  <c r="Y582" i="3"/>
  <c r="Y283" i="3"/>
  <c r="Y593" i="3"/>
  <c r="Y19" i="3"/>
  <c r="Y146" i="3"/>
  <c r="Y331" i="3"/>
  <c r="Y123" i="3"/>
  <c r="Y594" i="3"/>
  <c r="Y169" i="3"/>
  <c r="Y525" i="3"/>
  <c r="Y280" i="3"/>
  <c r="Y226" i="3"/>
  <c r="Y495" i="3"/>
  <c r="Y376" i="3"/>
  <c r="Y524" i="3"/>
  <c r="Y234" i="3"/>
  <c r="Y52" i="3"/>
  <c r="Y204" i="3"/>
  <c r="Y492" i="3"/>
  <c r="Y595" i="3"/>
  <c r="Y88" i="3"/>
  <c r="Y59" i="3"/>
  <c r="Y185" i="3"/>
  <c r="Y632" i="3"/>
  <c r="Y144" i="3"/>
  <c r="Y249" i="3"/>
  <c r="Y161" i="3"/>
  <c r="Y13" i="3"/>
  <c r="Y491" i="3"/>
  <c r="Y498" i="3"/>
  <c r="Y605" i="3"/>
  <c r="Y478" i="3"/>
  <c r="Y17" i="3"/>
  <c r="Y113" i="3"/>
  <c r="Y631" i="3"/>
  <c r="Y591" i="3"/>
  <c r="Y68" i="3"/>
  <c r="Y150" i="3"/>
  <c r="Y236" i="3"/>
  <c r="Y496" i="3"/>
  <c r="Y252" i="3"/>
  <c r="Y510" i="3"/>
  <c r="Y148" i="3"/>
  <c r="Y298" i="3"/>
  <c r="Y472" i="3"/>
  <c r="Y398" i="3"/>
  <c r="Y511" i="3"/>
  <c r="Y251" i="3"/>
  <c r="Y408" i="3"/>
  <c r="Y21" i="3"/>
  <c r="Y508" i="3"/>
  <c r="Y611" i="3"/>
  <c r="Y37" i="3"/>
  <c r="Y548" i="3"/>
  <c r="Y574" i="3"/>
  <c r="Y266" i="3"/>
  <c r="Y56" i="3"/>
  <c r="Y384" i="3"/>
  <c r="Y393" i="3"/>
  <c r="Y456" i="3"/>
  <c r="Y480" i="3"/>
  <c r="Y470" i="3"/>
  <c r="Y485" i="3"/>
  <c r="Y159" i="3"/>
  <c r="Y286" i="3"/>
  <c r="Y396" i="3"/>
  <c r="Y237" i="3"/>
  <c r="Y342" i="3"/>
  <c r="Y584" i="3"/>
  <c r="Y481" i="3"/>
  <c r="Y142" i="3"/>
  <c r="Y545" i="3"/>
  <c r="Y4" i="3"/>
  <c r="Y259" i="3"/>
  <c r="Y164" i="3"/>
  <c r="Y318" i="3"/>
  <c r="Y43" i="3"/>
  <c r="Y18" i="3"/>
  <c r="Y147" i="3"/>
  <c r="Y414" i="3"/>
  <c r="Y364" i="3"/>
  <c r="Y453" i="3"/>
  <c r="Y332" i="3"/>
  <c r="Y333" i="3"/>
  <c r="Y310" i="3"/>
  <c r="Y275" i="3"/>
  <c r="Y217" i="3"/>
  <c r="Y215" i="3"/>
  <c r="Y482" i="3"/>
  <c r="Y311" i="3"/>
  <c r="Y378" i="3"/>
  <c r="Y463" i="3"/>
  <c r="Y336" i="3"/>
  <c r="Y586" i="3"/>
  <c r="Y125" i="3"/>
  <c r="Y172" i="3"/>
  <c r="Y454" i="3"/>
  <c r="Y225" i="3"/>
  <c r="Y168" i="3"/>
  <c r="Y570" i="3"/>
  <c r="Y214" i="3"/>
  <c r="Y183" i="3"/>
  <c r="Y238" i="3"/>
  <c r="Y497" i="3"/>
  <c r="Y201" i="3"/>
  <c r="Y244" i="3"/>
  <c r="Y335" i="3"/>
  <c r="Y171" i="3"/>
  <c r="Y83" i="3"/>
  <c r="Y627" i="3"/>
  <c r="Y568" i="3"/>
  <c r="Y219" i="3"/>
  <c r="Y405" i="3"/>
  <c r="Y81" i="3"/>
  <c r="Y14" i="3"/>
  <c r="Y369" i="3"/>
  <c r="Y592" i="3"/>
  <c r="Y624" i="3"/>
  <c r="Y8" i="3"/>
  <c r="Y604" i="3"/>
  <c r="Y33" i="3"/>
  <c r="Y246" i="3"/>
  <c r="Y130" i="3"/>
  <c r="Y407" i="3"/>
  <c r="Y416" i="3"/>
  <c r="Y105" i="3"/>
  <c r="Y208" i="3"/>
  <c r="Y435" i="3"/>
  <c r="Y550" i="3"/>
  <c r="Y210" i="3"/>
  <c r="Y349" i="3"/>
  <c r="Y224" i="3"/>
  <c r="Y475" i="3"/>
  <c r="Y60" i="3"/>
  <c r="Y10" i="3"/>
  <c r="Y22" i="3"/>
  <c r="Y539" i="3"/>
  <c r="Y535" i="3"/>
  <c r="Y578" i="3"/>
  <c r="Y129" i="3"/>
  <c r="Y623" i="3"/>
  <c r="Y82" i="3"/>
  <c r="Y235" i="3"/>
  <c r="Y465" i="3"/>
  <c r="Y119" i="3"/>
  <c r="Y474" i="3"/>
  <c r="Y517" i="3"/>
  <c r="Y430" i="3"/>
  <c r="Y135" i="3"/>
  <c r="Y418" i="3"/>
  <c r="Y40" i="3"/>
  <c r="Y292" i="3"/>
  <c r="Y388" i="3"/>
  <c r="Y565" i="3"/>
  <c r="Y415" i="3"/>
  <c r="Y549" i="3"/>
  <c r="Y386" i="3"/>
  <c r="Y382" i="3"/>
  <c r="Y276" i="3"/>
  <c r="Y16" i="3"/>
  <c r="Y34" i="3"/>
  <c r="Y63" i="3"/>
  <c r="Y268" i="3"/>
  <c r="Y23" i="3"/>
  <c r="Y502" i="3"/>
  <c r="Y360" i="3"/>
  <c r="Y617" i="3"/>
  <c r="Y92" i="3"/>
  <c r="Y521" i="3"/>
  <c r="Y200" i="3"/>
  <c r="Y136" i="3"/>
  <c r="Y279" i="3"/>
  <c r="Y180" i="3"/>
  <c r="Y411" i="3"/>
  <c r="Y49" i="3"/>
  <c r="Y445" i="3"/>
  <c r="Y120" i="3"/>
  <c r="Y300" i="3"/>
  <c r="Y630" i="3"/>
  <c r="Y69" i="3"/>
  <c r="Y551" i="3"/>
  <c r="Y399" i="3"/>
  <c r="Y518" i="3"/>
  <c r="Y179" i="3"/>
  <c r="Y122" i="3"/>
  <c r="Y267" i="3"/>
  <c r="Y188" i="3"/>
  <c r="Y291" i="3"/>
  <c r="Y181" i="3"/>
  <c r="Y601" i="3"/>
  <c r="Y505" i="3"/>
  <c r="Y589" i="3"/>
  <c r="Y431" i="3"/>
  <c r="Y444" i="3"/>
  <c r="Y326" i="3"/>
  <c r="Y466" i="3"/>
  <c r="Y48" i="3"/>
  <c r="Y319" i="3"/>
  <c r="Y503" i="3"/>
  <c r="Y256" i="3"/>
  <c r="Y184" i="3"/>
  <c r="Y423" i="3"/>
  <c r="Y523" i="3"/>
  <c r="Y3" i="3"/>
  <c r="Y622" i="3"/>
  <c r="Y263" i="3"/>
  <c r="Y469" i="3"/>
  <c r="Y111" i="3"/>
  <c r="Y543" i="3"/>
  <c r="Y316" i="3"/>
  <c r="Y288" i="3"/>
  <c r="Y562" i="3"/>
  <c r="Y618" i="3"/>
  <c r="Y606" i="3"/>
  <c r="Y29" i="3"/>
  <c r="Y281" i="3"/>
  <c r="Y520" i="3"/>
  <c r="Y58" i="3"/>
  <c r="Y322" i="3"/>
  <c r="Y467" i="3"/>
  <c r="Y534" i="3"/>
  <c r="Y441" i="3"/>
  <c r="Y73" i="3"/>
  <c r="Y449" i="3"/>
  <c r="Y501" i="3"/>
  <c r="Y239" i="3"/>
  <c r="Y285" i="3"/>
  <c r="Y504" i="3"/>
  <c r="Y387" i="3"/>
  <c r="Y255" i="3"/>
  <c r="Y278" i="3"/>
  <c r="Y195" i="3"/>
  <c r="Y90" i="3"/>
  <c r="Y330" i="3"/>
  <c r="Y421" i="3"/>
  <c r="Y603" i="3"/>
  <c r="Y347" i="3"/>
  <c r="Y301" i="3"/>
  <c r="Y156" i="3"/>
  <c r="Y53" i="3"/>
  <c r="Y107" i="3"/>
  <c r="Y553" i="3"/>
  <c r="Y529" i="3"/>
  <c r="Y515" i="3"/>
  <c r="Y297" i="3"/>
  <c r="Y546" i="3"/>
  <c r="Y151" i="3"/>
  <c r="Y270" i="3"/>
  <c r="Y607" i="3"/>
  <c r="Y243" i="3"/>
  <c r="Y397" i="3"/>
  <c r="Y608" i="3"/>
  <c r="Y247" i="3"/>
  <c r="Y489" i="3"/>
  <c r="Y139" i="3"/>
  <c r="Y245" i="3"/>
  <c r="Y361" i="3"/>
  <c r="Y26" i="3"/>
  <c r="Y561" i="3"/>
  <c r="Y579" i="3"/>
  <c r="Y190" i="3"/>
  <c r="Y166" i="3"/>
  <c r="Y230" i="3"/>
  <c r="Y424" i="3"/>
  <c r="Y271" i="3"/>
  <c r="Y350" i="3"/>
  <c r="Y39" i="3"/>
  <c r="Y41" i="3"/>
  <c r="Y117" i="3"/>
  <c r="Y294" i="3"/>
  <c r="Y231" i="3"/>
  <c r="Y544" i="3"/>
  <c r="Y438" i="3"/>
  <c r="Y614" i="3"/>
  <c r="Y221" i="3"/>
  <c r="Y506" i="3"/>
  <c r="Y558" i="3"/>
  <c r="Y577" i="3"/>
  <c r="Y557" i="3"/>
  <c r="Y317" i="3"/>
  <c r="Y600" i="3"/>
  <c r="Y223" i="3"/>
  <c r="Y401" i="3"/>
  <c r="Y134" i="3"/>
  <c r="Y528" i="3"/>
  <c r="Y42" i="3"/>
  <c r="Y261" i="3"/>
  <c r="Y483" i="3"/>
  <c r="Y462" i="3"/>
  <c r="Y422" i="3"/>
  <c r="Y439" i="3"/>
  <c r="Y609" i="3"/>
  <c r="Y293" i="3"/>
  <c r="Y131" i="3"/>
  <c r="Y583" i="3"/>
  <c r="Y315" i="3"/>
  <c r="Y479" i="3"/>
  <c r="Y160" i="3"/>
  <c r="Y50" i="3"/>
  <c r="Y192" i="3"/>
  <c r="Y7" i="3"/>
  <c r="Y307" i="3"/>
  <c r="Y155" i="3"/>
  <c r="Y227" i="3"/>
  <c r="Y6" i="3"/>
  <c r="Y202" i="3"/>
  <c r="Y15" i="3"/>
  <c r="Y170" i="3"/>
  <c r="Y209" i="3"/>
  <c r="Y262" i="3"/>
  <c r="Y372" i="3"/>
  <c r="Y206" i="3"/>
  <c r="Y432" i="3"/>
  <c r="Y468" i="3"/>
  <c r="Y197" i="3"/>
  <c r="Y353" i="3"/>
  <c r="Y104" i="3"/>
  <c r="Y380" i="3"/>
  <c r="Y89" i="3"/>
  <c r="Y507" i="3"/>
  <c r="Y242" i="3"/>
  <c r="Y9" i="3"/>
  <c r="Y28" i="3"/>
  <c r="Y304" i="3"/>
  <c r="Y598" i="3"/>
  <c r="Y76" i="3"/>
  <c r="Y447" i="3"/>
  <c r="Y127" i="3"/>
  <c r="Y32" i="3"/>
  <c r="Y417" i="3"/>
  <c r="Y220" i="3"/>
  <c r="Y282" i="3"/>
  <c r="Y45" i="3"/>
  <c r="Y390" i="3"/>
  <c r="Y434" i="3"/>
  <c r="Y555" i="3"/>
  <c r="Y324" i="3"/>
  <c r="Y305" i="3"/>
  <c r="Y325" i="3"/>
  <c r="Y71" i="3"/>
  <c r="Y392" i="3"/>
  <c r="Y109" i="3"/>
  <c r="U2" i="3" l="1"/>
  <c r="AG8" i="3"/>
  <c r="AG9" i="3"/>
  <c r="AM2" i="3"/>
  <c r="AG10" i="3" s="1"/>
  <c r="AG13" i="3" s="1"/>
  <c r="AG20" i="3"/>
  <c r="AG7" i="3"/>
  <c r="AG18" i="3" s="1"/>
  <c r="AG12" i="3" l="1"/>
  <c r="AG16" i="3"/>
</calcChain>
</file>

<file path=xl/sharedStrings.xml><?xml version="1.0" encoding="utf-8"?>
<sst xmlns="http://schemas.openxmlformats.org/spreadsheetml/2006/main" count="12468" uniqueCount="1525">
  <si>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</si>
  <si>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</si>
  <si>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</si>
  <si>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</si>
  <si>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</si>
  <si>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</si>
  <si>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</si>
  <si>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</si>
  <si>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</si>
  <si>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</si>
  <si>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</si>
  <si>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</si>
  <si>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</si>
  <si>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</si>
  <si>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</si>
  <si>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</si>
  <si>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</si>
  <si>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</si>
  <si>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</si>
  <si>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</si>
  <si>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</si>
  <si>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</si>
  <si>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</si>
  <si>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</si>
  <si>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</si>
  <si>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</si>
  <si>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</si>
  <si>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</si>
  <si>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</si>
  <si>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</si>
  <si>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</si>
  <si>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</si>
  <si>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</si>
  <si>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</si>
  <si>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</si>
  <si>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</si>
  <si>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</si>
  <si>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</si>
  <si>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</si>
  <si>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</si>
  <si>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</si>
  <si>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</si>
  <si>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</si>
  <si>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</si>
  <si>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</si>
  <si>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</si>
  <si>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</si>
  <si>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</si>
  <si>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</si>
  <si>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</si>
  <si>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</si>
  <si>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</si>
  <si>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</si>
  <si>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</si>
  <si>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</si>
  <si>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</si>
  <si>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</si>
  <si>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</si>
  <si>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</si>
  <si>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</si>
  <si>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</si>
  <si>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</si>
  <si>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</si>
  <si>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</si>
  <si>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</si>
  <si>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</si>
  <si>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</si>
  <si>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</si>
  <si>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</si>
  <si>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</si>
  <si>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</si>
  <si>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</si>
  <si>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</si>
  <si>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</si>
  <si>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</si>
  <si>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</si>
  <si>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</si>
  <si>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</si>
  <si>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</si>
  <si>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</si>
  <si>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</si>
  <si>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</si>
  <si>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</si>
  <si>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</si>
  <si>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</si>
  <si>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</si>
  <si>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</si>
  <si>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</si>
  <si>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</si>
  <si>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</si>
  <si>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</si>
  <si>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</si>
  <si>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</si>
  <si>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</si>
  <si>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</si>
  <si>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</si>
  <si>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</si>
  <si>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</si>
  <si>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</si>
  <si>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</si>
  <si>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</si>
  <si>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</si>
  <si>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</si>
  <si>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</si>
  <si>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</si>
  <si>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</si>
  <si>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</si>
  <si>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</si>
  <si>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</si>
  <si>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</si>
  <si>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</si>
  <si>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</si>
  <si>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</si>
  <si>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</si>
  <si>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</si>
  <si>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</si>
  <si>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</si>
  <si>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</si>
  <si>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</si>
  <si>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</si>
  <si>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</si>
  <si>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</si>
  <si>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</si>
  <si>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</si>
  <si>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</si>
  <si>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</si>
  <si>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</si>
  <si>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</si>
  <si>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</si>
  <si>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</si>
  <si>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</si>
  <si>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</si>
  <si>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</si>
  <si>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</si>
  <si>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</si>
  <si>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</si>
  <si>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</si>
  <si>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</si>
  <si>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</si>
  <si>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</si>
  <si>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</si>
  <si>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</si>
  <si>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</si>
  <si>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</si>
  <si>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</si>
  <si>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</si>
  <si>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</si>
  <si>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</si>
  <si>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</si>
  <si>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</si>
  <si>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</si>
  <si>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</si>
  <si>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</si>
  <si>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</si>
  <si>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</si>
  <si>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</si>
  <si>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</si>
  <si>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</si>
  <si>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</si>
  <si>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</si>
  <si>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</si>
  <si>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</si>
  <si>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</si>
  <si>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</si>
  <si>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</si>
  <si>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</si>
  <si>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</si>
  <si>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</si>
  <si>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</si>
  <si>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</si>
  <si>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</si>
  <si>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</si>
  <si>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</si>
  <si>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</si>
  <si>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</si>
  <si>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</si>
  <si>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</si>
  <si>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</si>
  <si>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</si>
  <si>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</si>
  <si>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</si>
  <si>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</si>
  <si>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</si>
  <si>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</si>
  <si>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</si>
  <si>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</si>
  <si>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</si>
  <si>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</si>
  <si>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</si>
  <si>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</si>
  <si>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</si>
  <si>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</si>
  <si>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</si>
  <si>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</si>
  <si>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</si>
  <si>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</si>
  <si>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</si>
  <si>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</si>
  <si>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</si>
  <si>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</si>
  <si>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</si>
  <si>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</si>
  <si>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</si>
  <si>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</si>
  <si>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</si>
  <si>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</si>
  <si>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</si>
  <si>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</si>
  <si>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</si>
  <si>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</si>
  <si>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</si>
  <si>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</si>
  <si>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</si>
  <si>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</si>
  <si>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</si>
  <si>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</si>
  <si>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</si>
  <si>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</si>
  <si>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</si>
  <si>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</si>
  <si>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</si>
  <si>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</si>
  <si>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</si>
  <si>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</si>
  <si>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</si>
  <si>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</si>
  <si>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</si>
  <si>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</si>
  <si>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</si>
  <si>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</si>
  <si>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</si>
  <si>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</si>
  <si>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</si>
  <si>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</si>
  <si>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</si>
  <si>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</si>
  <si>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</si>
  <si>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</si>
  <si>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</si>
  <si>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</si>
  <si>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</si>
  <si>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</si>
  <si>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</si>
  <si>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</si>
  <si>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</si>
  <si>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</si>
  <si>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</si>
  <si>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</si>
  <si>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</si>
  <si>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</si>
  <si>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</si>
  <si>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</si>
  <si>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</si>
  <si>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</si>
  <si>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</si>
  <si>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</si>
  <si>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</si>
  <si>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</si>
  <si>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</si>
  <si>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</si>
  <si>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</si>
  <si>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</si>
  <si>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</si>
  <si>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</si>
  <si>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</si>
  <si>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</si>
  <si>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</si>
  <si>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</si>
  <si>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</si>
  <si>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</si>
  <si>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</si>
  <si>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</si>
  <si>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</si>
  <si>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</si>
  <si>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</si>
  <si>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</si>
  <si>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</si>
  <si>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</si>
  <si>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</si>
  <si>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</si>
  <si>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</si>
  <si>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</si>
  <si>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</si>
  <si>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</si>
  <si>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</si>
  <si>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</si>
  <si>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</si>
  <si>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</si>
  <si>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</si>
  <si>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</si>
  <si>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</si>
  <si>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</si>
  <si>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</si>
  <si>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</si>
  <si>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</si>
  <si>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</si>
  <si>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</si>
  <si>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</si>
  <si>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</si>
  <si>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</si>
  <si>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</si>
  <si>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</si>
  <si>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</si>
  <si>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</si>
  <si>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</si>
  <si>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</si>
  <si>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</si>
  <si>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</si>
  <si>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</si>
  <si>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</si>
  <si>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</si>
  <si>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</si>
  <si>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</si>
  <si>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</si>
  <si>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</si>
  <si>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</si>
  <si>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</si>
  <si>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</si>
  <si>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</si>
  <si>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</si>
  <si>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</si>
  <si>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</si>
  <si>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</si>
  <si>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</si>
  <si>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</si>
  <si>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</si>
  <si>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</si>
  <si>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</si>
  <si>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</si>
  <si>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</si>
  <si>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</si>
  <si>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</si>
  <si>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</si>
  <si>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</si>
  <si>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</si>
  <si>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</si>
  <si>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</si>
  <si>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</si>
  <si>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</si>
  <si>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</si>
  <si>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</si>
  <si>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</si>
  <si>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</si>
  <si>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</si>
  <si>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</si>
  <si>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</si>
  <si>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</si>
  <si>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</si>
  <si>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</si>
  <si>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</si>
  <si>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</si>
  <si>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</si>
  <si>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</si>
  <si>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</si>
  <si>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</si>
  <si>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</si>
  <si>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</si>
  <si>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</si>
  <si>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</si>
  <si>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</si>
  <si>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</si>
  <si>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</si>
  <si>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</si>
  <si>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</si>
  <si>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</si>
  <si>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</si>
  <si>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</si>
  <si>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</si>
  <si>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</si>
  <si>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</si>
  <si>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</si>
  <si>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</si>
  <si>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</si>
  <si>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</si>
  <si>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</si>
  <si>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</si>
  <si>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</si>
  <si>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</si>
  <si>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</si>
  <si>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</si>
  <si>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</si>
  <si>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</si>
  <si>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</si>
  <si>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</si>
  <si>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</si>
  <si>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</si>
  <si>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</si>
  <si>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</si>
  <si>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</si>
  <si>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</si>
  <si>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</si>
  <si>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</si>
  <si>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</si>
  <si>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</si>
  <si>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</si>
  <si>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</si>
  <si>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</si>
  <si>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</si>
  <si>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</si>
  <si>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</si>
  <si>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</si>
  <si>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</si>
  <si>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</si>
  <si>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</si>
  <si>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</si>
  <si>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</si>
  <si>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</si>
  <si>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</si>
  <si>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</si>
  <si>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</si>
  <si>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</si>
  <si>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</si>
  <si>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</si>
  <si>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</si>
  <si>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</si>
  <si>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</si>
  <si>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</si>
  <si>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</si>
  <si>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</si>
  <si>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</si>
  <si>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</si>
  <si>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</si>
  <si>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</si>
  <si>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</si>
  <si>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</si>
  <si>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</si>
  <si>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</si>
  <si>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</si>
  <si>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</si>
  <si>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</si>
  <si>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</si>
  <si>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</si>
  <si>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</si>
  <si>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</si>
  <si>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</si>
  <si>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</si>
  <si>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</si>
  <si>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</si>
  <si>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</si>
  <si>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</si>
  <si>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</si>
  <si>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</si>
  <si>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</si>
  <si>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</si>
  <si>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</si>
  <si>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</si>
  <si>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</si>
  <si>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</si>
  <si>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</si>
  <si>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</si>
  <si>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</si>
  <si>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</si>
  <si>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</si>
  <si>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</si>
  <si>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</si>
  <si>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</si>
  <si>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</si>
  <si>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</si>
  <si>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</si>
  <si>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</si>
  <si>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</si>
  <si>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</si>
  <si>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</si>
  <si>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</si>
  <si>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</si>
  <si>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</si>
  <si>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</si>
  <si>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</si>
  <si>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</si>
  <si>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</si>
  <si>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</si>
  <si>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</si>
  <si>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</si>
  <si>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</si>
  <si>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</si>
  <si>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</si>
  <si>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</si>
  <si>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</si>
  <si>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</si>
  <si>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</si>
  <si>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</si>
  <si>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</si>
  <si>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</si>
  <si>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</si>
  <si>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</si>
  <si>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</si>
  <si>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</si>
  <si>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</si>
  <si>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</si>
  <si>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</si>
  <si>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</si>
  <si>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</si>
  <si>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</si>
  <si>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</si>
  <si>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</si>
  <si>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</si>
  <si>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</si>
  <si>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</si>
  <si>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</si>
  <si>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</si>
  <si>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</si>
  <si>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</si>
  <si>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</si>
  <si>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</si>
  <si>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</si>
  <si>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</si>
  <si>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</si>
  <si>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</si>
  <si>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</si>
  <si>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</si>
  <si>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</si>
  <si>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</si>
  <si>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</si>
  <si>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</si>
  <si>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</si>
  <si>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</si>
  <si>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</si>
  <si>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</si>
  <si>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</si>
  <si>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</si>
  <si>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</si>
  <si>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</si>
  <si>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</si>
  <si>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</si>
  <si>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</si>
  <si>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</si>
  <si>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</si>
  <si>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</si>
  <si>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</si>
  <si>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</si>
  <si>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</si>
  <si>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</si>
  <si>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</si>
  <si>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</si>
  <si>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</si>
  <si>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</si>
  <si>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</si>
  <si>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</si>
  <si>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</si>
  <si>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</si>
  <si>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</si>
  <si>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</si>
  <si>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</si>
  <si>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</si>
  <si>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</si>
  <si>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</si>
  <si>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</si>
  <si>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</si>
  <si>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</si>
  <si>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</si>
  <si>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</si>
  <si>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</si>
  <si>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</si>
  <si>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</si>
  <si>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</si>
  <si>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</si>
  <si>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</si>
  <si>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</si>
  <si>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</si>
  <si>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</si>
  <si>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</si>
  <si>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</si>
  <si>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</si>
  <si>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</si>
  <si>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</si>
  <si>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</si>
  <si>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</si>
  <si>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</si>
  <si>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</si>
  <si>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</si>
  <si>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</si>
  <si>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</si>
  <si>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</si>
  <si>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</si>
  <si>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</si>
  <si>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</si>
  <si>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</si>
  <si>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</si>
  <si>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</si>
  <si>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</si>
  <si>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</si>
  <si>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</si>
  <si>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</si>
  <si>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</si>
  <si>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</si>
  <si>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</si>
  <si>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</si>
  <si>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</si>
  <si>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</si>
  <si>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</si>
  <si>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</si>
  <si>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</si>
  <si>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</si>
  <si>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</si>
  <si>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</si>
  <si>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</si>
  <si>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</si>
  <si>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</si>
  <si>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</si>
  <si>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</si>
  <si>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</si>
  <si>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</si>
  <si>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</si>
  <si>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</si>
  <si>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</si>
  <si>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</si>
  <si>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</si>
  <si>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</si>
  <si>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</si>
  <si>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</si>
  <si>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</si>
  <si>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</si>
  <si>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</si>
  <si>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</si>
  <si>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</si>
  <si>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</si>
  <si>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</si>
  <si>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</si>
  <si>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</si>
  <si>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</si>
  <si>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</si>
  <si>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</si>
  <si>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</si>
  <si>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</si>
  <si>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</si>
  <si>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</si>
  <si>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</si>
  <si>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</si>
  <si>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</si>
  <si>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</si>
  <si>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</si>
  <si>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</si>
  <si>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</si>
  <si>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</si>
  <si>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</si>
  <si>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</si>
  <si>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</si>
  <si>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</si>
  <si>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</si>
  <si>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</si>
  <si>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</si>
  <si>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</si>
  <si>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</si>
  <si>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</si>
  <si>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</si>
  <si>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</si>
  <si>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</si>
  <si>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</si>
  <si>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</si>
  <si>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</si>
  <si>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</si>
  <si>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</si>
  <si>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</si>
  <si>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</si>
  <si>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</si>
  <si>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</si>
  <si>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</si>
  <si>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</si>
  <si>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</si>
  <si>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</si>
  <si>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</si>
  <si>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</si>
  <si>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</si>
  <si>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</si>
  <si>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</si>
  <si>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</si>
  <si>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</si>
  <si>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</si>
  <si>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</si>
  <si>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</si>
  <si>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</si>
  <si>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</si>
  <si>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</si>
  <si>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</si>
  <si>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</si>
  <si>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</si>
  <si>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</si>
  <si>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</si>
  <si>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</si>
  <si>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</si>
  <si>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</si>
  <si>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</si>
  <si>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</si>
  <si>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</si>
  <si>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</si>
  <si>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</si>
  <si>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</si>
  <si>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</si>
  <si>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</si>
  <si>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</si>
  <si>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</si>
  <si>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</si>
  <si>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</si>
  <si>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</si>
  <si>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</si>
  <si>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</si>
  <si>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</si>
  <si>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</si>
  <si>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</si>
  <si>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</si>
  <si>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</si>
  <si>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</si>
  <si>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</si>
  <si>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</si>
  <si>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</si>
  <si>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</si>
  <si>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</si>
  <si>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</si>
  <si>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</si>
  <si>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</si>
  <si>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</si>
  <si>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</si>
  <si>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</si>
  <si>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</si>
  <si>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</si>
  <si>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</si>
  <si>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</si>
  <si>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</si>
  <si>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</si>
  <si>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</si>
  <si>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</si>
  <si>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</si>
  <si>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</si>
  <si>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</si>
  <si>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</si>
  <si>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</si>
  <si>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</si>
  <si>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</si>
  <si>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</si>
  <si>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</si>
  <si>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</si>
  <si>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</si>
  <si>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</si>
  <si>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</si>
  <si>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</si>
  <si>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</si>
  <si>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</si>
  <si>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</si>
  <si>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</si>
  <si>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</si>
  <si>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</si>
  <si>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</si>
  <si>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</si>
  <si>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</si>
  <si>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</si>
  <si>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</si>
  <si>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</si>
  <si>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</si>
  <si>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</si>
  <si>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</si>
  <si>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</si>
  <si>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</si>
  <si>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</si>
  <si>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</si>
  <si>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</si>
  <si>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</si>
  <si>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</si>
  <si>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</si>
  <si>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</si>
  <si>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</si>
  <si>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</si>
  <si>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</si>
  <si>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</si>
  <si>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</si>
  <si>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</si>
  <si>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</si>
  <si>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</si>
  <si>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</si>
  <si>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</si>
  <si>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</si>
  <si>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</si>
  <si>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</si>
  <si>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</si>
  <si>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</si>
  <si>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</si>
  <si>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</si>
  <si>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</si>
  <si>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</si>
  <si>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</si>
  <si>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</si>
  <si>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</si>
  <si>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</si>
  <si>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</si>
  <si>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</si>
  <si>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</si>
  <si>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</si>
  <si>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</si>
  <si>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</si>
  <si>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</si>
  <si>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</si>
  <si>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</si>
  <si>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</si>
  <si>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</si>
  <si>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</si>
  <si>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</si>
  <si>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</si>
  <si>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</si>
  <si>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</si>
  <si>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</si>
  <si>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</si>
  <si>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</si>
  <si>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</si>
  <si>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</si>
  <si>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</si>
  <si>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</si>
  <si>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</si>
  <si>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</si>
  <si>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</si>
  <si>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</si>
  <si>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</si>
  <si>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</si>
  <si>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</si>
  <si>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</si>
  <si>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</si>
  <si>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</si>
  <si>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</si>
  <si>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</si>
  <si>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</si>
  <si>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</si>
  <si>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</si>
  <si>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</si>
  <si>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</si>
  <si>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</si>
  <si>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</si>
  <si>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</si>
  <si>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</si>
  <si>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</si>
  <si>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</si>
  <si>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</si>
  <si>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</si>
  <si>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</si>
  <si>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</si>
  <si>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</si>
  <si>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</si>
  <si>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</si>
  <si>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</si>
  <si>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</si>
  <si>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</si>
  <si>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</si>
  <si>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</si>
  <si>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</si>
  <si>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</si>
  <si>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</si>
  <si>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</si>
  <si>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</si>
  <si>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</si>
  <si>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</si>
  <si>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</si>
  <si>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</si>
  <si>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</si>
  <si>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</si>
  <si>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</si>
  <si>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</si>
  <si>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</si>
  <si>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</si>
  <si>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</si>
  <si>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</si>
  <si>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</si>
  <si>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</si>
  <si>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</si>
  <si>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</si>
  <si>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</si>
  <si>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</si>
  <si>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</si>
  <si>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</si>
  <si>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</si>
  <si>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</si>
  <si>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</si>
  <si>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</si>
  <si>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</si>
  <si>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</si>
  <si>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</si>
  <si>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</si>
  <si>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</si>
  <si>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</si>
  <si>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</si>
  <si>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</si>
  <si>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</si>
  <si>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</si>
  <si>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</si>
  <si>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</si>
  <si>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</si>
  <si>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</si>
  <si>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</si>
  <si>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</si>
  <si>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</si>
  <si>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</si>
  <si>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</si>
  <si>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</si>
  <si>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</si>
  <si>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</si>
  <si>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</si>
  <si>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</si>
  <si>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</si>
  <si>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</si>
  <si>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</si>
  <si>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</si>
  <si>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</si>
  <si>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</si>
  <si>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</si>
  <si>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</si>
  <si>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</si>
  <si>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</si>
  <si>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</si>
  <si>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</si>
  <si>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</si>
  <si>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</si>
  <si>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</si>
  <si>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</si>
  <si>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</si>
  <si>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</si>
  <si>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</si>
  <si>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</si>
  <si>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</si>
  <si>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</si>
  <si>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</si>
  <si>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</si>
  <si>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</si>
  <si>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</si>
  <si>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</si>
  <si>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</si>
  <si>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</si>
  <si>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</si>
  <si>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</si>
  <si>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</si>
  <si>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</si>
  <si>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</si>
  <si>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</si>
  <si>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</si>
  <si>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</si>
  <si>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</si>
  <si>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</si>
  <si>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</si>
  <si>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</si>
  <si>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</si>
  <si>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</si>
  <si>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</si>
  <si>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</si>
  <si>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</si>
  <si>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</si>
  <si>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</si>
  <si>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</si>
  <si>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</si>
  <si>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</si>
  <si>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</si>
  <si>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</si>
  <si>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</si>
  <si>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</si>
  <si>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</si>
  <si>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</si>
  <si>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</si>
  <si>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</si>
  <si>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</si>
  <si>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</si>
  <si>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</si>
  <si>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</si>
  <si>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</si>
  <si>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</si>
  <si>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</si>
  <si>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</si>
  <si>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</si>
  <si>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</si>
  <si>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</si>
  <si>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</si>
  <si>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</si>
  <si>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</si>
  <si>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</si>
  <si>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</si>
  <si>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</si>
  <si>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</si>
  <si>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</si>
  <si>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</si>
  <si>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</si>
  <si>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</si>
  <si>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</si>
  <si>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</si>
  <si>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</si>
  <si>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</si>
  <si>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</si>
  <si>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</si>
  <si>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</si>
  <si>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</si>
  <si>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</si>
  <si>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</si>
  <si>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</si>
  <si>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</si>
  <si>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</si>
  <si>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</si>
  <si>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</si>
  <si>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</si>
  <si>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</si>
  <si>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</si>
  <si>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</si>
  <si>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</si>
  <si>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</si>
  <si>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</si>
  <si>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</si>
  <si>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</si>
  <si>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</si>
  <si>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</si>
  <si>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</si>
  <si>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</si>
  <si>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</si>
  <si>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</si>
  <si>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</si>
  <si>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</si>
  <si>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</si>
  <si>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</si>
  <si>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</si>
  <si>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</si>
  <si>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</si>
  <si>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</si>
  <si>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</si>
  <si>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</si>
  <si>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</si>
  <si>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</si>
  <si>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</si>
  <si>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</si>
  <si>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</si>
  <si>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</si>
  <si>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</si>
  <si>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</si>
  <si>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</si>
  <si>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</si>
  <si>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</si>
  <si>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</si>
  <si>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</si>
  <si>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</si>
  <si>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</si>
  <si>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</si>
  <si>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</si>
  <si>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</si>
  <si>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</si>
  <si>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</si>
  <si>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</si>
  <si>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</si>
  <si>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</si>
  <si>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</si>
  <si>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</si>
  <si>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</si>
  <si>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</si>
  <si>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</si>
  <si>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</si>
  <si>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</si>
  <si>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</si>
  <si>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</si>
  <si>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</si>
  <si>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</si>
  <si>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</si>
  <si>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</si>
  <si>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</si>
  <si>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</si>
  <si>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</si>
  <si>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</si>
  <si>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</si>
  <si>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</si>
  <si>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</si>
  <si>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</si>
  <si>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</si>
  <si>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</si>
  <si>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</si>
  <si>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</si>
  <si>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</si>
  <si>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</si>
  <si>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</si>
  <si>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</si>
  <si>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</si>
  <si>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</si>
  <si>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</si>
  <si>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</si>
  <si>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</si>
  <si>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</si>
  <si>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</si>
  <si>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</si>
  <si>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</si>
  <si>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</si>
  <si>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</si>
  <si>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</si>
  <si>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</si>
  <si>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</si>
  <si>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</si>
  <si>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</si>
  <si>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</si>
  <si>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</si>
  <si>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</si>
  <si>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</si>
  <si>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</si>
  <si>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</si>
  <si>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</si>
  <si>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</si>
  <si>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</si>
  <si>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</si>
  <si>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</si>
  <si>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</si>
  <si>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</si>
  <si>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</si>
  <si>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</si>
  <si>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</si>
  <si>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</si>
  <si>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</si>
  <si>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</si>
  <si>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</si>
  <si>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</si>
  <si>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</si>
  <si>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</si>
  <si>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</si>
  <si>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</si>
  <si>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</si>
  <si>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</si>
  <si>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</si>
  <si>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</si>
  <si>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</si>
  <si>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</si>
  <si>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</si>
  <si>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</si>
  <si>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</si>
  <si>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</si>
  <si>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</si>
  <si>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</si>
  <si>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</si>
  <si>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</si>
  <si>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</si>
  <si>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</si>
  <si>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</si>
  <si>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</si>
  <si>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</si>
  <si>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</si>
  <si>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</si>
  <si>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</si>
  <si>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</si>
  <si>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</si>
  <si>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</si>
  <si>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</si>
  <si>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</si>
  <si>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</si>
  <si>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</si>
  <si>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</si>
  <si>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</si>
  <si>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</si>
  <si>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</si>
  <si>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</si>
  <si>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</si>
  <si>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</si>
  <si>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</si>
  <si>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</si>
  <si>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</si>
  <si>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</si>
  <si>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</si>
  <si>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</si>
  <si>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</si>
  <si>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</si>
  <si>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</si>
  <si>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</si>
  <si>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</si>
  <si>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</si>
  <si>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</si>
  <si>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</si>
  <si>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</si>
  <si>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</si>
  <si>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</si>
  <si>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</si>
  <si>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</si>
  <si>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</si>
  <si>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</si>
  <si>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</si>
  <si>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</si>
  <si>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</si>
  <si>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</si>
  <si>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</si>
  <si>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</si>
  <si>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</si>
  <si>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</si>
  <si>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</si>
  <si>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</si>
  <si>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</si>
  <si>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</si>
  <si>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</si>
  <si>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</si>
  <si>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</si>
  <si>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</si>
  <si>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</si>
  <si>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</si>
  <si>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</si>
  <si>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</si>
  <si>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</si>
  <si>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</si>
  <si>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</si>
  <si>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</si>
  <si>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</si>
  <si>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</si>
  <si>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</si>
  <si>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</si>
  <si>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</si>
  <si>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</si>
  <si>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</si>
  <si>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</si>
  <si>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</si>
  <si>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</si>
  <si>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</si>
  <si>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</si>
  <si>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</si>
  <si>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</si>
  <si>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</si>
  <si>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</si>
  <si>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</si>
  <si>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</si>
  <si>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</si>
  <si>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</si>
  <si>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</si>
  <si>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</si>
  <si>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</si>
  <si>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</si>
  <si>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</si>
  <si>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</si>
  <si>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</si>
  <si>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</si>
  <si>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</si>
  <si>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</si>
  <si>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</si>
  <si>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</si>
  <si>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</si>
  <si>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</si>
  <si>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</si>
  <si>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</si>
  <si>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</si>
  <si>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</si>
  <si>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</si>
  <si>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</si>
  <si>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</si>
  <si>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</si>
  <si>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</si>
  <si>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</si>
  <si>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</si>
  <si>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</si>
  <si>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</si>
  <si>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</si>
  <si>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</si>
  <si>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</si>
  <si>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</si>
  <si>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</si>
  <si>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</si>
  <si>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</si>
  <si>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</si>
  <si>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</si>
  <si>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</si>
  <si>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</si>
  <si>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</si>
  <si>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</si>
  <si>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</si>
  <si>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</si>
  <si>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</si>
  <si>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</si>
  <si>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</si>
  <si>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</si>
  <si>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</si>
  <si>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</si>
  <si>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</si>
  <si>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</si>
  <si>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</si>
  <si>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</si>
  <si>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</si>
  <si>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</si>
  <si>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</si>
  <si>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</si>
  <si>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</si>
  <si>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</si>
  <si>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</si>
  <si>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</si>
  <si>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</si>
  <si>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</si>
  <si>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</si>
  <si>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</si>
  <si>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</si>
  <si>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</si>
  <si>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</si>
  <si>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</si>
  <si>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</si>
  <si>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</si>
  <si>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</si>
  <si>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</si>
  <si>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</si>
  <si>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</si>
  <si>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</si>
  <si>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</si>
  <si>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</si>
  <si>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</si>
  <si>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</si>
  <si>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</si>
  <si>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</si>
  <si>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</si>
  <si>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</si>
  <si>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</si>
  <si>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</si>
  <si>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</si>
  <si>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</si>
  <si>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</si>
  <si>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</si>
  <si>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</si>
  <si>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</si>
  <si>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</si>
  <si>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</si>
  <si>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</si>
  <si>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</si>
  <si>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</si>
  <si>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</si>
  <si>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</si>
  <si>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</si>
  <si>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</si>
  <si>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</si>
  <si>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</si>
  <si>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</si>
  <si>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</si>
  <si>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</si>
  <si>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</si>
  <si>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</si>
  <si>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</si>
  <si>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</si>
  <si>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</si>
  <si>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</si>
  <si>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</si>
  <si>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</si>
  <si>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</si>
  <si>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</si>
  <si>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</si>
  <si>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</si>
  <si>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</si>
  <si>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</si>
  <si>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</si>
  <si>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</si>
  <si>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</si>
  <si>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</si>
  <si>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</si>
  <si>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</si>
  <si>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</si>
  <si>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</si>
  <si>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</si>
  <si>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</si>
  <si>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</si>
  <si>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</si>
  <si>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</si>
  <si>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</si>
  <si>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</si>
  <si>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</si>
  <si>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</si>
  <si>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</si>
  <si>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</si>
  <si>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</si>
  <si>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</si>
  <si>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</si>
  <si>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</si>
  <si>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</si>
  <si>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</si>
  <si>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</si>
  <si>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</si>
  <si>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</si>
  <si>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</si>
  <si>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</si>
  <si>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</si>
  <si>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</si>
  <si>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</si>
  <si>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</si>
  <si>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</si>
  <si>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</si>
  <si>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</si>
  <si>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</si>
  <si>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</si>
  <si>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</si>
  <si>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</si>
  <si>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</si>
  <si>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</si>
  <si>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</si>
  <si>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</si>
  <si>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</si>
  <si>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</si>
  <si>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</si>
  <si>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</si>
  <si>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</si>
  <si>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</si>
  <si>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</si>
  <si>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</si>
  <si>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</si>
  <si>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</si>
  <si>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</si>
  <si>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</si>
  <si>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</si>
  <si>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</si>
  <si>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</si>
  <si>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</si>
  <si>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</si>
  <si>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</si>
  <si>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</si>
  <si>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</si>
  <si>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</si>
  <si>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</si>
  <si>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</si>
  <si>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</si>
  <si>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</si>
  <si>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</si>
  <si>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</si>
  <si>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</si>
  <si>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</si>
  <si>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</si>
  <si>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</si>
  <si>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</si>
  <si>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</si>
  <si>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</si>
  <si>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</si>
  <si>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</si>
  <si>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</si>
  <si>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</si>
  <si>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</si>
  <si>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</si>
  <si>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</si>
  <si>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</si>
  <si>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</si>
  <si>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</si>
  <si>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</si>
  <si>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</si>
  <si>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</si>
  <si>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Absolute Unit price</t>
  </si>
  <si>
    <t>Lead Time Days</t>
  </si>
  <si>
    <t>GrossRevenue</t>
  </si>
  <si>
    <t>Unassigned</t>
  </si>
  <si>
    <t>CostOfGoods</t>
  </si>
  <si>
    <t>GrossProfit</t>
  </si>
  <si>
    <t>MarginPct</t>
  </si>
  <si>
    <t>StandardizedO/Date</t>
  </si>
  <si>
    <t>Quarter</t>
  </si>
  <si>
    <t>RegionHierarchy</t>
  </si>
  <si>
    <t>PriceBand</t>
  </si>
  <si>
    <r>
      <t xml:space="preserve">   •</t>
    </r>
    <r>
      <rPr>
        <sz val="11"/>
        <color rgb="FFFF0000"/>
        <rFont val="Calibri"/>
        <family val="2"/>
        <scheme val="minor"/>
      </rPr>
      <t xml:space="preserve"> ProductCategory and a derived 'PriceBand' (e.g., Low/Medium/High using quantiles).</t>
    </r>
  </si>
  <si>
    <t>Row Labels</t>
  </si>
  <si>
    <t>Grand Total</t>
  </si>
  <si>
    <t>Column Labels</t>
  </si>
  <si>
    <t>Sum of GrossRevenue</t>
  </si>
  <si>
    <t>CohortStart</t>
  </si>
  <si>
    <t>MonthNumber</t>
  </si>
  <si>
    <t>0</t>
  </si>
  <si>
    <t>OrderMonth</t>
  </si>
  <si>
    <t>Contribution</t>
  </si>
  <si>
    <t>Cumulative Revenue</t>
  </si>
  <si>
    <t>ABC Analysis</t>
  </si>
  <si>
    <t>Count of OrderID</t>
  </si>
  <si>
    <t>Sum of GrossProfit</t>
  </si>
  <si>
    <t>RevenuePerOrder</t>
  </si>
  <si>
    <t>GrossProfitPerOrder</t>
  </si>
  <si>
    <r>
      <t xml:space="preserve">   • Compute Revenue/Order, Orders/Month, and GrossProfit/Order by Salesperson; </t>
    </r>
    <r>
      <rPr>
        <b/>
        <sz val="11"/>
        <color rgb="FFFF0000"/>
        <rFont val="Calibri"/>
        <family val="2"/>
        <scheme val="minor"/>
      </rPr>
      <t>highlight the top and bottom 3.</t>
    </r>
  </si>
  <si>
    <t>(blank)</t>
  </si>
  <si>
    <t>ServiceLevel</t>
  </si>
  <si>
    <t>Sum of ServiceLevel</t>
  </si>
  <si>
    <t>Service Level %</t>
  </si>
  <si>
    <t>HighDiscountFlag</t>
  </si>
  <si>
    <t>Sum of HighDiscountFlag</t>
  </si>
  <si>
    <t>HighDiscount %</t>
  </si>
  <si>
    <r>
      <t xml:space="preserve">   • Share of orders with DiscountPct &gt; 20% by Region and Salesperson; </t>
    </r>
    <r>
      <rPr>
        <sz val="11"/>
        <color rgb="FFFF0000"/>
        <rFont val="Calibri"/>
        <family val="2"/>
        <scheme val="minor"/>
      </rPr>
      <t>list outliers.</t>
    </r>
  </si>
  <si>
    <t>Scenario control Panel</t>
  </si>
  <si>
    <t>Quantity uplift</t>
  </si>
  <si>
    <t>UnitCost inflation factor</t>
  </si>
  <si>
    <t>Global Discount Cap</t>
  </si>
  <si>
    <t>Scenario Quantity</t>
  </si>
  <si>
    <t>Scenario Discount</t>
  </si>
  <si>
    <t>Scenario Revenue</t>
  </si>
  <si>
    <t>Scenario Profit</t>
  </si>
  <si>
    <t>Scenario UnitCost</t>
  </si>
  <si>
    <t>ScenarioCost</t>
  </si>
  <si>
    <t>Sum of Revenue</t>
  </si>
  <si>
    <t>Sum of Profit</t>
  </si>
  <si>
    <t>Sum of ScenarioRevenue</t>
  </si>
  <si>
    <t>Sum of ScenarioProfit</t>
  </si>
  <si>
    <t>Revenue Change</t>
  </si>
  <si>
    <t>Profit Change</t>
  </si>
  <si>
    <t>Percentage Change</t>
  </si>
  <si>
    <t>Scenario Values</t>
  </si>
  <si>
    <t>Jan</t>
  </si>
  <si>
    <t>Feb</t>
  </si>
  <si>
    <t>Mar</t>
  </si>
  <si>
    <t>Apr</t>
  </si>
  <si>
    <t>May</t>
  </si>
  <si>
    <t>Jun</t>
  </si>
  <si>
    <t>Jul</t>
  </si>
  <si>
    <t>Aug</t>
  </si>
  <si>
    <t>Sep</t>
  </si>
  <si>
    <t>Oct</t>
  </si>
  <si>
    <t>Nov</t>
  </si>
  <si>
    <t>Dec</t>
  </si>
  <si>
    <t>2023</t>
  </si>
  <si>
    <t>2024</t>
  </si>
  <si>
    <t>2025</t>
  </si>
  <si>
    <t>Sum of DiscountPct</t>
  </si>
  <si>
    <t>Margin</t>
  </si>
  <si>
    <t>OrderCount</t>
  </si>
  <si>
    <t>Average Order Value</t>
  </si>
  <si>
    <t>Average Revenue</t>
  </si>
  <si>
    <t>OnTime %</t>
  </si>
  <si>
    <t>On-time %</t>
  </si>
  <si>
    <t>Sum of On-time orders</t>
  </si>
  <si>
    <t>Count of On-time orders</t>
  </si>
  <si>
    <t>GrossRevenue in Africa peaks around June/July every year.</t>
  </si>
  <si>
    <t>Africa gets the most profit through Distribution and Marketplace.</t>
  </si>
  <si>
    <t>Europe gets the most profit through Direct sales.</t>
  </si>
  <si>
    <t>Americas get more profit through Online sales.</t>
  </si>
  <si>
    <t>Asia gets the most profit through Retail sales.</t>
  </si>
  <si>
    <t>A.Patel makes the most profit in Africa among all other regions.</t>
  </si>
  <si>
    <t>B.Chen  makes the most profit in Europe among all other regions.</t>
  </si>
  <si>
    <t>C.Otieno makes the most profit in America among all other regions.</t>
  </si>
  <si>
    <t>Components and Accessories generate the most profit in America.</t>
  </si>
  <si>
    <t>Laptops generate the most profit in Africa.</t>
  </si>
  <si>
    <t>Phones and Networking generate the most profit in Asia.</t>
  </si>
  <si>
    <t>Printers and monitors generate the most profit in Europe.</t>
  </si>
  <si>
    <t>Some numeric/pricing fields were initially formatted as a general data type and required conversion to numeric, percentage and currency format.</t>
  </si>
  <si>
    <t>Incorrect formatting in date fields were adjusted.</t>
  </si>
  <si>
    <t>Standardized OrderDate into a consistent date format for grouping by Month and Year.</t>
  </si>
  <si>
    <t>Created a binary flag for OnTime% where 1 = LeadTimeDays ≤ 7  and 0 = LeadTimeDays &gt; 7.</t>
  </si>
  <si>
    <t>Created one for High discount flag where 1 = Discount% &gt;20% and 0 = Discount% &lt; 20%.</t>
  </si>
  <si>
    <t>Missing Values for City were filled with the most frequent City using Region &amp; Country.(Mode)</t>
  </si>
  <si>
    <t>Missing values under Channel was filled with Marketplace where Region was Africa, Country was Kenya, City was Nakuru and SalesPerson was M.Rossi because that is the only channel the salesperson used for the specified area.</t>
  </si>
  <si>
    <t>All negative prices were altered by finding their absolute values.</t>
  </si>
  <si>
    <t>Assumptions made: Each row in the dataset represents a unique order.</t>
  </si>
  <si>
    <t xml:space="preserve">                  LeadTimeDays is a valid indicator of delivery performance.</t>
  </si>
  <si>
    <t xml:space="preserve">                  No external returns or refunds are included in the dataset.</t>
  </si>
  <si>
    <t xml:space="preserve">                  Missing values were assumed to have minimal impact on overall trends.</t>
  </si>
  <si>
    <t>KPI Definitions: Total revenue = Sum of all revenue values.</t>
  </si>
  <si>
    <t xml:space="preserve">                  Average order value= Total revenue ÷ Number of orders</t>
  </si>
  <si>
    <t xml:space="preserve">                  Margin % = Total profit ÷ Total revenue</t>
  </si>
  <si>
    <t xml:space="preserve">                  On-Time % = Proportion of orders where LeadTimeDays ≤ 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</si>
</sst>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numFmt numFmtId="165" formatCode="[$-409]mmm\-yy;@"/>
    <numFmt numFmtId="166" formatCode="mmm\-yyyy"/>
    <numFmt numFmtId="167" formatCode="[$KES]\ #,##0.00"/>
  </numFmts>
  <fonts count="5" x14ac:knownFonts="1">
    <font>
      <sz val="11"/>
      <color theme="1"/>
      <name val="Calibri"/>
      <family val="2"/>
      <scheme val="minor"/>
    </font>
    <font>
      <b/>
      <sz val="11"/>
      <color theme="1"/>
      <name val="Calibri"/>
      <family val="2"/>
      <scheme val="minor"/>
    </font>
    <font>
      <sz val="12"/>
      <color theme="1"/>
      <name val="Calibri"/>
      <family val="2"/>
      <scheme val="minor"/>
    </font>
    <font>
      <sz val="11"/>
      <color rgb="FFFF0000"/>
      <name val="Calibri"/>
      <family val="2"/>
      <scheme val="minor"/>
    </font>
    <font>
      <b/>
      <sz val="11"/>
      <color rgb="FFFF0000"/>
      <name val="Calibri"/>
      <family val="2"/>
      <scheme val="minor"/>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cellStyleXfs>
  <cellXfs count="28">
    <xf numFmtId="0" fontId="0" fillId="0" borderId="0" xfId="0"/>
    <xf numFmtId="0" fontId="1" fillId="0" borderId="1" xfId="0"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0" fontId="1" fillId="0" borderId="1" xfId="0" applyNumberFormat="1" applyFont="1" applyBorder="1" applyAlignment="1">
      <alignment horizontal="center" vertical="top"/>
    </xf>
    <xf numFmtId="0" fontId="0" fillId="0" borderId="0" xfId="0" applyNumberFormat="1"/>
    <xf numFmtId="2" fontId="1" fillId="0" borderId="1" xfId="0" applyNumberFormat="1" applyFont="1" applyBorder="1" applyAlignment="1">
      <alignment horizontal="center" vertical="top"/>
    </xf>
    <xf numFmtId="2" fontId="0" fillId="0" borderId="0" xfId="0" applyNumberFormat="1"/>
    <xf numFmtId="2" fontId="0" fillId="0" borderId="0" xfId="0" quotePrefix="1" applyNumberFormat="1"/>
    <xf numFmtId="10" fontId="1" fillId="0" borderId="1" xfId="0" applyNumberFormat="1" applyFont="1" applyBorder="1" applyAlignment="1">
      <alignment horizontal="center" vertical="top"/>
    </xf>
    <xf numFmtId="10" fontId="0" fillId="0" borderId="0" xfId="0" applyNumberFormat="1"/>
    <xf numFmtId="1" fontId="1" fillId="0" borderId="1" xfId="0" applyNumberFormat="1" applyFont="1" applyBorder="1" applyAlignment="1">
      <alignment horizontal="center" vertical="top"/>
    </xf>
    <xf numFmtId="1" fontId="0" fillId="0" borderId="0" xfId="0" applyNumberFormat="1"/>
    <xf numFmtId="2" fontId="1" fillId="0" borderId="2" xfId="0" applyNumberFormat="1" applyFont="1" applyFill="1" applyBorder="1" applyAlignment="1">
      <alignment horizontal="center" vertical="top"/>
    </xf>
    <xf numFmtId="0" fontId="0" fillId="0" borderId="0" xfId="0" applyFill="1"/>
    <xf numFmtId="165" fontId="1" fillId="0" borderId="1" xfId="0" applyNumberFormat="1"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4" fontId="0" fillId="0" borderId="0" xfId="0" applyNumberFormat="1" applyAlignment="1">
      <alignment horizontal="left" indent="1"/>
    </xf>
    <xf numFmtId="0" fontId="0" fillId="0" borderId="0" xfId="0" applyAlignment="1">
      <alignment horizontal="left" indent="1"/>
    </xf>
    <xf numFmtId="0" fontId="1" fillId="0" borderId="0" xfId="0" applyFont="1"/>
    <xf numFmtId="166" fontId="0" fillId="0" borderId="0" xfId="0" applyNumberFormat="1" applyAlignment="1">
      <alignment horizontal="left" indent="1"/>
    </xf>
    <xf numFmtId="10" fontId="1" fillId="0" borderId="0" xfId="0" applyNumberFormat="1" applyFont="1"/>
    <xf numFmtId="0" fontId="0" fillId="2" borderId="0" xfId="0" applyFill="1"/>
    <xf numFmtId="167" fontId="0" fillId="0" borderId="0" xfId="0" applyNumberFormat="1"/>
  </cellXfs>
  <cellStyles count="2">
    <cellStyle name="Normal" xfId="0" builtinId="0"/>
    <cellStyle name="Normal 2" xfId="1"/>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[Excel_Sales And Analytics assignment.xlsx]RevenueByMonth!PivotTable1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GrossRevenue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pivotFmt>
    </c:pivotFmts>
    <c:plotArea>
      <c:layout/>
      <c:lineChart>
        <c:grouping val="standard"/>
        <c:varyColors val="0"/>
        <c:ser>
          <c:idx val="0"/>
          <c:order val="0"/>
          <c:tx>
            <c:strRef>
              <c:f>RevenueByMonth!$B$3</c:f>
              <c:strCache>
                <c:ptCount val="1"/>
                <c:pt idx="0">
                  <c:v>Total</c:v>
                </c:pt>
              </c:strCache>
            </c:strRef>
          </c:tx>
          <c:spPr>
            <a:ln w="28575" cap="rnd">
              <a:solidFill>
                <a:schemeClr val="accent2"/>
              </a:solidFill>
              <a:round/>
            </a:ln>
            <a:effectLst/>
          </c:spPr>
          <c:marker>
            <c:symbol val="none"/>
          </c:marker>
          <c:cat>
            <c:multiLvlStrRef>
              <c:f>RevenueByMonth!$A$4:$A$28</c:f>
              <c:multiLvlStrCache>
                <c:ptCount val="21"/>
                <c:lvl>
                  <c:pt idx="0">
                    <c:v>Apr</c:v>
                  </c:pt>
                  <c:pt idx="1">
                    <c:v>May</c:v>
                  </c:pt>
                  <c:pt idx="2">
                    <c:v>Jun</c:v>
                  </c:pt>
                  <c:pt idx="3">
                    <c:v>Jul</c:v>
                  </c:pt>
                  <c:pt idx="4">
                    <c:v>Nov</c:v>
                  </c:pt>
                  <c:pt idx="5">
                    <c:v>Dec</c:v>
                  </c:pt>
                  <c:pt idx="6">
                    <c:v>Jan</c:v>
                  </c:pt>
                  <c:pt idx="7">
                    <c:v>Feb</c:v>
                  </c:pt>
                  <c:pt idx="8">
                    <c:v>Mar</c:v>
                  </c:pt>
                  <c:pt idx="9">
                    <c:v>Apr</c:v>
                  </c:pt>
                  <c:pt idx="10">
                    <c:v>May</c:v>
                  </c:pt>
                  <c:pt idx="11">
                    <c:v>Aug</c:v>
                  </c:pt>
                  <c:pt idx="12">
                    <c:v>Sep</c:v>
                  </c:pt>
                  <c:pt idx="13">
                    <c:v>Oct</c:v>
                  </c:pt>
                  <c:pt idx="14">
                    <c:v>Nov</c:v>
                  </c:pt>
                  <c:pt idx="15">
                    <c:v>Dec</c:v>
                  </c:pt>
                  <c:pt idx="16">
                    <c:v>Jan</c:v>
                  </c:pt>
                  <c:pt idx="17">
                    <c:v>Mar</c:v>
                  </c:pt>
                  <c:pt idx="18">
                    <c:v>Apr</c:v>
                  </c:pt>
                  <c:pt idx="19">
                    <c:v>Jun</c:v>
                  </c:pt>
                  <c:pt idx="20">
                    <c:v>Aug</c:v>
                  </c:pt>
                </c:lvl>
                <c:lvl>
                  <c:pt idx="0">
                    <c:v>2023</c:v>
                  </c:pt>
                  <c:pt idx="6">
                    <c:v>2024</c:v>
                  </c:pt>
                  <c:pt idx="16">
                    <c:v>2025</c:v>
                  </c:pt>
                </c:lvl>
              </c:multiLvlStrCache>
            </c:multiLvlStrRef>
          </c:cat>
          <c:val>
            <c:numRef>
              <c:f>RevenueByMonth!$B$4:$B$28</c:f>
              <c:numCache>
                <c:formatCode>General</c:formatCode>
                <c:ptCount val="21"/>
                <c:pt idx="0">
                  <c:v>69113.110860000001</c:v>
                </c:pt>
                <c:pt idx="1">
                  <c:v>43453.410560000004</c:v>
                </c:pt>
                <c:pt idx="2">
                  <c:v>14738.614239999999</c:v>
                </c:pt>
                <c:pt idx="3">
                  <c:v>12462.65055</c:v>
                </c:pt>
                <c:pt idx="4">
                  <c:v>12954.358080000002</c:v>
                </c:pt>
                <c:pt idx="5">
                  <c:v>40476.013200000001</c:v>
                </c:pt>
                <c:pt idx="6">
                  <c:v>29196.022199999999</c:v>
                </c:pt>
                <c:pt idx="7">
                  <c:v>13450.74</c:v>
                </c:pt>
                <c:pt idx="8">
                  <c:v>33938.142760000002</c:v>
                </c:pt>
                <c:pt idx="9">
                  <c:v>16219.34496</c:v>
                </c:pt>
                <c:pt idx="10">
                  <c:v>30970.913400000005</c:v>
                </c:pt>
                <c:pt idx="11">
                  <c:v>27331.829999999998</c:v>
                </c:pt>
                <c:pt idx="12">
                  <c:v>21664.440000000002</c:v>
                </c:pt>
                <c:pt idx="13">
                  <c:v>44468.934560000009</c:v>
                </c:pt>
                <c:pt idx="14">
                  <c:v>4280.6786400000001</c:v>
                </c:pt>
                <c:pt idx="15">
                  <c:v>2886.4496399999998</c:v>
                </c:pt>
                <c:pt idx="16">
                  <c:v>4831.9464600000001</c:v>
                </c:pt>
                <c:pt idx="17">
                  <c:v>37836.913499999995</c:v>
                </c:pt>
                <c:pt idx="18">
                  <c:v>20084.133720000002</c:v>
                </c:pt>
                <c:pt idx="19">
                  <c:v>20455.985130000001</c:v>
                </c:pt>
                <c:pt idx="20">
                  <c:v>43031.808069999999</c:v>
                </c:pt>
              </c:numCache>
            </c:numRef>
          </c:val>
          <c:smooth val="0"/>
        </c:ser>
        <c:dLbls>
          <c:showLegendKey val="0"/>
          <c:showVal val="0"/>
          <c:showCatName val="0"/>
          <c:showSerName val="0"/>
          <c:showPercent val="0"/>
          <c:showBubbleSize val="0"/>
        </c:dLbls>
        <c:smooth val="0"/>
        <c:axId val="282285648"/>
        <c:axId val="282282512"/>
      </c:lineChart>
      <c:catAx>
        <c:axId val="28228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282512"/>
        <c:crosses val="autoZero"/>
        <c:auto val="1"/>
        <c:lblAlgn val="ctr"/>
        <c:lblOffset val="100"/>
        <c:noMultiLvlLbl val="0"/>
      </c:catAx>
      <c:valAx>
        <c:axId val="28228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28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[Excel_Sales And Analytics assignment.xlsx]ProfitByChannel-Region!PivotTable2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Profit by Channel &amp;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s>
    <c:plotArea>
      <c:layout/>
      <c:barChart>
        <c:barDir val="col"/>
        <c:grouping val="stacked"/>
        <c:varyColors val="0"/>
        <c:ser>
          <c:idx val="0"/>
          <c:order val="0"/>
          <c:tx>
            <c:strRef>
              <c:f>'ProfitByChannel-Region'!$B$3:$B$4</c:f>
              <c:strCache>
                <c:ptCount val="1"/>
                <c:pt idx="0">
                  <c:v>Direct</c:v>
                </c:pt>
              </c:strCache>
            </c:strRef>
          </c:tx>
          <c:spPr>
            <a:solidFill>
              <a:schemeClr val="accent2">
                <a:tint val="50000"/>
              </a:schemeClr>
            </a:solidFill>
            <a:ln>
              <a:noFill/>
            </a:ln>
            <a:effectLst/>
          </c:spPr>
          <c:invertIfNegative val="0"/>
          <c:cat>
            <c:strRef>
              <c:f>'ProfitByChannel-Region'!$A$5:$A$9</c:f>
              <c:strCache>
                <c:ptCount val="4"/>
                <c:pt idx="0">
                  <c:v>Africa</c:v>
                </c:pt>
                <c:pt idx="1">
                  <c:v>Americas</c:v>
                </c:pt>
                <c:pt idx="2">
                  <c:v>Asia</c:v>
                </c:pt>
                <c:pt idx="3">
                  <c:v>Europe</c:v>
                </c:pt>
              </c:strCache>
            </c:strRef>
          </c:cat>
          <c:val>
            <c:numRef>
              <c:f>'ProfitByChannel-Region'!$B$5:$B$9</c:f>
              <c:numCache>
                <c:formatCode>General</c:formatCode>
                <c:ptCount val="4"/>
                <c:pt idx="0">
                  <c:v>281.97720000000027</c:v>
                </c:pt>
                <c:pt idx="1">
                  <c:v>2189.7755999999999</c:v>
                </c:pt>
                <c:pt idx="2">
                  <c:v>-6806.52</c:v>
                </c:pt>
                <c:pt idx="3">
                  <c:v>14906.223929999998</c:v>
                </c:pt>
              </c:numCache>
            </c:numRef>
          </c:val>
        </c:ser>
        <c:ser>
          <c:idx val="1"/>
          <c:order val="1"/>
          <c:tx>
            <c:strRef>
              <c:f>'ProfitByChannel-Region'!$C$3:$C$4</c:f>
              <c:strCache>
                <c:ptCount val="1"/>
                <c:pt idx="0">
                  <c:v>Distributor</c:v>
                </c:pt>
              </c:strCache>
            </c:strRef>
          </c:tx>
          <c:spPr>
            <a:solidFill>
              <a:schemeClr val="accent2">
                <a:tint val="70000"/>
              </a:schemeClr>
            </a:solidFill>
            <a:ln>
              <a:noFill/>
            </a:ln>
            <a:effectLst/>
          </c:spPr>
          <c:invertIfNegative val="0"/>
          <c:cat>
            <c:strRef>
              <c:f>'ProfitByChannel-Region'!$A$5:$A$9</c:f>
              <c:strCache>
                <c:ptCount val="4"/>
                <c:pt idx="0">
                  <c:v>Africa</c:v>
                </c:pt>
                <c:pt idx="1">
                  <c:v>Americas</c:v>
                </c:pt>
                <c:pt idx="2">
                  <c:v>Asia</c:v>
                </c:pt>
                <c:pt idx="3">
                  <c:v>Europe</c:v>
                </c:pt>
              </c:strCache>
            </c:strRef>
          </c:cat>
          <c:val>
            <c:numRef>
              <c:f>'ProfitByChannel-Region'!$C$5:$C$9</c:f>
              <c:numCache>
                <c:formatCode>General</c:formatCode>
                <c:ptCount val="4"/>
                <c:pt idx="0">
                  <c:v>9441.9554400000034</c:v>
                </c:pt>
                <c:pt idx="1">
                  <c:v>4493.9954400000006</c:v>
                </c:pt>
                <c:pt idx="2">
                  <c:v>8213.5441499999979</c:v>
                </c:pt>
                <c:pt idx="3">
                  <c:v>36523.124930000005</c:v>
                </c:pt>
              </c:numCache>
            </c:numRef>
          </c:val>
        </c:ser>
        <c:ser>
          <c:idx val="2"/>
          <c:order val="2"/>
          <c:tx>
            <c:strRef>
              <c:f>'ProfitByChannel-Region'!$D$3:$D$4</c:f>
              <c:strCache>
                <c:ptCount val="1"/>
                <c:pt idx="0">
                  <c:v>Marketplace</c:v>
                </c:pt>
              </c:strCache>
            </c:strRef>
          </c:tx>
          <c:spPr>
            <a:solidFill>
              <a:schemeClr val="accent2">
                <a:tint val="90000"/>
              </a:schemeClr>
            </a:solidFill>
            <a:ln>
              <a:noFill/>
            </a:ln>
            <a:effectLst/>
          </c:spPr>
          <c:invertIfNegative val="0"/>
          <c:cat>
            <c:strRef>
              <c:f>'ProfitByChannel-Region'!$A$5:$A$9</c:f>
              <c:strCache>
                <c:ptCount val="4"/>
                <c:pt idx="0">
                  <c:v>Africa</c:v>
                </c:pt>
                <c:pt idx="1">
                  <c:v>Americas</c:v>
                </c:pt>
                <c:pt idx="2">
                  <c:v>Asia</c:v>
                </c:pt>
                <c:pt idx="3">
                  <c:v>Europe</c:v>
                </c:pt>
              </c:strCache>
            </c:strRef>
          </c:cat>
          <c:val>
            <c:numRef>
              <c:f>'ProfitByChannel-Region'!$D$5:$D$9</c:f>
              <c:numCache>
                <c:formatCode>General</c:formatCode>
                <c:ptCount val="4"/>
                <c:pt idx="0">
                  <c:v>10358.99308</c:v>
                </c:pt>
                <c:pt idx="2">
                  <c:v>9796.2346800000014</c:v>
                </c:pt>
              </c:numCache>
            </c:numRef>
          </c:val>
        </c:ser>
        <c:ser>
          <c:idx val="3"/>
          <c:order val="3"/>
          <c:tx>
            <c:strRef>
              <c:f>'ProfitByChannel-Region'!$E$3:$E$4</c:f>
              <c:strCache>
                <c:ptCount val="1"/>
                <c:pt idx="0">
                  <c:v>Online</c:v>
                </c:pt>
              </c:strCache>
            </c:strRef>
          </c:tx>
          <c:spPr>
            <a:solidFill>
              <a:schemeClr val="accent2">
                <a:shade val="90000"/>
              </a:schemeClr>
            </a:solidFill>
            <a:ln>
              <a:noFill/>
            </a:ln>
            <a:effectLst/>
          </c:spPr>
          <c:invertIfNegative val="0"/>
          <c:cat>
            <c:strRef>
              <c:f>'ProfitByChannel-Region'!$A$5:$A$9</c:f>
              <c:strCache>
                <c:ptCount val="4"/>
                <c:pt idx="0">
                  <c:v>Africa</c:v>
                </c:pt>
                <c:pt idx="1">
                  <c:v>Americas</c:v>
                </c:pt>
                <c:pt idx="2">
                  <c:v>Asia</c:v>
                </c:pt>
                <c:pt idx="3">
                  <c:v>Europe</c:v>
                </c:pt>
              </c:strCache>
            </c:strRef>
          </c:cat>
          <c:val>
            <c:numRef>
              <c:f>'ProfitByChannel-Region'!$E$5:$E$9</c:f>
              <c:numCache>
                <c:formatCode>General</c:formatCode>
                <c:ptCount val="4"/>
                <c:pt idx="1">
                  <c:v>9942.4500000000007</c:v>
                </c:pt>
                <c:pt idx="2">
                  <c:v>1594.9244000000008</c:v>
                </c:pt>
                <c:pt idx="3">
                  <c:v>70828.299220000001</c:v>
                </c:pt>
              </c:numCache>
            </c:numRef>
          </c:val>
        </c:ser>
        <c:ser>
          <c:idx val="4"/>
          <c:order val="4"/>
          <c:tx>
            <c:strRef>
              <c:f>'ProfitByChannel-Region'!$F$3:$F$4</c:f>
              <c:strCache>
                <c:ptCount val="1"/>
                <c:pt idx="0">
                  <c:v>Retail</c:v>
                </c:pt>
              </c:strCache>
            </c:strRef>
          </c:tx>
          <c:spPr>
            <a:solidFill>
              <a:schemeClr val="accent2">
                <a:shade val="70000"/>
              </a:schemeClr>
            </a:solidFill>
            <a:ln>
              <a:noFill/>
            </a:ln>
            <a:effectLst/>
          </c:spPr>
          <c:invertIfNegative val="0"/>
          <c:cat>
            <c:strRef>
              <c:f>'ProfitByChannel-Region'!$A$5:$A$9</c:f>
              <c:strCache>
                <c:ptCount val="4"/>
                <c:pt idx="0">
                  <c:v>Africa</c:v>
                </c:pt>
                <c:pt idx="1">
                  <c:v>Americas</c:v>
                </c:pt>
                <c:pt idx="2">
                  <c:v>Asia</c:v>
                </c:pt>
                <c:pt idx="3">
                  <c:v>Europe</c:v>
                </c:pt>
              </c:strCache>
            </c:strRef>
          </c:cat>
          <c:val>
            <c:numRef>
              <c:f>'ProfitByChannel-Region'!$F$5:$F$9</c:f>
              <c:numCache>
                <c:formatCode>General</c:formatCode>
                <c:ptCount val="4"/>
                <c:pt idx="0">
                  <c:v>14439.149999999998</c:v>
                </c:pt>
                <c:pt idx="1">
                  <c:v>4788.7956400000003</c:v>
                </c:pt>
                <c:pt idx="2">
                  <c:v>1230.2980000000002</c:v>
                </c:pt>
                <c:pt idx="3">
                  <c:v>11494.612360000003</c:v>
                </c:pt>
              </c:numCache>
            </c:numRef>
          </c:val>
        </c:ser>
        <c:ser>
          <c:idx val="5"/>
          <c:order val="5"/>
          <c:tx>
            <c:strRef>
              <c:f>'ProfitByChannel-Region'!$G$3:$G$4</c:f>
              <c:strCache>
                <c:ptCount val="1"/>
                <c:pt idx="0">
                  <c:v>(blank)</c:v>
                </c:pt>
              </c:strCache>
            </c:strRef>
          </c:tx>
          <c:spPr>
            <a:solidFill>
              <a:schemeClr val="accent2">
                <a:shade val="50000"/>
              </a:schemeClr>
            </a:solidFill>
            <a:ln>
              <a:noFill/>
            </a:ln>
            <a:effectLst/>
          </c:spPr>
          <c:invertIfNegative val="0"/>
          <c:cat>
            <c:strRef>
              <c:f>'ProfitByChannel-Region'!$A$5:$A$9</c:f>
              <c:strCache>
                <c:ptCount val="4"/>
                <c:pt idx="0">
                  <c:v>Africa</c:v>
                </c:pt>
                <c:pt idx="1">
                  <c:v>Americas</c:v>
                </c:pt>
                <c:pt idx="2">
                  <c:v>Asia</c:v>
                </c:pt>
                <c:pt idx="3">
                  <c:v>Europe</c:v>
                </c:pt>
              </c:strCache>
            </c:strRef>
          </c:cat>
          <c:val>
            <c:numRef>
              <c:f>'ProfitByChannel-Region'!$G$5:$G$9</c:f>
              <c:numCache>
                <c:formatCode>General</c:formatCode>
                <c:ptCount val="4"/>
                <c:pt idx="3">
                  <c:v>1263.5064600000001</c:v>
                </c:pt>
              </c:numCache>
            </c:numRef>
          </c:val>
        </c:ser>
        <c:dLbls>
          <c:showLegendKey val="0"/>
          <c:showVal val="0"/>
          <c:showCatName val="0"/>
          <c:showSerName val="0"/>
          <c:showPercent val="0"/>
          <c:showBubbleSize val="0"/>
        </c:dLbls>
        <c:gapWidth val="150"/>
        <c:overlap val="100"/>
        <c:axId val="282280944"/>
        <c:axId val="282286824"/>
      </c:barChart>
      <c:catAx>
        <c:axId val="28228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286824"/>
        <c:crosses val="autoZero"/>
        <c:auto val="1"/>
        <c:lblAlgn val="ctr"/>
        <c:lblOffset val="100"/>
        <c:noMultiLvlLbl val="0"/>
      </c:catAx>
      <c:valAx>
        <c:axId val="282286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28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[Excel_Sales And Analytics assignment.xlsx]Top10SKUs!PivotTable3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a:t>
            </a:r>
            <a:r>
              <a:rPr lang="en-US" baseline="0">
                <a:solidFill>
                  <a:schemeClr val="accent2"/>
                </a:solidFill>
              </a:rPr>
              <a:t> 10 SKUs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s>
    <c:plotArea>
      <c:layout/>
      <c:barChart>
        <c:barDir val="bar"/>
        <c:grouping val="clustered"/>
        <c:varyColors val="0"/>
        <c:ser>
          <c:idx val="0"/>
          <c:order val="0"/>
          <c:tx>
            <c:strRef>
              <c:f>Top10SKUs!$B$3</c:f>
              <c:strCache>
                <c:ptCount val="1"/>
                <c:pt idx="0">
                  <c:v>Total</c:v>
                </c:pt>
              </c:strCache>
            </c:strRef>
          </c:tx>
          <c:spPr>
            <a:solidFill>
              <a:schemeClr val="accent2"/>
            </a:solidFill>
            <a:ln>
              <a:noFill/>
            </a:ln>
            <a:effectLst/>
          </c:spPr>
          <c:invertIfNegative val="0"/>
          <c:cat>
            <c:strRef>
              <c:f>Top10SKUs!$A$4:$A$14</c:f>
              <c:strCache>
                <c:ptCount val="10"/>
                <c:pt idx="0">
                  <c:v>CMP-1559</c:v>
                </c:pt>
                <c:pt idx="1">
                  <c:v>CMP-1940</c:v>
                </c:pt>
                <c:pt idx="2">
                  <c:v>CMP-4630</c:v>
                </c:pt>
                <c:pt idx="3">
                  <c:v>LAP-7553</c:v>
                </c:pt>
                <c:pt idx="4">
                  <c:v>LAP-8633</c:v>
                </c:pt>
                <c:pt idx="5">
                  <c:v>MON-1663</c:v>
                </c:pt>
                <c:pt idx="6">
                  <c:v>MON-3043</c:v>
                </c:pt>
                <c:pt idx="7">
                  <c:v>MON-9733</c:v>
                </c:pt>
                <c:pt idx="8">
                  <c:v>PHN-9399</c:v>
                </c:pt>
                <c:pt idx="9">
                  <c:v>PRN-9557</c:v>
                </c:pt>
              </c:strCache>
            </c:strRef>
          </c:cat>
          <c:val>
            <c:numRef>
              <c:f>Top10SKUs!$B$4:$B$14</c:f>
              <c:numCache>
                <c:formatCode>General</c:formatCode>
                <c:ptCount val="10"/>
                <c:pt idx="0">
                  <c:v>27331.829999999998</c:v>
                </c:pt>
                <c:pt idx="1">
                  <c:v>40476.013200000001</c:v>
                </c:pt>
                <c:pt idx="2">
                  <c:v>22882.675440000003</c:v>
                </c:pt>
                <c:pt idx="3">
                  <c:v>30435.614999999998</c:v>
                </c:pt>
                <c:pt idx="4">
                  <c:v>33938.142760000002</c:v>
                </c:pt>
                <c:pt idx="5">
                  <c:v>26131.70736</c:v>
                </c:pt>
                <c:pt idx="6">
                  <c:v>27370.540859999997</c:v>
                </c:pt>
                <c:pt idx="7">
                  <c:v>38818.760160000005</c:v>
                </c:pt>
                <c:pt idx="8">
                  <c:v>22380.204000000002</c:v>
                </c:pt>
                <c:pt idx="9">
                  <c:v>21664.440000000002</c:v>
                </c:pt>
              </c:numCache>
            </c:numRef>
          </c:val>
        </c:ser>
        <c:dLbls>
          <c:showLegendKey val="0"/>
          <c:showVal val="0"/>
          <c:showCatName val="0"/>
          <c:showSerName val="0"/>
          <c:showPercent val="0"/>
          <c:showBubbleSize val="0"/>
        </c:dLbls>
        <c:gapWidth val="182"/>
        <c:axId val="297499752"/>
        <c:axId val="297498968"/>
      </c:barChart>
      <c:catAx>
        <c:axId val="297499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498968"/>
        <c:crosses val="autoZero"/>
        <c:auto val="1"/>
        <c:lblAlgn val="ctr"/>
        <c:lblOffset val="100"/>
        <c:noMultiLvlLbl val="0"/>
      </c:catAx>
      <c:valAx>
        <c:axId val="297498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499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DiscountPct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StagingTable!$P$1</c:f>
              <c:strCache>
                <c:ptCount val="1"/>
                <c:pt idx="0">
                  <c:v>DiscountPct</c:v>
                </c:pt>
              </c:strCache>
            </c:strRef>
          </c:tx>
          <c:spPr>
            <a:ln w="28575" cap="rnd">
              <a:noFill/>
              <a:round/>
            </a:ln>
            <a:effectLst/>
          </c:spPr>
          <c:marker>
            <c:symbol val="circle"/>
            <c:size val="5"/>
            <c:spPr>
              <a:solidFill>
                <a:schemeClr val="accent1"/>
              </a:solidFill>
              <a:ln w="9525">
                <a:solidFill>
                  <a:schemeClr val="accent1"/>
                </a:solidFill>
              </a:ln>
              <a:effectLst/>
            </c:spPr>
          </c:marker>
          <c:dPt>
            <c:idx val="54"/>
            <c:marker>
              <c:symbol val="circle"/>
              <c:size val="5"/>
              <c:spPr>
                <a:solidFill>
                  <a:srgbClr val="FF0000"/>
                </a:solidFill>
                <a:ln w="9525">
                  <a:solidFill>
                    <a:srgbClr val="FF0000"/>
                  </a:solidFill>
                </a:ln>
                <a:effectLst/>
              </c:spPr>
            </c:marker>
            <c:bubble3D val="0"/>
          </c:dPt>
          <c:dPt>
            <c:idx val="121"/>
            <c:marker>
              <c:symbol val="circle"/>
              <c:size val="5"/>
              <c:spPr>
                <a:solidFill>
                  <a:srgbClr val="FF0000"/>
                </a:solidFill>
                <a:ln w="9525">
                  <a:solidFill>
                    <a:srgbClr val="FF0000"/>
                  </a:solidFill>
                </a:ln>
                <a:effectLst/>
              </c:spPr>
            </c:marker>
            <c:bubble3D val="0"/>
            <c:spPr>
              <a:ln w="19050" cap="rnd">
                <a:noFill/>
                <a:round/>
              </a:ln>
              <a:effectLst/>
            </c:spPr>
          </c:dPt>
          <c:dPt>
            <c:idx val="297"/>
            <c:marker>
              <c:symbol val="circle"/>
              <c:size val="5"/>
              <c:spPr>
                <a:solidFill>
                  <a:srgbClr val="FF0000"/>
                </a:solidFill>
                <a:ln w="9525">
                  <a:solidFill>
                    <a:srgbClr val="FF0000"/>
                  </a:solidFill>
                </a:ln>
                <a:effectLst/>
              </c:spPr>
            </c:marker>
            <c:bubble3D val="0"/>
          </c:dPt>
          <c:dPt>
            <c:idx val="367"/>
            <c:marker>
              <c:symbol val="circle"/>
              <c:size val="5"/>
              <c:spPr>
                <a:solidFill>
                  <a:srgbClr val="FF0000"/>
                </a:solidFill>
                <a:ln w="9525">
                  <a:solidFill>
                    <a:srgbClr val="FF0000"/>
                  </a:solidFill>
                </a:ln>
                <a:effectLst/>
              </c:spPr>
            </c:marker>
            <c:bubble3D val="0"/>
          </c:dPt>
          <c:dPt>
            <c:idx val="395"/>
            <c:marker>
              <c:symbol val="circle"/>
              <c:size val="5"/>
              <c:spPr>
                <a:solidFill>
                  <a:srgbClr val="FF0000"/>
                </a:solidFill>
                <a:ln w="9525">
                  <a:solidFill>
                    <a:srgbClr val="FF0000"/>
                  </a:solidFill>
                </a:ln>
                <a:effectLst/>
              </c:spPr>
            </c:marker>
            <c:bubble3D val="0"/>
          </c:dPt>
          <c:dPt>
            <c:idx val="420"/>
            <c:marker>
              <c:symbol val="circle"/>
              <c:size val="5"/>
              <c:spPr>
                <a:solidFill>
                  <a:srgbClr val="FF0000"/>
                </a:solidFill>
                <a:ln w="9525">
                  <a:solidFill>
                    <a:srgbClr val="FF0000"/>
                  </a:solidFill>
                </a:ln>
                <a:effectLst/>
              </c:spPr>
            </c:marker>
            <c:bubble3D val="0"/>
          </c:dPt>
          <c:dPt>
            <c:idx val="489"/>
            <c:marker>
              <c:symbol val="circle"/>
              <c:size val="5"/>
              <c:spPr>
                <a:solidFill>
                  <a:srgbClr val="FF0000"/>
                </a:solidFill>
                <a:ln w="9525">
                  <a:solidFill>
                    <a:srgbClr val="FF0000"/>
                  </a:solidFill>
                </a:ln>
                <a:effectLst/>
              </c:spPr>
            </c:marker>
            <c:bubble3D val="0"/>
          </c:dPt>
          <c:yVal>
            <c:numRef>
              <c:f>StagingTable!$P$2:$P$634</c:f>
              <c:numCache>
                <c:formatCode>0.00%</c:formatCode>
                <c:ptCount val="633"/>
                <c:pt idx="0">
                  <c:v>0.22600000000000001</c:v>
                </c:pt>
                <c:pt idx="1">
                  <c:v>7.0000000000000001E-3</c:v>
                </c:pt>
                <c:pt idx="2">
                  <c:v>0.108</c:v>
                </c:pt>
                <c:pt idx="3">
                  <c:v>0.17499999999999999</c:v>
                </c:pt>
                <c:pt idx="4">
                  <c:v>4.2000000000000003E-2</c:v>
                </c:pt>
                <c:pt idx="5">
                  <c:v>0.01</c:v>
                </c:pt>
                <c:pt idx="6">
                  <c:v>0.14199999999999999</c:v>
                </c:pt>
                <c:pt idx="7">
                  <c:v>9.6000000000000002E-2</c:v>
                </c:pt>
                <c:pt idx="8">
                  <c:v>8.2000000000000003E-2</c:v>
                </c:pt>
                <c:pt idx="9">
                  <c:v>0.129</c:v>
                </c:pt>
                <c:pt idx="10">
                  <c:v>0.11799999999999999</c:v>
                </c:pt>
                <c:pt idx="11">
                  <c:v>0.13400000000000001</c:v>
                </c:pt>
                <c:pt idx="12">
                  <c:v>0.216</c:v>
                </c:pt>
                <c:pt idx="13">
                  <c:v>0.123</c:v>
                </c:pt>
                <c:pt idx="14">
                  <c:v>0.186</c:v>
                </c:pt>
                <c:pt idx="15">
                  <c:v>0.14000000000000001</c:v>
                </c:pt>
                <c:pt idx="16">
                  <c:v>5.7000000000000002E-2</c:v>
                </c:pt>
                <c:pt idx="17">
                  <c:v>0.157</c:v>
                </c:pt>
                <c:pt idx="18">
                  <c:v>7.4999999999999997E-2</c:v>
                </c:pt>
                <c:pt idx="19">
                  <c:v>0.184</c:v>
                </c:pt>
                <c:pt idx="20">
                  <c:v>0</c:v>
                </c:pt>
                <c:pt idx="21">
                  <c:v>0.14699999999999999</c:v>
                </c:pt>
                <c:pt idx="22">
                  <c:v>0</c:v>
                </c:pt>
                <c:pt idx="23">
                  <c:v>0.13500000000000001</c:v>
                </c:pt>
                <c:pt idx="24">
                  <c:v>0.17599999999999999</c:v>
                </c:pt>
                <c:pt idx="25">
                  <c:v>0.21</c:v>
                </c:pt>
                <c:pt idx="26">
                  <c:v>0.13200000000000001</c:v>
                </c:pt>
                <c:pt idx="27">
                  <c:v>0.17</c:v>
                </c:pt>
                <c:pt idx="28">
                  <c:v>0.13300000000000001</c:v>
                </c:pt>
                <c:pt idx="29">
                  <c:v>1.2E-2</c:v>
                </c:pt>
                <c:pt idx="30">
                  <c:v>4.4999999999999998E-2</c:v>
                </c:pt>
                <c:pt idx="31">
                  <c:v>7.1999999999999995E-2</c:v>
                </c:pt>
                <c:pt idx="32">
                  <c:v>0.16800000000000001</c:v>
                </c:pt>
                <c:pt idx="33">
                  <c:v>0.17499999999999999</c:v>
                </c:pt>
                <c:pt idx="34">
                  <c:v>0.13300000000000001</c:v>
                </c:pt>
                <c:pt idx="35">
                  <c:v>0.13400000000000001</c:v>
                </c:pt>
                <c:pt idx="36">
                  <c:v>5.0999999999999997E-2</c:v>
                </c:pt>
                <c:pt idx="37">
                  <c:v>0.26600000000000001</c:v>
                </c:pt>
                <c:pt idx="38">
                  <c:v>0.159</c:v>
                </c:pt>
                <c:pt idx="39">
                  <c:v>5.7000000000000002E-2</c:v>
                </c:pt>
                <c:pt idx="40">
                  <c:v>0.128</c:v>
                </c:pt>
                <c:pt idx="41">
                  <c:v>0.19</c:v>
                </c:pt>
                <c:pt idx="42">
                  <c:v>0.111</c:v>
                </c:pt>
                <c:pt idx="43">
                  <c:v>3.2000000000000001E-2</c:v>
                </c:pt>
                <c:pt idx="44">
                  <c:v>3.5000000000000003E-2</c:v>
                </c:pt>
                <c:pt idx="45">
                  <c:v>6.3E-2</c:v>
                </c:pt>
                <c:pt idx="46">
                  <c:v>9.4E-2</c:v>
                </c:pt>
                <c:pt idx="47">
                  <c:v>7.0000000000000007E-2</c:v>
                </c:pt>
                <c:pt idx="48">
                  <c:v>0.156</c:v>
                </c:pt>
                <c:pt idx="49">
                  <c:v>0.14699999999999999</c:v>
                </c:pt>
                <c:pt idx="50">
                  <c:v>0.14199999999999999</c:v>
                </c:pt>
                <c:pt idx="51">
                  <c:v>0.186</c:v>
                </c:pt>
                <c:pt idx="52">
                  <c:v>4.1000000000000002E-2</c:v>
                </c:pt>
                <c:pt idx="53">
                  <c:v>0.109</c:v>
                </c:pt>
                <c:pt idx="54">
                  <c:v>0.34599999999999997</c:v>
                </c:pt>
                <c:pt idx="55">
                  <c:v>0.14899999999999999</c:v>
                </c:pt>
                <c:pt idx="56">
                  <c:v>0.109</c:v>
                </c:pt>
                <c:pt idx="57">
                  <c:v>0.21199999999999999</c:v>
                </c:pt>
                <c:pt idx="58">
                  <c:v>0</c:v>
                </c:pt>
                <c:pt idx="59">
                  <c:v>0</c:v>
                </c:pt>
                <c:pt idx="60">
                  <c:v>0.218</c:v>
                </c:pt>
                <c:pt idx="61">
                  <c:v>0.21199999999999999</c:v>
                </c:pt>
                <c:pt idx="62">
                  <c:v>0</c:v>
                </c:pt>
                <c:pt idx="63">
                  <c:v>8.8999999999999996E-2</c:v>
                </c:pt>
                <c:pt idx="64">
                  <c:v>0.20300000000000001</c:v>
                </c:pt>
                <c:pt idx="65">
                  <c:v>5.6000000000000001E-2</c:v>
                </c:pt>
                <c:pt idx="66">
                  <c:v>0.13700000000000001</c:v>
                </c:pt>
                <c:pt idx="67">
                  <c:v>2.8000000000000001E-2</c:v>
                </c:pt>
                <c:pt idx="68">
                  <c:v>8.7999999999999995E-2</c:v>
                </c:pt>
                <c:pt idx="69">
                  <c:v>0</c:v>
                </c:pt>
                <c:pt idx="70">
                  <c:v>0.16400000000000001</c:v>
                </c:pt>
                <c:pt idx="71">
                  <c:v>7.1999999999999995E-2</c:v>
                </c:pt>
                <c:pt idx="72">
                  <c:v>0.24099999999999999</c:v>
                </c:pt>
                <c:pt idx="73">
                  <c:v>8.8999999999999996E-2</c:v>
                </c:pt>
                <c:pt idx="74">
                  <c:v>3.2000000000000001E-2</c:v>
                </c:pt>
                <c:pt idx="75">
                  <c:v>0.20799999999999999</c:v>
                </c:pt>
                <c:pt idx="76">
                  <c:v>0.2</c:v>
                </c:pt>
                <c:pt idx="77">
                  <c:v>5.6000000000000001E-2</c:v>
                </c:pt>
                <c:pt idx="78">
                  <c:v>0.20699999999999999</c:v>
                </c:pt>
                <c:pt idx="79">
                  <c:v>0.26300000000000001</c:v>
                </c:pt>
                <c:pt idx="80">
                  <c:v>0.16900000000000001</c:v>
                </c:pt>
                <c:pt idx="81">
                  <c:v>0.22500000000000001</c:v>
                </c:pt>
                <c:pt idx="82">
                  <c:v>0.182</c:v>
                </c:pt>
                <c:pt idx="83">
                  <c:v>0.104</c:v>
                </c:pt>
                <c:pt idx="84">
                  <c:v>0.245</c:v>
                </c:pt>
                <c:pt idx="85">
                  <c:v>0.10299999999999999</c:v>
                </c:pt>
                <c:pt idx="86">
                  <c:v>0.16</c:v>
                </c:pt>
                <c:pt idx="87">
                  <c:v>2.1000000000000001E-2</c:v>
                </c:pt>
                <c:pt idx="88">
                  <c:v>0</c:v>
                </c:pt>
                <c:pt idx="89">
                  <c:v>0.106</c:v>
                </c:pt>
                <c:pt idx="90">
                  <c:v>0.29199999999999998</c:v>
                </c:pt>
                <c:pt idx="91">
                  <c:v>7.3999999999999996E-2</c:v>
                </c:pt>
                <c:pt idx="92">
                  <c:v>0.18</c:v>
                </c:pt>
                <c:pt idx="93">
                  <c:v>0.111</c:v>
                </c:pt>
                <c:pt idx="94">
                  <c:v>4.2999999999999997E-2</c:v>
                </c:pt>
                <c:pt idx="95">
                  <c:v>0.13100000000000001</c:v>
                </c:pt>
                <c:pt idx="96">
                  <c:v>5.6000000000000001E-2</c:v>
                </c:pt>
                <c:pt idx="97">
                  <c:v>5.3999999999999999E-2</c:v>
                </c:pt>
                <c:pt idx="98">
                  <c:v>0.157</c:v>
                </c:pt>
                <c:pt idx="99">
                  <c:v>0.115</c:v>
                </c:pt>
                <c:pt idx="100">
                  <c:v>4.2999999999999997E-2</c:v>
                </c:pt>
                <c:pt idx="101">
                  <c:v>0.10199999999999999</c:v>
                </c:pt>
                <c:pt idx="102">
                  <c:v>0.17199999999999999</c:v>
                </c:pt>
                <c:pt idx="103">
                  <c:v>7.1999999999999995E-2</c:v>
                </c:pt>
                <c:pt idx="104">
                  <c:v>0.17599999999999999</c:v>
                </c:pt>
                <c:pt idx="105">
                  <c:v>0.19600000000000001</c:v>
                </c:pt>
                <c:pt idx="106">
                  <c:v>0</c:v>
                </c:pt>
                <c:pt idx="107">
                  <c:v>6.9000000000000006E-2</c:v>
                </c:pt>
                <c:pt idx="108">
                  <c:v>6.4000000000000001E-2</c:v>
                </c:pt>
                <c:pt idx="109">
                  <c:v>0.19700000000000001</c:v>
                </c:pt>
                <c:pt idx="110">
                  <c:v>0.05</c:v>
                </c:pt>
                <c:pt idx="111">
                  <c:v>0.13600000000000001</c:v>
                </c:pt>
                <c:pt idx="112">
                  <c:v>0.14299999999999999</c:v>
                </c:pt>
                <c:pt idx="113">
                  <c:v>0.15</c:v>
                </c:pt>
                <c:pt idx="114">
                  <c:v>0.14799999999999999</c:v>
                </c:pt>
                <c:pt idx="115">
                  <c:v>7.0999999999999994E-2</c:v>
                </c:pt>
                <c:pt idx="116">
                  <c:v>0.161</c:v>
                </c:pt>
                <c:pt idx="117">
                  <c:v>0.151</c:v>
                </c:pt>
                <c:pt idx="118">
                  <c:v>8.4000000000000005E-2</c:v>
                </c:pt>
                <c:pt idx="119">
                  <c:v>0.14699999999999999</c:v>
                </c:pt>
                <c:pt idx="120">
                  <c:v>0.19400000000000001</c:v>
                </c:pt>
                <c:pt idx="121">
                  <c:v>0.35699999999999998</c:v>
                </c:pt>
                <c:pt idx="122">
                  <c:v>7.1999999999999995E-2</c:v>
                </c:pt>
                <c:pt idx="123">
                  <c:v>0</c:v>
                </c:pt>
                <c:pt idx="124">
                  <c:v>0.215</c:v>
                </c:pt>
                <c:pt idx="125">
                  <c:v>0.25900000000000001</c:v>
                </c:pt>
                <c:pt idx="126">
                  <c:v>0.24299999999999999</c:v>
                </c:pt>
                <c:pt idx="127">
                  <c:v>6.3E-2</c:v>
                </c:pt>
                <c:pt idx="128">
                  <c:v>0.27200000000000002</c:v>
                </c:pt>
                <c:pt idx="129">
                  <c:v>0.154</c:v>
                </c:pt>
                <c:pt idx="130">
                  <c:v>0.02</c:v>
                </c:pt>
                <c:pt idx="131">
                  <c:v>0.13300000000000001</c:v>
                </c:pt>
                <c:pt idx="132">
                  <c:v>0</c:v>
                </c:pt>
                <c:pt idx="133">
                  <c:v>0</c:v>
                </c:pt>
                <c:pt idx="134">
                  <c:v>6.6000000000000003E-2</c:v>
                </c:pt>
                <c:pt idx="135">
                  <c:v>0.214</c:v>
                </c:pt>
                <c:pt idx="136">
                  <c:v>0.128</c:v>
                </c:pt>
                <c:pt idx="137">
                  <c:v>0.16900000000000001</c:v>
                </c:pt>
                <c:pt idx="138">
                  <c:v>6.3E-2</c:v>
                </c:pt>
                <c:pt idx="139">
                  <c:v>4.0000000000000001E-3</c:v>
                </c:pt>
                <c:pt idx="140">
                  <c:v>0.02</c:v>
                </c:pt>
                <c:pt idx="141">
                  <c:v>7.1999999999999995E-2</c:v>
                </c:pt>
                <c:pt idx="142">
                  <c:v>0</c:v>
                </c:pt>
                <c:pt idx="143">
                  <c:v>8.9999999999999993E-3</c:v>
                </c:pt>
                <c:pt idx="144">
                  <c:v>4.7E-2</c:v>
                </c:pt>
                <c:pt idx="145">
                  <c:v>0</c:v>
                </c:pt>
                <c:pt idx="146">
                  <c:v>0.187</c:v>
                </c:pt>
                <c:pt idx="147">
                  <c:v>0</c:v>
                </c:pt>
                <c:pt idx="148">
                  <c:v>0.217</c:v>
                </c:pt>
                <c:pt idx="149">
                  <c:v>0.10100000000000001</c:v>
                </c:pt>
                <c:pt idx="150">
                  <c:v>9.5000000000000001E-2</c:v>
                </c:pt>
                <c:pt idx="151">
                  <c:v>0.13600000000000001</c:v>
                </c:pt>
                <c:pt idx="152">
                  <c:v>9.9000000000000005E-2</c:v>
                </c:pt>
                <c:pt idx="153">
                  <c:v>7.3999999999999996E-2</c:v>
                </c:pt>
                <c:pt idx="154">
                  <c:v>9.1999999999999998E-2</c:v>
                </c:pt>
                <c:pt idx="155">
                  <c:v>0.18099999999999999</c:v>
                </c:pt>
                <c:pt idx="156">
                  <c:v>0.17299999999999999</c:v>
                </c:pt>
                <c:pt idx="157">
                  <c:v>8.8999999999999996E-2</c:v>
                </c:pt>
                <c:pt idx="158">
                  <c:v>0.10299999999999999</c:v>
                </c:pt>
                <c:pt idx="159">
                  <c:v>0</c:v>
                </c:pt>
                <c:pt idx="160">
                  <c:v>9.4E-2</c:v>
                </c:pt>
                <c:pt idx="161">
                  <c:v>9.8000000000000004E-2</c:v>
                </c:pt>
                <c:pt idx="162">
                  <c:v>0.121</c:v>
                </c:pt>
                <c:pt idx="163">
                  <c:v>2.5000000000000001E-2</c:v>
                </c:pt>
                <c:pt idx="164">
                  <c:v>0.14899999999999999</c:v>
                </c:pt>
                <c:pt idx="165">
                  <c:v>0.126</c:v>
                </c:pt>
                <c:pt idx="166">
                  <c:v>0.17100000000000001</c:v>
                </c:pt>
                <c:pt idx="167">
                  <c:v>0.13800000000000001</c:v>
                </c:pt>
                <c:pt idx="168">
                  <c:v>0.188</c:v>
                </c:pt>
                <c:pt idx="169">
                  <c:v>0.222</c:v>
                </c:pt>
                <c:pt idx="170">
                  <c:v>6.9000000000000006E-2</c:v>
                </c:pt>
                <c:pt idx="171">
                  <c:v>5.8000000000000003E-2</c:v>
                </c:pt>
                <c:pt idx="172">
                  <c:v>0.17399999999999999</c:v>
                </c:pt>
                <c:pt idx="173">
                  <c:v>0.154</c:v>
                </c:pt>
                <c:pt idx="174">
                  <c:v>0</c:v>
                </c:pt>
                <c:pt idx="175">
                  <c:v>1.7999999999999999E-2</c:v>
                </c:pt>
                <c:pt idx="176">
                  <c:v>0</c:v>
                </c:pt>
                <c:pt idx="177">
                  <c:v>0.11899999999999999</c:v>
                </c:pt>
                <c:pt idx="178">
                  <c:v>0.13500000000000001</c:v>
                </c:pt>
                <c:pt idx="179">
                  <c:v>0.158</c:v>
                </c:pt>
                <c:pt idx="180">
                  <c:v>0</c:v>
                </c:pt>
                <c:pt idx="181">
                  <c:v>0.23899999999999999</c:v>
                </c:pt>
                <c:pt idx="182">
                  <c:v>0.254</c:v>
                </c:pt>
                <c:pt idx="183">
                  <c:v>0.18</c:v>
                </c:pt>
                <c:pt idx="184">
                  <c:v>5.8000000000000003E-2</c:v>
                </c:pt>
                <c:pt idx="185">
                  <c:v>0.126</c:v>
                </c:pt>
                <c:pt idx="186">
                  <c:v>0.105</c:v>
                </c:pt>
                <c:pt idx="187">
                  <c:v>0</c:v>
                </c:pt>
                <c:pt idx="188">
                  <c:v>4.7E-2</c:v>
                </c:pt>
                <c:pt idx="189">
                  <c:v>0.19700000000000001</c:v>
                </c:pt>
                <c:pt idx="190">
                  <c:v>0.129</c:v>
                </c:pt>
                <c:pt idx="191">
                  <c:v>0.186</c:v>
                </c:pt>
                <c:pt idx="192">
                  <c:v>0</c:v>
                </c:pt>
                <c:pt idx="193">
                  <c:v>9.1999999999999998E-2</c:v>
                </c:pt>
                <c:pt idx="194">
                  <c:v>0.109</c:v>
                </c:pt>
                <c:pt idx="195">
                  <c:v>0.21099999999999999</c:v>
                </c:pt>
                <c:pt idx="196">
                  <c:v>0.182</c:v>
                </c:pt>
                <c:pt idx="197">
                  <c:v>0</c:v>
                </c:pt>
                <c:pt idx="198">
                  <c:v>8.7999999999999995E-2</c:v>
                </c:pt>
                <c:pt idx="199">
                  <c:v>0.13900000000000001</c:v>
                </c:pt>
                <c:pt idx="200">
                  <c:v>3.7999999999999999E-2</c:v>
                </c:pt>
                <c:pt idx="201">
                  <c:v>0.114</c:v>
                </c:pt>
                <c:pt idx="202">
                  <c:v>0.2</c:v>
                </c:pt>
                <c:pt idx="203">
                  <c:v>8.4000000000000005E-2</c:v>
                </c:pt>
                <c:pt idx="204">
                  <c:v>0.09</c:v>
                </c:pt>
                <c:pt idx="205">
                  <c:v>7.4999999999999997E-2</c:v>
                </c:pt>
                <c:pt idx="206">
                  <c:v>0.08</c:v>
                </c:pt>
                <c:pt idx="207">
                  <c:v>7.0999999999999994E-2</c:v>
                </c:pt>
                <c:pt idx="208">
                  <c:v>0.20499999999999999</c:v>
                </c:pt>
                <c:pt idx="209">
                  <c:v>0.17399999999999999</c:v>
                </c:pt>
                <c:pt idx="210">
                  <c:v>0.13200000000000001</c:v>
                </c:pt>
                <c:pt idx="211">
                  <c:v>0.19600000000000001</c:v>
                </c:pt>
                <c:pt idx="212">
                  <c:v>8.8999999999999996E-2</c:v>
                </c:pt>
                <c:pt idx="213">
                  <c:v>0.186</c:v>
                </c:pt>
                <c:pt idx="214">
                  <c:v>5.2999999999999999E-2</c:v>
                </c:pt>
                <c:pt idx="215">
                  <c:v>0.29199999999999998</c:v>
                </c:pt>
                <c:pt idx="216">
                  <c:v>0.123</c:v>
                </c:pt>
                <c:pt idx="217">
                  <c:v>0.16500000000000001</c:v>
                </c:pt>
                <c:pt idx="218">
                  <c:v>0.112</c:v>
                </c:pt>
                <c:pt idx="219">
                  <c:v>0.155</c:v>
                </c:pt>
                <c:pt idx="220">
                  <c:v>0.02</c:v>
                </c:pt>
                <c:pt idx="221">
                  <c:v>2.9000000000000001E-2</c:v>
                </c:pt>
                <c:pt idx="222">
                  <c:v>4.0000000000000001E-3</c:v>
                </c:pt>
                <c:pt idx="223">
                  <c:v>3.2000000000000001E-2</c:v>
                </c:pt>
                <c:pt idx="224">
                  <c:v>0.115</c:v>
                </c:pt>
                <c:pt idx="225">
                  <c:v>0.14399999999999999</c:v>
                </c:pt>
                <c:pt idx="226">
                  <c:v>0.125</c:v>
                </c:pt>
                <c:pt idx="227">
                  <c:v>0.113</c:v>
                </c:pt>
                <c:pt idx="228">
                  <c:v>6.2E-2</c:v>
                </c:pt>
                <c:pt idx="229">
                  <c:v>0.155</c:v>
                </c:pt>
                <c:pt idx="230">
                  <c:v>0.22600000000000001</c:v>
                </c:pt>
                <c:pt idx="231">
                  <c:v>6.0000000000000001E-3</c:v>
                </c:pt>
                <c:pt idx="232">
                  <c:v>0.17699999999999999</c:v>
                </c:pt>
                <c:pt idx="233">
                  <c:v>0.152</c:v>
                </c:pt>
                <c:pt idx="234">
                  <c:v>0.24299999999999999</c:v>
                </c:pt>
                <c:pt idx="235">
                  <c:v>6.8000000000000005E-2</c:v>
                </c:pt>
                <c:pt idx="236">
                  <c:v>0.13900000000000001</c:v>
                </c:pt>
                <c:pt idx="237">
                  <c:v>0</c:v>
                </c:pt>
                <c:pt idx="238">
                  <c:v>3.4000000000000002E-2</c:v>
                </c:pt>
                <c:pt idx="239">
                  <c:v>0.13800000000000001</c:v>
                </c:pt>
                <c:pt idx="240">
                  <c:v>7.5999999999999998E-2</c:v>
                </c:pt>
                <c:pt idx="241">
                  <c:v>7.2999999999999995E-2</c:v>
                </c:pt>
                <c:pt idx="242">
                  <c:v>4.2999999999999997E-2</c:v>
                </c:pt>
                <c:pt idx="243">
                  <c:v>3.6999999999999998E-2</c:v>
                </c:pt>
                <c:pt idx="244">
                  <c:v>0.115</c:v>
                </c:pt>
                <c:pt idx="245">
                  <c:v>0.23799999999999999</c:v>
                </c:pt>
                <c:pt idx="246">
                  <c:v>0.14699999999999999</c:v>
                </c:pt>
                <c:pt idx="247">
                  <c:v>0.01</c:v>
                </c:pt>
                <c:pt idx="248">
                  <c:v>0.184</c:v>
                </c:pt>
                <c:pt idx="249">
                  <c:v>0.127</c:v>
                </c:pt>
                <c:pt idx="250">
                  <c:v>4.2000000000000003E-2</c:v>
                </c:pt>
                <c:pt idx="251">
                  <c:v>0.122</c:v>
                </c:pt>
                <c:pt idx="252">
                  <c:v>4.5999999999999999E-2</c:v>
                </c:pt>
                <c:pt idx="253">
                  <c:v>0.13400000000000001</c:v>
                </c:pt>
                <c:pt idx="254">
                  <c:v>0.151</c:v>
                </c:pt>
                <c:pt idx="255">
                  <c:v>5.2999999999999999E-2</c:v>
                </c:pt>
                <c:pt idx="256">
                  <c:v>0.14599999999999999</c:v>
                </c:pt>
                <c:pt idx="257">
                  <c:v>0.113</c:v>
                </c:pt>
                <c:pt idx="258">
                  <c:v>0.23</c:v>
                </c:pt>
                <c:pt idx="259">
                  <c:v>0.151</c:v>
                </c:pt>
                <c:pt idx="260">
                  <c:v>0.20499999999999999</c:v>
                </c:pt>
                <c:pt idx="261">
                  <c:v>0.10299999999999999</c:v>
                </c:pt>
                <c:pt idx="262">
                  <c:v>0.23300000000000001</c:v>
                </c:pt>
                <c:pt idx="263">
                  <c:v>0.157</c:v>
                </c:pt>
                <c:pt idx="264">
                  <c:v>0.10100000000000001</c:v>
                </c:pt>
                <c:pt idx="265">
                  <c:v>0.16900000000000001</c:v>
                </c:pt>
                <c:pt idx="266">
                  <c:v>0.11799999999999999</c:v>
                </c:pt>
                <c:pt idx="267">
                  <c:v>4.1000000000000002E-2</c:v>
                </c:pt>
                <c:pt idx="268">
                  <c:v>0</c:v>
                </c:pt>
                <c:pt idx="269">
                  <c:v>0.1</c:v>
                </c:pt>
                <c:pt idx="270">
                  <c:v>0.20899999999999999</c:v>
                </c:pt>
                <c:pt idx="271">
                  <c:v>0.19</c:v>
                </c:pt>
                <c:pt idx="272">
                  <c:v>8.2000000000000003E-2</c:v>
                </c:pt>
                <c:pt idx="273">
                  <c:v>0.16500000000000001</c:v>
                </c:pt>
                <c:pt idx="274">
                  <c:v>0.27</c:v>
                </c:pt>
                <c:pt idx="275">
                  <c:v>0.114</c:v>
                </c:pt>
                <c:pt idx="276">
                  <c:v>8.5999999999999993E-2</c:v>
                </c:pt>
                <c:pt idx="277">
                  <c:v>0.157</c:v>
                </c:pt>
                <c:pt idx="278">
                  <c:v>0.17299999999999999</c:v>
                </c:pt>
                <c:pt idx="279">
                  <c:v>0.185</c:v>
                </c:pt>
                <c:pt idx="280">
                  <c:v>0.13800000000000001</c:v>
                </c:pt>
                <c:pt idx="281">
                  <c:v>0.114</c:v>
                </c:pt>
                <c:pt idx="282">
                  <c:v>0.23499999999999999</c:v>
                </c:pt>
                <c:pt idx="283">
                  <c:v>7.0999999999999994E-2</c:v>
                </c:pt>
                <c:pt idx="284">
                  <c:v>0.113</c:v>
                </c:pt>
                <c:pt idx="285">
                  <c:v>0.159</c:v>
                </c:pt>
                <c:pt idx="286">
                  <c:v>0.12</c:v>
                </c:pt>
                <c:pt idx="287">
                  <c:v>4.2000000000000003E-2</c:v>
                </c:pt>
                <c:pt idx="288">
                  <c:v>0.14000000000000001</c:v>
                </c:pt>
                <c:pt idx="289">
                  <c:v>0.03</c:v>
                </c:pt>
                <c:pt idx="290">
                  <c:v>0.26100000000000001</c:v>
                </c:pt>
                <c:pt idx="291">
                  <c:v>0.17299999999999999</c:v>
                </c:pt>
                <c:pt idx="292">
                  <c:v>0.14799999999999999</c:v>
                </c:pt>
                <c:pt idx="293">
                  <c:v>7.0999999999999994E-2</c:v>
                </c:pt>
                <c:pt idx="294">
                  <c:v>4.2000000000000003E-2</c:v>
                </c:pt>
                <c:pt idx="295">
                  <c:v>7.1999999999999995E-2</c:v>
                </c:pt>
                <c:pt idx="296">
                  <c:v>0.192</c:v>
                </c:pt>
                <c:pt idx="297">
                  <c:v>0.314</c:v>
                </c:pt>
                <c:pt idx="298">
                  <c:v>2.5000000000000001E-2</c:v>
                </c:pt>
                <c:pt idx="299">
                  <c:v>0.13400000000000001</c:v>
                </c:pt>
                <c:pt idx="300">
                  <c:v>0.29499999999999998</c:v>
                </c:pt>
                <c:pt idx="301">
                  <c:v>0.255</c:v>
                </c:pt>
                <c:pt idx="302">
                  <c:v>0.108</c:v>
                </c:pt>
                <c:pt idx="303">
                  <c:v>0.245</c:v>
                </c:pt>
                <c:pt idx="304">
                  <c:v>7.6999999999999999E-2</c:v>
                </c:pt>
                <c:pt idx="305">
                  <c:v>0.113</c:v>
                </c:pt>
                <c:pt idx="306">
                  <c:v>8.6999999999999994E-2</c:v>
                </c:pt>
                <c:pt idx="307">
                  <c:v>0.14699999999999999</c:v>
                </c:pt>
                <c:pt idx="308">
                  <c:v>0</c:v>
                </c:pt>
                <c:pt idx="309">
                  <c:v>0.17399999999999999</c:v>
                </c:pt>
                <c:pt idx="310">
                  <c:v>0.19600000000000001</c:v>
                </c:pt>
                <c:pt idx="311">
                  <c:v>0.105</c:v>
                </c:pt>
                <c:pt idx="312">
                  <c:v>6.4000000000000001E-2</c:v>
                </c:pt>
                <c:pt idx="313">
                  <c:v>0.14499999999999999</c:v>
                </c:pt>
                <c:pt idx="314">
                  <c:v>0.17499999999999999</c:v>
                </c:pt>
                <c:pt idx="315">
                  <c:v>0.104</c:v>
                </c:pt>
                <c:pt idx="316">
                  <c:v>0.114</c:v>
                </c:pt>
                <c:pt idx="317">
                  <c:v>0.09</c:v>
                </c:pt>
                <c:pt idx="318">
                  <c:v>0.14399999999999999</c:v>
                </c:pt>
                <c:pt idx="319">
                  <c:v>0.113</c:v>
                </c:pt>
                <c:pt idx="320">
                  <c:v>0.14599999999999999</c:v>
                </c:pt>
                <c:pt idx="321">
                  <c:v>0</c:v>
                </c:pt>
                <c:pt idx="322">
                  <c:v>0.16800000000000001</c:v>
                </c:pt>
                <c:pt idx="323">
                  <c:v>0.157</c:v>
                </c:pt>
                <c:pt idx="324">
                  <c:v>0.14000000000000001</c:v>
                </c:pt>
                <c:pt idx="325">
                  <c:v>0.14699999999999999</c:v>
                </c:pt>
                <c:pt idx="326">
                  <c:v>0.10299999999999999</c:v>
                </c:pt>
                <c:pt idx="327">
                  <c:v>0.14099999999999999</c:v>
                </c:pt>
                <c:pt idx="328">
                  <c:v>0.22</c:v>
                </c:pt>
                <c:pt idx="329">
                  <c:v>6.6000000000000003E-2</c:v>
                </c:pt>
                <c:pt idx="330">
                  <c:v>0.107</c:v>
                </c:pt>
                <c:pt idx="331">
                  <c:v>0.13100000000000001</c:v>
                </c:pt>
                <c:pt idx="332">
                  <c:v>0.13400000000000001</c:v>
                </c:pt>
                <c:pt idx="333">
                  <c:v>0.157</c:v>
                </c:pt>
                <c:pt idx="334">
                  <c:v>0.151</c:v>
                </c:pt>
                <c:pt idx="335">
                  <c:v>0.13900000000000001</c:v>
                </c:pt>
                <c:pt idx="336">
                  <c:v>0</c:v>
                </c:pt>
                <c:pt idx="337">
                  <c:v>0.02</c:v>
                </c:pt>
                <c:pt idx="338">
                  <c:v>0.184</c:v>
                </c:pt>
                <c:pt idx="339">
                  <c:v>0.10199999999999999</c:v>
                </c:pt>
                <c:pt idx="340">
                  <c:v>7.3999999999999996E-2</c:v>
                </c:pt>
                <c:pt idx="341">
                  <c:v>7.5999999999999998E-2</c:v>
                </c:pt>
                <c:pt idx="342">
                  <c:v>6.8000000000000005E-2</c:v>
                </c:pt>
                <c:pt idx="343">
                  <c:v>3.7999999999999999E-2</c:v>
                </c:pt>
                <c:pt idx="344">
                  <c:v>0.20100000000000001</c:v>
                </c:pt>
                <c:pt idx="345">
                  <c:v>0.105</c:v>
                </c:pt>
                <c:pt idx="346">
                  <c:v>0.10299999999999999</c:v>
                </c:pt>
                <c:pt idx="347">
                  <c:v>7.0999999999999994E-2</c:v>
                </c:pt>
                <c:pt idx="348">
                  <c:v>0.254</c:v>
                </c:pt>
                <c:pt idx="349">
                  <c:v>0.192</c:v>
                </c:pt>
                <c:pt idx="350">
                  <c:v>0.111</c:v>
                </c:pt>
                <c:pt idx="351">
                  <c:v>0.17899999999999999</c:v>
                </c:pt>
                <c:pt idx="352">
                  <c:v>0.24099999999999999</c:v>
                </c:pt>
                <c:pt idx="353">
                  <c:v>0.125</c:v>
                </c:pt>
                <c:pt idx="354">
                  <c:v>9.0999999999999998E-2</c:v>
                </c:pt>
                <c:pt idx="355">
                  <c:v>0.16300000000000001</c:v>
                </c:pt>
                <c:pt idx="356">
                  <c:v>0.187</c:v>
                </c:pt>
                <c:pt idx="357">
                  <c:v>0</c:v>
                </c:pt>
                <c:pt idx="358">
                  <c:v>0.185</c:v>
                </c:pt>
                <c:pt idx="359">
                  <c:v>5.2999999999999999E-2</c:v>
                </c:pt>
                <c:pt idx="360">
                  <c:v>0.24099999999999999</c:v>
                </c:pt>
                <c:pt idx="361">
                  <c:v>0.25</c:v>
                </c:pt>
                <c:pt idx="362">
                  <c:v>0.153</c:v>
                </c:pt>
                <c:pt idx="363">
                  <c:v>0.19600000000000001</c:v>
                </c:pt>
                <c:pt idx="364">
                  <c:v>0.17299999999999999</c:v>
                </c:pt>
                <c:pt idx="365">
                  <c:v>0.187</c:v>
                </c:pt>
                <c:pt idx="366">
                  <c:v>8.1000000000000003E-2</c:v>
                </c:pt>
                <c:pt idx="367">
                  <c:v>0.317</c:v>
                </c:pt>
                <c:pt idx="368">
                  <c:v>8.9999999999999993E-3</c:v>
                </c:pt>
                <c:pt idx="369">
                  <c:v>0.08</c:v>
                </c:pt>
                <c:pt idx="370">
                  <c:v>2.9000000000000001E-2</c:v>
                </c:pt>
                <c:pt idx="371">
                  <c:v>7.3999999999999996E-2</c:v>
                </c:pt>
                <c:pt idx="372">
                  <c:v>0.13500000000000001</c:v>
                </c:pt>
                <c:pt idx="373">
                  <c:v>0.15</c:v>
                </c:pt>
                <c:pt idx="374">
                  <c:v>9.8000000000000004E-2</c:v>
                </c:pt>
                <c:pt idx="375">
                  <c:v>0.115</c:v>
                </c:pt>
                <c:pt idx="376">
                  <c:v>8.3000000000000004E-2</c:v>
                </c:pt>
                <c:pt idx="377">
                  <c:v>0.25700000000000001</c:v>
                </c:pt>
                <c:pt idx="378">
                  <c:v>0.13600000000000001</c:v>
                </c:pt>
                <c:pt idx="379">
                  <c:v>0.183</c:v>
                </c:pt>
                <c:pt idx="380">
                  <c:v>0.11</c:v>
                </c:pt>
                <c:pt idx="381">
                  <c:v>0.107</c:v>
                </c:pt>
                <c:pt idx="382">
                  <c:v>0.24299999999999999</c:v>
                </c:pt>
                <c:pt idx="383">
                  <c:v>4.1000000000000002E-2</c:v>
                </c:pt>
                <c:pt idx="384">
                  <c:v>0.13100000000000001</c:v>
                </c:pt>
                <c:pt idx="385">
                  <c:v>0.189</c:v>
                </c:pt>
                <c:pt idx="386">
                  <c:v>0.151</c:v>
                </c:pt>
                <c:pt idx="387">
                  <c:v>0.26500000000000001</c:v>
                </c:pt>
                <c:pt idx="388">
                  <c:v>0</c:v>
                </c:pt>
                <c:pt idx="389">
                  <c:v>0</c:v>
                </c:pt>
                <c:pt idx="390">
                  <c:v>7.3999999999999996E-2</c:v>
                </c:pt>
                <c:pt idx="391">
                  <c:v>0.13700000000000001</c:v>
                </c:pt>
                <c:pt idx="392">
                  <c:v>4.9000000000000002E-2</c:v>
                </c:pt>
                <c:pt idx="393">
                  <c:v>0.109</c:v>
                </c:pt>
                <c:pt idx="394">
                  <c:v>0</c:v>
                </c:pt>
                <c:pt idx="395">
                  <c:v>0.56499999999999995</c:v>
                </c:pt>
                <c:pt idx="396">
                  <c:v>0</c:v>
                </c:pt>
                <c:pt idx="397">
                  <c:v>0.16500000000000001</c:v>
                </c:pt>
                <c:pt idx="398">
                  <c:v>0</c:v>
                </c:pt>
                <c:pt idx="399">
                  <c:v>0.184</c:v>
                </c:pt>
                <c:pt idx="400">
                  <c:v>0.20300000000000001</c:v>
                </c:pt>
                <c:pt idx="401">
                  <c:v>0.126</c:v>
                </c:pt>
                <c:pt idx="402">
                  <c:v>0.126</c:v>
                </c:pt>
                <c:pt idx="403">
                  <c:v>5.0999999999999997E-2</c:v>
                </c:pt>
                <c:pt idx="404">
                  <c:v>0.13600000000000001</c:v>
                </c:pt>
                <c:pt idx="405">
                  <c:v>0.112</c:v>
                </c:pt>
                <c:pt idx="406">
                  <c:v>0.22500000000000001</c:v>
                </c:pt>
                <c:pt idx="407">
                  <c:v>9.4E-2</c:v>
                </c:pt>
                <c:pt idx="408">
                  <c:v>0.122</c:v>
                </c:pt>
                <c:pt idx="409">
                  <c:v>0.192</c:v>
                </c:pt>
                <c:pt idx="410">
                  <c:v>0.22900000000000001</c:v>
                </c:pt>
                <c:pt idx="411">
                  <c:v>5.8999999999999997E-2</c:v>
                </c:pt>
                <c:pt idx="412">
                  <c:v>0.08</c:v>
                </c:pt>
                <c:pt idx="413">
                  <c:v>2.1999999999999999E-2</c:v>
                </c:pt>
                <c:pt idx="414">
                  <c:v>7.2999999999999995E-2</c:v>
                </c:pt>
                <c:pt idx="415">
                  <c:v>0.125</c:v>
                </c:pt>
                <c:pt idx="416">
                  <c:v>7.1999999999999995E-2</c:v>
                </c:pt>
                <c:pt idx="417">
                  <c:v>0.14099999999999999</c:v>
                </c:pt>
                <c:pt idx="418">
                  <c:v>0.20300000000000001</c:v>
                </c:pt>
                <c:pt idx="419">
                  <c:v>0.126</c:v>
                </c:pt>
                <c:pt idx="420">
                  <c:v>0.318</c:v>
                </c:pt>
                <c:pt idx="421">
                  <c:v>0</c:v>
                </c:pt>
                <c:pt idx="422">
                  <c:v>0.11</c:v>
                </c:pt>
                <c:pt idx="423">
                  <c:v>0.21099999999999999</c:v>
                </c:pt>
                <c:pt idx="424">
                  <c:v>0.16300000000000001</c:v>
                </c:pt>
                <c:pt idx="425">
                  <c:v>5.5E-2</c:v>
                </c:pt>
                <c:pt idx="426">
                  <c:v>0.14799999999999999</c:v>
                </c:pt>
                <c:pt idx="427">
                  <c:v>0</c:v>
                </c:pt>
                <c:pt idx="428">
                  <c:v>8.6999999999999994E-2</c:v>
                </c:pt>
                <c:pt idx="429">
                  <c:v>0</c:v>
                </c:pt>
                <c:pt idx="430">
                  <c:v>2.5000000000000001E-2</c:v>
                </c:pt>
                <c:pt idx="431">
                  <c:v>0.20499999999999999</c:v>
                </c:pt>
                <c:pt idx="432">
                  <c:v>0.13200000000000001</c:v>
                </c:pt>
                <c:pt idx="433">
                  <c:v>0.113</c:v>
                </c:pt>
                <c:pt idx="434">
                  <c:v>0.188</c:v>
                </c:pt>
                <c:pt idx="435">
                  <c:v>5.5E-2</c:v>
                </c:pt>
                <c:pt idx="436">
                  <c:v>0.16</c:v>
                </c:pt>
                <c:pt idx="437">
                  <c:v>0.185</c:v>
                </c:pt>
                <c:pt idx="438">
                  <c:v>0.19400000000000001</c:v>
                </c:pt>
                <c:pt idx="439">
                  <c:v>5.8999999999999997E-2</c:v>
                </c:pt>
                <c:pt idx="440">
                  <c:v>0.107</c:v>
                </c:pt>
                <c:pt idx="441">
                  <c:v>4.9000000000000002E-2</c:v>
                </c:pt>
                <c:pt idx="442">
                  <c:v>0</c:v>
                </c:pt>
                <c:pt idx="443">
                  <c:v>0.107</c:v>
                </c:pt>
                <c:pt idx="444">
                  <c:v>7.8E-2</c:v>
                </c:pt>
                <c:pt idx="445">
                  <c:v>0</c:v>
                </c:pt>
                <c:pt idx="446">
                  <c:v>1.4E-2</c:v>
                </c:pt>
                <c:pt idx="447">
                  <c:v>3.9E-2</c:v>
                </c:pt>
                <c:pt idx="448">
                  <c:v>0.24</c:v>
                </c:pt>
                <c:pt idx="449">
                  <c:v>0.10100000000000001</c:v>
                </c:pt>
                <c:pt idx="450">
                  <c:v>8.3000000000000004E-2</c:v>
                </c:pt>
                <c:pt idx="451">
                  <c:v>4.0000000000000001E-3</c:v>
                </c:pt>
                <c:pt idx="452">
                  <c:v>0.14399999999999999</c:v>
                </c:pt>
                <c:pt idx="453">
                  <c:v>0.16700000000000001</c:v>
                </c:pt>
                <c:pt idx="454">
                  <c:v>9.2999999999999999E-2</c:v>
                </c:pt>
                <c:pt idx="455">
                  <c:v>0.123</c:v>
                </c:pt>
                <c:pt idx="456">
                  <c:v>0.17499999999999999</c:v>
                </c:pt>
                <c:pt idx="457">
                  <c:v>0</c:v>
                </c:pt>
                <c:pt idx="458">
                  <c:v>3.1E-2</c:v>
                </c:pt>
                <c:pt idx="459">
                  <c:v>0.127</c:v>
                </c:pt>
                <c:pt idx="460">
                  <c:v>0</c:v>
                </c:pt>
                <c:pt idx="461">
                  <c:v>0.216</c:v>
                </c:pt>
                <c:pt idx="462">
                  <c:v>0.22900000000000001</c:v>
                </c:pt>
                <c:pt idx="463">
                  <c:v>0.11600000000000001</c:v>
                </c:pt>
                <c:pt idx="464">
                  <c:v>9.9000000000000005E-2</c:v>
                </c:pt>
                <c:pt idx="465">
                  <c:v>0.187</c:v>
                </c:pt>
                <c:pt idx="466">
                  <c:v>0.153</c:v>
                </c:pt>
                <c:pt idx="467">
                  <c:v>0.23699999999999999</c:v>
                </c:pt>
                <c:pt idx="468">
                  <c:v>5.8999999999999997E-2</c:v>
                </c:pt>
                <c:pt idx="469">
                  <c:v>0.13500000000000001</c:v>
                </c:pt>
                <c:pt idx="470">
                  <c:v>0.13800000000000001</c:v>
                </c:pt>
                <c:pt idx="471">
                  <c:v>0.14199999999999999</c:v>
                </c:pt>
                <c:pt idx="472">
                  <c:v>0.1</c:v>
                </c:pt>
                <c:pt idx="473">
                  <c:v>7.1999999999999995E-2</c:v>
                </c:pt>
                <c:pt idx="474">
                  <c:v>0.126</c:v>
                </c:pt>
                <c:pt idx="475">
                  <c:v>0.107</c:v>
                </c:pt>
                <c:pt idx="476">
                  <c:v>0.12</c:v>
                </c:pt>
                <c:pt idx="477">
                  <c:v>9.1999999999999998E-2</c:v>
                </c:pt>
                <c:pt idx="478">
                  <c:v>0.157</c:v>
                </c:pt>
                <c:pt idx="479">
                  <c:v>0.13600000000000001</c:v>
                </c:pt>
                <c:pt idx="480">
                  <c:v>0.14599999999999999</c:v>
                </c:pt>
                <c:pt idx="481">
                  <c:v>0.25</c:v>
                </c:pt>
                <c:pt idx="482">
                  <c:v>0.14000000000000001</c:v>
                </c:pt>
                <c:pt idx="483">
                  <c:v>0.161</c:v>
                </c:pt>
                <c:pt idx="484">
                  <c:v>0.13</c:v>
                </c:pt>
                <c:pt idx="485">
                  <c:v>0.13900000000000001</c:v>
                </c:pt>
                <c:pt idx="486">
                  <c:v>0.10199999999999999</c:v>
                </c:pt>
                <c:pt idx="487">
                  <c:v>0.121</c:v>
                </c:pt>
                <c:pt idx="488">
                  <c:v>0.129</c:v>
                </c:pt>
                <c:pt idx="489">
                  <c:v>0.34300000000000003</c:v>
                </c:pt>
                <c:pt idx="490">
                  <c:v>4.4999999999999998E-2</c:v>
                </c:pt>
                <c:pt idx="491">
                  <c:v>4.3999999999999997E-2</c:v>
                </c:pt>
                <c:pt idx="492">
                  <c:v>0.29899999999999999</c:v>
                </c:pt>
                <c:pt idx="493">
                  <c:v>0.192</c:v>
                </c:pt>
                <c:pt idx="494">
                  <c:v>6.6000000000000003E-2</c:v>
                </c:pt>
                <c:pt idx="495">
                  <c:v>0.20399999999999999</c:v>
                </c:pt>
                <c:pt idx="496">
                  <c:v>0</c:v>
                </c:pt>
                <c:pt idx="497">
                  <c:v>9.2999999999999999E-2</c:v>
                </c:pt>
                <c:pt idx="498">
                  <c:v>7.1999999999999995E-2</c:v>
                </c:pt>
                <c:pt idx="499">
                  <c:v>0.107</c:v>
                </c:pt>
                <c:pt idx="500">
                  <c:v>7.0000000000000007E-2</c:v>
                </c:pt>
                <c:pt idx="501">
                  <c:v>0.107</c:v>
                </c:pt>
                <c:pt idx="502">
                  <c:v>0</c:v>
                </c:pt>
                <c:pt idx="503">
                  <c:v>0.17599999999999999</c:v>
                </c:pt>
                <c:pt idx="504">
                  <c:v>0.12</c:v>
                </c:pt>
                <c:pt idx="505">
                  <c:v>6.6000000000000003E-2</c:v>
                </c:pt>
                <c:pt idx="506">
                  <c:v>0.23699999999999999</c:v>
                </c:pt>
                <c:pt idx="507">
                  <c:v>0.185</c:v>
                </c:pt>
                <c:pt idx="508">
                  <c:v>0.27800000000000002</c:v>
                </c:pt>
                <c:pt idx="509">
                  <c:v>2.1999999999999999E-2</c:v>
                </c:pt>
                <c:pt idx="510">
                  <c:v>3.1E-2</c:v>
                </c:pt>
                <c:pt idx="511">
                  <c:v>0.12</c:v>
                </c:pt>
                <c:pt idx="512">
                  <c:v>0.11799999999999999</c:v>
                </c:pt>
                <c:pt idx="513">
                  <c:v>0</c:v>
                </c:pt>
                <c:pt idx="514">
                  <c:v>0.122</c:v>
                </c:pt>
                <c:pt idx="515">
                  <c:v>0.152</c:v>
                </c:pt>
                <c:pt idx="516">
                  <c:v>9.1999999999999998E-2</c:v>
                </c:pt>
                <c:pt idx="517">
                  <c:v>0.29299999999999998</c:v>
                </c:pt>
                <c:pt idx="518">
                  <c:v>0.124</c:v>
                </c:pt>
                <c:pt idx="519">
                  <c:v>7.8E-2</c:v>
                </c:pt>
                <c:pt idx="520">
                  <c:v>8.9999999999999993E-3</c:v>
                </c:pt>
                <c:pt idx="521">
                  <c:v>9.7000000000000003E-2</c:v>
                </c:pt>
                <c:pt idx="522">
                  <c:v>5.7000000000000002E-2</c:v>
                </c:pt>
                <c:pt idx="523">
                  <c:v>0.248</c:v>
                </c:pt>
                <c:pt idx="524">
                  <c:v>5.0999999999999997E-2</c:v>
                </c:pt>
                <c:pt idx="525">
                  <c:v>8.4000000000000005E-2</c:v>
                </c:pt>
                <c:pt idx="526">
                  <c:v>8.3000000000000004E-2</c:v>
                </c:pt>
                <c:pt idx="527">
                  <c:v>6.6000000000000003E-2</c:v>
                </c:pt>
                <c:pt idx="528">
                  <c:v>0.22</c:v>
                </c:pt>
                <c:pt idx="529">
                  <c:v>0.188</c:v>
                </c:pt>
                <c:pt idx="530">
                  <c:v>0.189</c:v>
                </c:pt>
                <c:pt idx="531">
                  <c:v>3.4000000000000002E-2</c:v>
                </c:pt>
                <c:pt idx="532">
                  <c:v>0.19</c:v>
                </c:pt>
                <c:pt idx="533">
                  <c:v>0.19700000000000001</c:v>
                </c:pt>
                <c:pt idx="534">
                  <c:v>5.0999999999999997E-2</c:v>
                </c:pt>
                <c:pt idx="535">
                  <c:v>0.14799999999999999</c:v>
                </c:pt>
                <c:pt idx="536">
                  <c:v>0.13200000000000001</c:v>
                </c:pt>
                <c:pt idx="537">
                  <c:v>0.25700000000000001</c:v>
                </c:pt>
                <c:pt idx="538">
                  <c:v>0.13500000000000001</c:v>
                </c:pt>
                <c:pt idx="539">
                  <c:v>3.7999999999999999E-2</c:v>
                </c:pt>
                <c:pt idx="540">
                  <c:v>0.216</c:v>
                </c:pt>
                <c:pt idx="541">
                  <c:v>9.4E-2</c:v>
                </c:pt>
                <c:pt idx="542">
                  <c:v>5.8999999999999997E-2</c:v>
                </c:pt>
                <c:pt idx="543">
                  <c:v>9.0999999999999998E-2</c:v>
                </c:pt>
                <c:pt idx="544">
                  <c:v>0.20699999999999999</c:v>
                </c:pt>
                <c:pt idx="545">
                  <c:v>5.6000000000000001E-2</c:v>
                </c:pt>
                <c:pt idx="546">
                  <c:v>2.8000000000000001E-2</c:v>
                </c:pt>
                <c:pt idx="547">
                  <c:v>0.16700000000000001</c:v>
                </c:pt>
                <c:pt idx="548">
                  <c:v>0.14299999999999999</c:v>
                </c:pt>
                <c:pt idx="549">
                  <c:v>8.9999999999999993E-3</c:v>
                </c:pt>
                <c:pt idx="550">
                  <c:v>0</c:v>
                </c:pt>
                <c:pt idx="551">
                  <c:v>0.16700000000000001</c:v>
                </c:pt>
                <c:pt idx="552">
                  <c:v>8.8999999999999996E-2</c:v>
                </c:pt>
                <c:pt idx="553">
                  <c:v>0.19700000000000001</c:v>
                </c:pt>
                <c:pt idx="554">
                  <c:v>0</c:v>
                </c:pt>
                <c:pt idx="555">
                  <c:v>1.2E-2</c:v>
                </c:pt>
                <c:pt idx="556">
                  <c:v>0.11</c:v>
                </c:pt>
                <c:pt idx="557">
                  <c:v>0.123</c:v>
                </c:pt>
                <c:pt idx="558">
                  <c:v>4.2000000000000003E-2</c:v>
                </c:pt>
                <c:pt idx="559">
                  <c:v>0.184</c:v>
                </c:pt>
                <c:pt idx="560">
                  <c:v>0.13900000000000001</c:v>
                </c:pt>
                <c:pt idx="561">
                  <c:v>0.14599999999999999</c:v>
                </c:pt>
                <c:pt idx="562">
                  <c:v>0</c:v>
                </c:pt>
                <c:pt idx="563">
                  <c:v>6.7000000000000004E-2</c:v>
                </c:pt>
                <c:pt idx="564">
                  <c:v>0.17</c:v>
                </c:pt>
                <c:pt idx="565">
                  <c:v>0.10199999999999999</c:v>
                </c:pt>
                <c:pt idx="566">
                  <c:v>0.185</c:v>
                </c:pt>
                <c:pt idx="567">
                  <c:v>0.16300000000000001</c:v>
                </c:pt>
                <c:pt idx="568">
                  <c:v>5.5E-2</c:v>
                </c:pt>
                <c:pt idx="569">
                  <c:v>6.8000000000000005E-2</c:v>
                </c:pt>
                <c:pt idx="570">
                  <c:v>0.104</c:v>
                </c:pt>
                <c:pt idx="571">
                  <c:v>3.4000000000000002E-2</c:v>
                </c:pt>
                <c:pt idx="572">
                  <c:v>0.255</c:v>
                </c:pt>
                <c:pt idx="573">
                  <c:v>3.7999999999999999E-2</c:v>
                </c:pt>
                <c:pt idx="574">
                  <c:v>0.123</c:v>
                </c:pt>
                <c:pt idx="575">
                  <c:v>0.17399999999999999</c:v>
                </c:pt>
                <c:pt idx="576">
                  <c:v>7.8E-2</c:v>
                </c:pt>
                <c:pt idx="577">
                  <c:v>0.109</c:v>
                </c:pt>
                <c:pt idx="578">
                  <c:v>7.8E-2</c:v>
                </c:pt>
                <c:pt idx="579">
                  <c:v>0.17899999999999999</c:v>
                </c:pt>
                <c:pt idx="580">
                  <c:v>0.23899999999999999</c:v>
                </c:pt>
                <c:pt idx="581">
                  <c:v>5.7000000000000002E-2</c:v>
                </c:pt>
                <c:pt idx="582">
                  <c:v>0.111</c:v>
                </c:pt>
                <c:pt idx="583">
                  <c:v>0</c:v>
                </c:pt>
                <c:pt idx="584">
                  <c:v>4.7E-2</c:v>
                </c:pt>
                <c:pt idx="585">
                  <c:v>0.14599999999999999</c:v>
                </c:pt>
                <c:pt idx="586">
                  <c:v>0.28199999999999997</c:v>
                </c:pt>
                <c:pt idx="587">
                  <c:v>0.104</c:v>
                </c:pt>
                <c:pt idx="588">
                  <c:v>0</c:v>
                </c:pt>
                <c:pt idx="589">
                  <c:v>9.4E-2</c:v>
                </c:pt>
                <c:pt idx="590">
                  <c:v>1.7000000000000001E-2</c:v>
                </c:pt>
                <c:pt idx="591">
                  <c:v>0.112</c:v>
                </c:pt>
                <c:pt idx="592">
                  <c:v>0.129</c:v>
                </c:pt>
                <c:pt idx="593">
                  <c:v>0.108</c:v>
                </c:pt>
                <c:pt idx="594">
                  <c:v>0.09</c:v>
                </c:pt>
                <c:pt idx="595">
                  <c:v>0.151</c:v>
                </c:pt>
                <c:pt idx="596">
                  <c:v>0</c:v>
                </c:pt>
                <c:pt idx="597">
                  <c:v>0.106</c:v>
                </c:pt>
                <c:pt idx="598">
                  <c:v>0.20399999999999999</c:v>
                </c:pt>
                <c:pt idx="599">
                  <c:v>6.7000000000000004E-2</c:v>
                </c:pt>
                <c:pt idx="600">
                  <c:v>0.215</c:v>
                </c:pt>
                <c:pt idx="601">
                  <c:v>0.25800000000000001</c:v>
                </c:pt>
                <c:pt idx="602">
                  <c:v>0.17</c:v>
                </c:pt>
                <c:pt idx="603">
                  <c:v>0.19400000000000001</c:v>
                </c:pt>
                <c:pt idx="604">
                  <c:v>0</c:v>
                </c:pt>
                <c:pt idx="605">
                  <c:v>0.11899999999999999</c:v>
                </c:pt>
                <c:pt idx="606">
                  <c:v>0.254</c:v>
                </c:pt>
                <c:pt idx="607">
                  <c:v>0.21099999999999999</c:v>
                </c:pt>
                <c:pt idx="608">
                  <c:v>0.11899999999999999</c:v>
                </c:pt>
                <c:pt idx="609">
                  <c:v>0.115</c:v>
                </c:pt>
                <c:pt idx="610">
                  <c:v>0.13</c:v>
                </c:pt>
                <c:pt idx="611">
                  <c:v>0.25600000000000001</c:v>
                </c:pt>
                <c:pt idx="612">
                  <c:v>0.01</c:v>
                </c:pt>
                <c:pt idx="613">
                  <c:v>0.187</c:v>
                </c:pt>
                <c:pt idx="614">
                  <c:v>0.122</c:v>
                </c:pt>
                <c:pt idx="615">
                  <c:v>0.113</c:v>
                </c:pt>
                <c:pt idx="616">
                  <c:v>0.23599999999999999</c:v>
                </c:pt>
                <c:pt idx="617">
                  <c:v>0.18</c:v>
                </c:pt>
                <c:pt idx="618">
                  <c:v>8.6999999999999994E-2</c:v>
                </c:pt>
                <c:pt idx="619">
                  <c:v>0.14299999999999999</c:v>
                </c:pt>
                <c:pt idx="620">
                  <c:v>0</c:v>
                </c:pt>
                <c:pt idx="621">
                  <c:v>0.14499999999999999</c:v>
                </c:pt>
                <c:pt idx="622">
                  <c:v>0.192</c:v>
                </c:pt>
                <c:pt idx="623">
                  <c:v>6.5000000000000002E-2</c:v>
                </c:pt>
                <c:pt idx="624">
                  <c:v>0.11899999999999999</c:v>
                </c:pt>
                <c:pt idx="625">
                  <c:v>1.9E-2</c:v>
                </c:pt>
                <c:pt idx="626">
                  <c:v>1.4E-2</c:v>
                </c:pt>
                <c:pt idx="627">
                  <c:v>0.215</c:v>
                </c:pt>
                <c:pt idx="628">
                  <c:v>0.23499999999999999</c:v>
                </c:pt>
                <c:pt idx="629">
                  <c:v>0.17599999999999999</c:v>
                </c:pt>
                <c:pt idx="630">
                  <c:v>0.123</c:v>
                </c:pt>
                <c:pt idx="631">
                  <c:v>0.21199999999999999</c:v>
                </c:pt>
              </c:numCache>
            </c:numRef>
          </c:yVal>
          <c:smooth val="0"/>
        </c:ser>
        <c:dLbls>
          <c:showLegendKey val="0"/>
          <c:showVal val="0"/>
          <c:showCatName val="0"/>
          <c:showSerName val="0"/>
          <c:showPercent val="0"/>
          <c:showBubbleSize val="0"/>
        </c:dLbls>
        <c:axId val="297498576"/>
        <c:axId val="297500536"/>
      </c:scatterChart>
      <c:valAx>
        <c:axId val="29749857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00536"/>
        <c:crosses val="autoZero"/>
        <c:crossBetween val="midCat"/>
      </c:valAx>
      <c:valAx>
        <c:axId val="297500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4985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[Excel_Sales And Analytics assignment.xlsx]RevenueByMonth!PivotTable1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GrossRevenue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pivotFmt>
      <c:pivotFmt>
        <c:idx val="2"/>
        <c:spPr>
          <a:ln w="28575" cap="rnd">
            <a:solidFill>
              <a:schemeClr val="accent2"/>
            </a:solidFill>
            <a:round/>
          </a:ln>
          <a:effectLst/>
        </c:spPr>
        <c:marker>
          <c:symbol val="none"/>
        </c:marker>
      </c:pivotFmt>
    </c:pivotFmts>
    <c:plotArea>
      <c:layout/>
      <c:lineChart>
        <c:grouping val="standard"/>
        <c:varyColors val="0"/>
        <c:ser>
          <c:idx val="0"/>
          <c:order val="0"/>
          <c:tx>
            <c:strRef>
              <c:f>RevenueByMonth!$B$3</c:f>
              <c:strCache>
                <c:ptCount val="1"/>
                <c:pt idx="0">
                  <c:v>Total</c:v>
                </c:pt>
              </c:strCache>
            </c:strRef>
          </c:tx>
          <c:spPr>
            <a:ln w="28575" cap="rnd">
              <a:solidFill>
                <a:schemeClr val="accent2"/>
              </a:solidFill>
              <a:round/>
            </a:ln>
            <a:effectLst/>
          </c:spPr>
          <c:marker>
            <c:symbol val="none"/>
          </c:marker>
          <c:cat>
            <c:multiLvlStrRef>
              <c:f>RevenueByMonth!$A$4:$A$28</c:f>
              <c:multiLvlStrCache>
                <c:ptCount val="21"/>
                <c:lvl>
                  <c:pt idx="0">
                    <c:v>Apr</c:v>
                  </c:pt>
                  <c:pt idx="1">
                    <c:v>May</c:v>
                  </c:pt>
                  <c:pt idx="2">
                    <c:v>Jun</c:v>
                  </c:pt>
                  <c:pt idx="3">
                    <c:v>Jul</c:v>
                  </c:pt>
                  <c:pt idx="4">
                    <c:v>Nov</c:v>
                  </c:pt>
                  <c:pt idx="5">
                    <c:v>Dec</c:v>
                  </c:pt>
                  <c:pt idx="6">
                    <c:v>Jan</c:v>
                  </c:pt>
                  <c:pt idx="7">
                    <c:v>Feb</c:v>
                  </c:pt>
                  <c:pt idx="8">
                    <c:v>Mar</c:v>
                  </c:pt>
                  <c:pt idx="9">
                    <c:v>Apr</c:v>
                  </c:pt>
                  <c:pt idx="10">
                    <c:v>May</c:v>
                  </c:pt>
                  <c:pt idx="11">
                    <c:v>Aug</c:v>
                  </c:pt>
                  <c:pt idx="12">
                    <c:v>Sep</c:v>
                  </c:pt>
                  <c:pt idx="13">
                    <c:v>Oct</c:v>
                  </c:pt>
                  <c:pt idx="14">
                    <c:v>Nov</c:v>
                  </c:pt>
                  <c:pt idx="15">
                    <c:v>Dec</c:v>
                  </c:pt>
                  <c:pt idx="16">
                    <c:v>Jan</c:v>
                  </c:pt>
                  <c:pt idx="17">
                    <c:v>Mar</c:v>
                  </c:pt>
                  <c:pt idx="18">
                    <c:v>Apr</c:v>
                  </c:pt>
                  <c:pt idx="19">
                    <c:v>Jun</c:v>
                  </c:pt>
                  <c:pt idx="20">
                    <c:v>Aug</c:v>
                  </c:pt>
                </c:lvl>
                <c:lvl>
                  <c:pt idx="0">
                    <c:v>2023</c:v>
                  </c:pt>
                  <c:pt idx="6">
                    <c:v>2024</c:v>
                  </c:pt>
                  <c:pt idx="16">
                    <c:v>2025</c:v>
                  </c:pt>
                </c:lvl>
              </c:multiLvlStrCache>
            </c:multiLvlStrRef>
          </c:cat>
          <c:val>
            <c:numRef>
              <c:f>RevenueByMonth!$B$4:$B$28</c:f>
              <c:numCache>
                <c:formatCode>General</c:formatCode>
                <c:ptCount val="21"/>
                <c:pt idx="0">
                  <c:v>69113.110860000001</c:v>
                </c:pt>
                <c:pt idx="1">
                  <c:v>43453.410560000004</c:v>
                </c:pt>
                <c:pt idx="2">
                  <c:v>14738.614239999999</c:v>
                </c:pt>
                <c:pt idx="3">
                  <c:v>12462.65055</c:v>
                </c:pt>
                <c:pt idx="4">
                  <c:v>12954.358080000002</c:v>
                </c:pt>
                <c:pt idx="5">
                  <c:v>40476.013200000001</c:v>
                </c:pt>
                <c:pt idx="6">
                  <c:v>29196.022199999999</c:v>
                </c:pt>
                <c:pt idx="7">
                  <c:v>13450.74</c:v>
                </c:pt>
                <c:pt idx="8">
                  <c:v>33938.142760000002</c:v>
                </c:pt>
                <c:pt idx="9">
                  <c:v>16219.34496</c:v>
                </c:pt>
                <c:pt idx="10">
                  <c:v>30970.913400000005</c:v>
                </c:pt>
                <c:pt idx="11">
                  <c:v>27331.829999999998</c:v>
                </c:pt>
                <c:pt idx="12">
                  <c:v>21664.440000000002</c:v>
                </c:pt>
                <c:pt idx="13">
                  <c:v>44468.934560000009</c:v>
                </c:pt>
                <c:pt idx="14">
                  <c:v>4280.6786400000001</c:v>
                </c:pt>
                <c:pt idx="15">
                  <c:v>2886.4496399999998</c:v>
                </c:pt>
                <c:pt idx="16">
                  <c:v>4831.9464600000001</c:v>
                </c:pt>
                <c:pt idx="17">
                  <c:v>37836.913499999995</c:v>
                </c:pt>
                <c:pt idx="18">
                  <c:v>20084.133720000002</c:v>
                </c:pt>
                <c:pt idx="19">
                  <c:v>20455.985130000001</c:v>
                </c:pt>
                <c:pt idx="20">
                  <c:v>43031.808069999999</c:v>
                </c:pt>
              </c:numCache>
            </c:numRef>
          </c:val>
          <c:smooth val="0"/>
        </c:ser>
        <c:dLbls>
          <c:showLegendKey val="0"/>
          <c:showVal val="0"/>
          <c:showCatName val="0"/>
          <c:showSerName val="0"/>
          <c:showPercent val="0"/>
          <c:showBubbleSize val="0"/>
        </c:dLbls>
        <c:smooth val="0"/>
        <c:axId val="297500928"/>
        <c:axId val="297501320"/>
      </c:lineChart>
      <c:catAx>
        <c:axId val="29750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01320"/>
        <c:crosses val="autoZero"/>
        <c:auto val="1"/>
        <c:lblAlgn val="ctr"/>
        <c:lblOffset val="100"/>
        <c:noMultiLvlLbl val="0"/>
      </c:catAx>
      <c:valAx>
        <c:axId val="297501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500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[Excel_Sales And Analytics assignment.xlsx]ProfitByChannel-Region!PivotTable2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Profit by Channel &amp;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pivotFmt>
      <c:pivotFmt>
        <c:idx val="11"/>
        <c:spPr>
          <a:solidFill>
            <a:schemeClr val="accent2"/>
          </a:solidFill>
          <a:ln>
            <a:noFill/>
          </a:ln>
          <a:effectLst/>
        </c:spPr>
        <c:marker>
          <c:symbol val="none"/>
        </c:marker>
      </c:pivotFmt>
      <c:pivotFmt>
        <c:idx val="12"/>
        <c:spPr>
          <a:solidFill>
            <a:schemeClr val="accent2"/>
          </a:solidFill>
          <a:ln>
            <a:noFill/>
          </a:ln>
          <a:effectLst/>
        </c:spPr>
        <c:marker>
          <c:symbol val="none"/>
        </c:marker>
      </c:pivotFmt>
      <c:pivotFmt>
        <c:idx val="13"/>
        <c:spPr>
          <a:solidFill>
            <a:schemeClr val="accent2"/>
          </a:solidFill>
          <a:ln>
            <a:noFill/>
          </a:ln>
          <a:effectLst/>
        </c:spPr>
        <c:marker>
          <c:symbol val="none"/>
        </c:marker>
      </c:pivotFmt>
      <c:pivotFmt>
        <c:idx val="14"/>
        <c:spPr>
          <a:solidFill>
            <a:schemeClr val="accent2"/>
          </a:solidFill>
          <a:ln>
            <a:noFill/>
          </a:ln>
          <a:effectLst/>
        </c:spPr>
        <c:marker>
          <c:symbol val="none"/>
        </c:marker>
      </c:pivotFmt>
      <c:pivotFmt>
        <c:idx val="15"/>
        <c:spPr>
          <a:solidFill>
            <a:schemeClr val="accent2"/>
          </a:solidFill>
          <a:ln>
            <a:noFill/>
          </a:ln>
          <a:effectLst/>
        </c:spPr>
        <c:marker>
          <c:symbol val="none"/>
        </c:marker>
      </c:pivotFmt>
    </c:pivotFmts>
    <c:plotArea>
      <c:layout/>
      <c:barChart>
        <c:barDir val="col"/>
        <c:grouping val="stacked"/>
        <c:varyColors val="0"/>
        <c:ser>
          <c:idx val="0"/>
          <c:order val="0"/>
          <c:tx>
            <c:strRef>
              <c:f>'ProfitByChannel-Region'!$B$3:$B$4</c:f>
              <c:strCache>
                <c:ptCount val="1"/>
                <c:pt idx="0">
                  <c:v>Direct</c:v>
                </c:pt>
              </c:strCache>
            </c:strRef>
          </c:tx>
          <c:spPr>
            <a:solidFill>
              <a:schemeClr val="accent2">
                <a:tint val="50000"/>
              </a:schemeClr>
            </a:solidFill>
            <a:ln>
              <a:noFill/>
            </a:ln>
            <a:effectLst/>
          </c:spPr>
          <c:invertIfNegative val="0"/>
          <c:cat>
            <c:strRef>
              <c:f>'ProfitByChannel-Region'!$A$5:$A$9</c:f>
              <c:strCache>
                <c:ptCount val="4"/>
                <c:pt idx="0">
                  <c:v>Africa</c:v>
                </c:pt>
                <c:pt idx="1">
                  <c:v>Americas</c:v>
                </c:pt>
                <c:pt idx="2">
                  <c:v>Asia</c:v>
                </c:pt>
                <c:pt idx="3">
                  <c:v>Europe</c:v>
                </c:pt>
              </c:strCache>
            </c:strRef>
          </c:cat>
          <c:val>
            <c:numRef>
              <c:f>'ProfitByChannel-Region'!$B$5:$B$9</c:f>
              <c:numCache>
                <c:formatCode>General</c:formatCode>
                <c:ptCount val="4"/>
                <c:pt idx="0">
                  <c:v>281.97720000000027</c:v>
                </c:pt>
                <c:pt idx="1">
                  <c:v>2189.7755999999999</c:v>
                </c:pt>
                <c:pt idx="2">
                  <c:v>-6806.52</c:v>
                </c:pt>
                <c:pt idx="3">
                  <c:v>14906.223929999998</c:v>
                </c:pt>
              </c:numCache>
            </c:numRef>
          </c:val>
        </c:ser>
        <c:ser>
          <c:idx val="1"/>
          <c:order val="1"/>
          <c:tx>
            <c:strRef>
              <c:f>'ProfitByChannel-Region'!$C$3:$C$4</c:f>
              <c:strCache>
                <c:ptCount val="1"/>
                <c:pt idx="0">
                  <c:v>Distributor</c:v>
                </c:pt>
              </c:strCache>
            </c:strRef>
          </c:tx>
          <c:spPr>
            <a:solidFill>
              <a:schemeClr val="accent2">
                <a:tint val="70000"/>
              </a:schemeClr>
            </a:solidFill>
            <a:ln>
              <a:noFill/>
            </a:ln>
            <a:effectLst/>
          </c:spPr>
          <c:invertIfNegative val="0"/>
          <c:cat>
            <c:strRef>
              <c:f>'ProfitByChannel-Region'!$A$5:$A$9</c:f>
              <c:strCache>
                <c:ptCount val="4"/>
                <c:pt idx="0">
                  <c:v>Africa</c:v>
                </c:pt>
                <c:pt idx="1">
                  <c:v>Americas</c:v>
                </c:pt>
                <c:pt idx="2">
                  <c:v>Asia</c:v>
                </c:pt>
                <c:pt idx="3">
                  <c:v>Europe</c:v>
                </c:pt>
              </c:strCache>
            </c:strRef>
          </c:cat>
          <c:val>
            <c:numRef>
              <c:f>'ProfitByChannel-Region'!$C$5:$C$9</c:f>
              <c:numCache>
                <c:formatCode>General</c:formatCode>
                <c:ptCount val="4"/>
                <c:pt idx="0">
                  <c:v>9441.9554400000034</c:v>
                </c:pt>
                <c:pt idx="1">
                  <c:v>4493.9954400000006</c:v>
                </c:pt>
                <c:pt idx="2">
                  <c:v>8213.5441499999979</c:v>
                </c:pt>
                <c:pt idx="3">
                  <c:v>36523.124930000005</c:v>
                </c:pt>
              </c:numCache>
            </c:numRef>
          </c:val>
        </c:ser>
        <c:ser>
          <c:idx val="2"/>
          <c:order val="2"/>
          <c:tx>
            <c:strRef>
              <c:f>'ProfitByChannel-Region'!$D$3:$D$4</c:f>
              <c:strCache>
                <c:ptCount val="1"/>
                <c:pt idx="0">
                  <c:v>Marketplace</c:v>
                </c:pt>
              </c:strCache>
            </c:strRef>
          </c:tx>
          <c:spPr>
            <a:solidFill>
              <a:schemeClr val="accent2">
                <a:tint val="90000"/>
              </a:schemeClr>
            </a:solidFill>
            <a:ln>
              <a:noFill/>
            </a:ln>
            <a:effectLst/>
          </c:spPr>
          <c:invertIfNegative val="0"/>
          <c:cat>
            <c:strRef>
              <c:f>'ProfitByChannel-Region'!$A$5:$A$9</c:f>
              <c:strCache>
                <c:ptCount val="4"/>
                <c:pt idx="0">
                  <c:v>Africa</c:v>
                </c:pt>
                <c:pt idx="1">
                  <c:v>Americas</c:v>
                </c:pt>
                <c:pt idx="2">
                  <c:v>Asia</c:v>
                </c:pt>
                <c:pt idx="3">
                  <c:v>Europe</c:v>
                </c:pt>
              </c:strCache>
            </c:strRef>
          </c:cat>
          <c:val>
            <c:numRef>
              <c:f>'ProfitByChannel-Region'!$D$5:$D$9</c:f>
              <c:numCache>
                <c:formatCode>General</c:formatCode>
                <c:ptCount val="4"/>
                <c:pt idx="0">
                  <c:v>10358.99308</c:v>
                </c:pt>
                <c:pt idx="2">
                  <c:v>9796.2346800000014</c:v>
                </c:pt>
              </c:numCache>
            </c:numRef>
          </c:val>
        </c:ser>
        <c:ser>
          <c:idx val="3"/>
          <c:order val="3"/>
          <c:tx>
            <c:strRef>
              <c:f>'ProfitByChannel-Region'!$E$3:$E$4</c:f>
              <c:strCache>
                <c:ptCount val="1"/>
                <c:pt idx="0">
                  <c:v>Online</c:v>
                </c:pt>
              </c:strCache>
            </c:strRef>
          </c:tx>
          <c:spPr>
            <a:solidFill>
              <a:schemeClr val="accent2">
                <a:shade val="90000"/>
              </a:schemeClr>
            </a:solidFill>
            <a:ln>
              <a:noFill/>
            </a:ln>
            <a:effectLst/>
          </c:spPr>
          <c:invertIfNegative val="0"/>
          <c:cat>
            <c:strRef>
              <c:f>'ProfitByChannel-Region'!$A$5:$A$9</c:f>
              <c:strCache>
                <c:ptCount val="4"/>
                <c:pt idx="0">
                  <c:v>Africa</c:v>
                </c:pt>
                <c:pt idx="1">
                  <c:v>Americas</c:v>
                </c:pt>
                <c:pt idx="2">
                  <c:v>Asia</c:v>
                </c:pt>
                <c:pt idx="3">
                  <c:v>Europe</c:v>
                </c:pt>
              </c:strCache>
            </c:strRef>
          </c:cat>
          <c:val>
            <c:numRef>
              <c:f>'ProfitByChannel-Region'!$E$5:$E$9</c:f>
              <c:numCache>
                <c:formatCode>General</c:formatCode>
                <c:ptCount val="4"/>
                <c:pt idx="1">
                  <c:v>9942.4500000000007</c:v>
                </c:pt>
                <c:pt idx="2">
                  <c:v>1594.9244000000008</c:v>
                </c:pt>
                <c:pt idx="3">
                  <c:v>70828.299220000001</c:v>
                </c:pt>
              </c:numCache>
            </c:numRef>
          </c:val>
        </c:ser>
        <c:ser>
          <c:idx val="4"/>
          <c:order val="4"/>
          <c:tx>
            <c:strRef>
              <c:f>'ProfitByChannel-Region'!$F$3:$F$4</c:f>
              <c:strCache>
                <c:ptCount val="1"/>
                <c:pt idx="0">
                  <c:v>Retail</c:v>
                </c:pt>
              </c:strCache>
            </c:strRef>
          </c:tx>
          <c:spPr>
            <a:solidFill>
              <a:schemeClr val="accent2">
                <a:shade val="70000"/>
              </a:schemeClr>
            </a:solidFill>
            <a:ln>
              <a:noFill/>
            </a:ln>
            <a:effectLst/>
          </c:spPr>
          <c:invertIfNegative val="0"/>
          <c:cat>
            <c:strRef>
              <c:f>'ProfitByChannel-Region'!$A$5:$A$9</c:f>
              <c:strCache>
                <c:ptCount val="4"/>
                <c:pt idx="0">
                  <c:v>Africa</c:v>
                </c:pt>
                <c:pt idx="1">
                  <c:v>Americas</c:v>
                </c:pt>
                <c:pt idx="2">
                  <c:v>Asia</c:v>
                </c:pt>
                <c:pt idx="3">
                  <c:v>Europe</c:v>
                </c:pt>
              </c:strCache>
            </c:strRef>
          </c:cat>
          <c:val>
            <c:numRef>
              <c:f>'ProfitByChannel-Region'!$F$5:$F$9</c:f>
              <c:numCache>
                <c:formatCode>General</c:formatCode>
                <c:ptCount val="4"/>
                <c:pt idx="0">
                  <c:v>14439.149999999998</c:v>
                </c:pt>
                <c:pt idx="1">
                  <c:v>4788.7956400000003</c:v>
                </c:pt>
                <c:pt idx="2">
                  <c:v>1230.2980000000002</c:v>
                </c:pt>
                <c:pt idx="3">
                  <c:v>11494.612360000003</c:v>
                </c:pt>
              </c:numCache>
            </c:numRef>
          </c:val>
        </c:ser>
        <c:ser>
          <c:idx val="5"/>
          <c:order val="5"/>
          <c:tx>
            <c:strRef>
              <c:f>'ProfitByChannel-Region'!$G$3:$G$4</c:f>
              <c:strCache>
                <c:ptCount val="1"/>
                <c:pt idx="0">
                  <c:v>(blank)</c:v>
                </c:pt>
              </c:strCache>
            </c:strRef>
          </c:tx>
          <c:spPr>
            <a:solidFill>
              <a:schemeClr val="accent2">
                <a:shade val="50000"/>
              </a:schemeClr>
            </a:solidFill>
            <a:ln>
              <a:noFill/>
            </a:ln>
            <a:effectLst/>
          </c:spPr>
          <c:invertIfNegative val="0"/>
          <c:cat>
            <c:strRef>
              <c:f>'ProfitByChannel-Region'!$A$5:$A$9</c:f>
              <c:strCache>
                <c:ptCount val="4"/>
                <c:pt idx="0">
                  <c:v>Africa</c:v>
                </c:pt>
                <c:pt idx="1">
                  <c:v>Americas</c:v>
                </c:pt>
                <c:pt idx="2">
                  <c:v>Asia</c:v>
                </c:pt>
                <c:pt idx="3">
                  <c:v>Europe</c:v>
                </c:pt>
              </c:strCache>
            </c:strRef>
          </c:cat>
          <c:val>
            <c:numRef>
              <c:f>'ProfitByChannel-Region'!$G$5:$G$9</c:f>
              <c:numCache>
                <c:formatCode>General</c:formatCode>
                <c:ptCount val="4"/>
                <c:pt idx="3">
                  <c:v>1263.5064600000001</c:v>
                </c:pt>
              </c:numCache>
            </c:numRef>
          </c:val>
        </c:ser>
        <c:dLbls>
          <c:showLegendKey val="0"/>
          <c:showVal val="0"/>
          <c:showCatName val="0"/>
          <c:showSerName val="0"/>
          <c:showPercent val="0"/>
          <c:showBubbleSize val="0"/>
        </c:dLbls>
        <c:gapWidth val="150"/>
        <c:overlap val="100"/>
        <c:axId val="329925856"/>
        <c:axId val="329930560"/>
      </c:barChart>
      <c:catAx>
        <c:axId val="32992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30560"/>
        <c:crosses val="autoZero"/>
        <c:auto val="1"/>
        <c:lblAlgn val="ctr"/>
        <c:lblOffset val="100"/>
        <c:noMultiLvlLbl val="0"/>
      </c:catAx>
      <c:valAx>
        <c:axId val="32993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5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[Excel_Sales And Analytics assignment.xlsx]Top10SKUs!PivotTable3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a:t>
            </a:r>
            <a:r>
              <a:rPr lang="en-US" baseline="0">
                <a:solidFill>
                  <a:schemeClr val="accent2"/>
                </a:solidFill>
              </a:rPr>
              <a:t> 10 SKUs By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bar"/>
        <c:grouping val="clustered"/>
        <c:varyColors val="0"/>
        <c:ser>
          <c:idx val="0"/>
          <c:order val="0"/>
          <c:tx>
            <c:strRef>
              <c:f>Top10SKUs!$B$3</c:f>
              <c:strCache>
                <c:ptCount val="1"/>
                <c:pt idx="0">
                  <c:v>Total</c:v>
                </c:pt>
              </c:strCache>
            </c:strRef>
          </c:tx>
          <c:spPr>
            <a:solidFill>
              <a:schemeClr val="accent2"/>
            </a:solidFill>
            <a:ln>
              <a:noFill/>
            </a:ln>
            <a:effectLst/>
          </c:spPr>
          <c:invertIfNegative val="0"/>
          <c:cat>
            <c:strRef>
              <c:f>Top10SKUs!$A$4:$A$14</c:f>
              <c:strCache>
                <c:ptCount val="10"/>
                <c:pt idx="0">
                  <c:v>CMP-1559</c:v>
                </c:pt>
                <c:pt idx="1">
                  <c:v>CMP-1940</c:v>
                </c:pt>
                <c:pt idx="2">
                  <c:v>CMP-4630</c:v>
                </c:pt>
                <c:pt idx="3">
                  <c:v>LAP-7553</c:v>
                </c:pt>
                <c:pt idx="4">
                  <c:v>LAP-8633</c:v>
                </c:pt>
                <c:pt idx="5">
                  <c:v>MON-1663</c:v>
                </c:pt>
                <c:pt idx="6">
                  <c:v>MON-3043</c:v>
                </c:pt>
                <c:pt idx="7">
                  <c:v>MON-9733</c:v>
                </c:pt>
                <c:pt idx="8">
                  <c:v>PHN-9399</c:v>
                </c:pt>
                <c:pt idx="9">
                  <c:v>PRN-9557</c:v>
                </c:pt>
              </c:strCache>
            </c:strRef>
          </c:cat>
          <c:val>
            <c:numRef>
              <c:f>Top10SKUs!$B$4:$B$14</c:f>
              <c:numCache>
                <c:formatCode>General</c:formatCode>
                <c:ptCount val="10"/>
                <c:pt idx="0">
                  <c:v>27331.829999999998</c:v>
                </c:pt>
                <c:pt idx="1">
                  <c:v>40476.013200000001</c:v>
                </c:pt>
                <c:pt idx="2">
                  <c:v>22882.675440000003</c:v>
                </c:pt>
                <c:pt idx="3">
                  <c:v>30435.614999999998</c:v>
                </c:pt>
                <c:pt idx="4">
                  <c:v>33938.142760000002</c:v>
                </c:pt>
                <c:pt idx="5">
                  <c:v>26131.70736</c:v>
                </c:pt>
                <c:pt idx="6">
                  <c:v>27370.540859999997</c:v>
                </c:pt>
                <c:pt idx="7">
                  <c:v>38818.760160000005</c:v>
                </c:pt>
                <c:pt idx="8">
                  <c:v>22380.204000000002</c:v>
                </c:pt>
                <c:pt idx="9">
                  <c:v>21664.440000000002</c:v>
                </c:pt>
              </c:numCache>
            </c:numRef>
          </c:val>
        </c:ser>
        <c:dLbls>
          <c:showLegendKey val="0"/>
          <c:showVal val="0"/>
          <c:showCatName val="0"/>
          <c:showSerName val="0"/>
          <c:showPercent val="0"/>
          <c:showBubbleSize val="0"/>
        </c:dLbls>
        <c:gapWidth val="182"/>
        <c:axId val="329927032"/>
        <c:axId val="329924680"/>
      </c:barChart>
      <c:catAx>
        <c:axId val="329927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4680"/>
        <c:crosses val="autoZero"/>
        <c:auto val="1"/>
        <c:lblAlgn val="ctr"/>
        <c:lblOffset val="100"/>
        <c:noMultiLvlLbl val="0"/>
      </c:catAx>
      <c:valAx>
        <c:axId val="329924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7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DiscountPct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StagingTable!$P$1</c:f>
              <c:strCache>
                <c:ptCount val="1"/>
                <c:pt idx="0">
                  <c:v>DiscountPct</c:v>
                </c:pt>
              </c:strCache>
            </c:strRef>
          </c:tx>
          <c:spPr>
            <a:ln w="28575" cap="rnd">
              <a:noFill/>
              <a:round/>
            </a:ln>
            <a:effectLst/>
          </c:spPr>
          <c:marker>
            <c:symbol val="circle"/>
            <c:size val="5"/>
            <c:spPr>
              <a:solidFill>
                <a:schemeClr val="accent1"/>
              </a:solidFill>
              <a:ln w="9525">
                <a:solidFill>
                  <a:schemeClr val="accent1"/>
                </a:solidFill>
              </a:ln>
              <a:effectLst/>
            </c:spPr>
          </c:marker>
          <c:dPt>
            <c:idx val="54"/>
            <c:marker>
              <c:symbol val="circle"/>
              <c:size val="5"/>
              <c:spPr>
                <a:solidFill>
                  <a:srgbClr val="FF0000"/>
                </a:solidFill>
                <a:ln w="9525">
                  <a:solidFill>
                    <a:srgbClr val="FF0000"/>
                  </a:solidFill>
                </a:ln>
                <a:effectLst/>
              </c:spPr>
            </c:marker>
            <c:bubble3D val="0"/>
          </c:dPt>
          <c:dPt>
            <c:idx val="121"/>
            <c:marker>
              <c:symbol val="circle"/>
              <c:size val="5"/>
              <c:spPr>
                <a:solidFill>
                  <a:srgbClr val="FF0000"/>
                </a:solidFill>
                <a:ln w="9525">
                  <a:solidFill>
                    <a:srgbClr val="FF0000"/>
                  </a:solidFill>
                </a:ln>
                <a:effectLst/>
              </c:spPr>
            </c:marker>
            <c:bubble3D val="0"/>
            <c:spPr>
              <a:ln w="19050" cap="rnd">
                <a:noFill/>
                <a:round/>
              </a:ln>
              <a:effectLst/>
            </c:spPr>
          </c:dPt>
          <c:dPt>
            <c:idx val="297"/>
            <c:marker>
              <c:symbol val="circle"/>
              <c:size val="5"/>
              <c:spPr>
                <a:solidFill>
                  <a:srgbClr val="FF0000"/>
                </a:solidFill>
                <a:ln w="9525">
                  <a:solidFill>
                    <a:srgbClr val="FF0000"/>
                  </a:solidFill>
                </a:ln>
                <a:effectLst/>
              </c:spPr>
            </c:marker>
            <c:bubble3D val="0"/>
          </c:dPt>
          <c:dPt>
            <c:idx val="367"/>
            <c:marker>
              <c:symbol val="circle"/>
              <c:size val="5"/>
              <c:spPr>
                <a:solidFill>
                  <a:srgbClr val="FF0000"/>
                </a:solidFill>
                <a:ln w="9525">
                  <a:solidFill>
                    <a:srgbClr val="FF0000"/>
                  </a:solidFill>
                </a:ln>
                <a:effectLst/>
              </c:spPr>
            </c:marker>
            <c:bubble3D val="0"/>
          </c:dPt>
          <c:dPt>
            <c:idx val="395"/>
            <c:marker>
              <c:symbol val="circle"/>
              <c:size val="5"/>
              <c:spPr>
                <a:solidFill>
                  <a:srgbClr val="FF0000"/>
                </a:solidFill>
                <a:ln w="9525">
                  <a:solidFill>
                    <a:srgbClr val="FF0000"/>
                  </a:solidFill>
                </a:ln>
                <a:effectLst/>
              </c:spPr>
            </c:marker>
            <c:bubble3D val="0"/>
          </c:dPt>
          <c:dPt>
            <c:idx val="420"/>
            <c:marker>
              <c:symbol val="circle"/>
              <c:size val="5"/>
              <c:spPr>
                <a:solidFill>
                  <a:srgbClr val="FF0000"/>
                </a:solidFill>
                <a:ln w="9525">
                  <a:solidFill>
                    <a:srgbClr val="FF0000"/>
                  </a:solidFill>
                </a:ln>
                <a:effectLst/>
              </c:spPr>
            </c:marker>
            <c:bubble3D val="0"/>
          </c:dPt>
          <c:dPt>
            <c:idx val="489"/>
            <c:marker>
              <c:symbol val="circle"/>
              <c:size val="5"/>
              <c:spPr>
                <a:solidFill>
                  <a:srgbClr val="FF0000"/>
                </a:solidFill>
                <a:ln w="9525">
                  <a:solidFill>
                    <a:srgbClr val="FF0000"/>
                  </a:solidFill>
                </a:ln>
                <a:effectLst/>
              </c:spPr>
            </c:marker>
            <c:bubble3D val="0"/>
          </c:dPt>
          <c:yVal>
            <c:numRef>
              <c:f>StagingTable!$P$2:$P$634</c:f>
              <c:numCache>
                <c:formatCode>0.00%</c:formatCode>
                <c:ptCount val="633"/>
                <c:pt idx="0">
                  <c:v>0.22600000000000001</c:v>
                </c:pt>
                <c:pt idx="1">
                  <c:v>7.0000000000000001E-3</c:v>
                </c:pt>
                <c:pt idx="2">
                  <c:v>0.108</c:v>
                </c:pt>
                <c:pt idx="3">
                  <c:v>0.17499999999999999</c:v>
                </c:pt>
                <c:pt idx="4">
                  <c:v>4.2000000000000003E-2</c:v>
                </c:pt>
                <c:pt idx="5">
                  <c:v>0.01</c:v>
                </c:pt>
                <c:pt idx="6">
                  <c:v>0.14199999999999999</c:v>
                </c:pt>
                <c:pt idx="7">
                  <c:v>9.6000000000000002E-2</c:v>
                </c:pt>
                <c:pt idx="8">
                  <c:v>8.2000000000000003E-2</c:v>
                </c:pt>
                <c:pt idx="9">
                  <c:v>0.129</c:v>
                </c:pt>
                <c:pt idx="10">
                  <c:v>0.11799999999999999</c:v>
                </c:pt>
                <c:pt idx="11">
                  <c:v>0.13400000000000001</c:v>
                </c:pt>
                <c:pt idx="12">
                  <c:v>0.216</c:v>
                </c:pt>
                <c:pt idx="13">
                  <c:v>0.123</c:v>
                </c:pt>
                <c:pt idx="14">
                  <c:v>0.186</c:v>
                </c:pt>
                <c:pt idx="15">
                  <c:v>0.14000000000000001</c:v>
                </c:pt>
                <c:pt idx="16">
                  <c:v>5.7000000000000002E-2</c:v>
                </c:pt>
                <c:pt idx="17">
                  <c:v>0.157</c:v>
                </c:pt>
                <c:pt idx="18">
                  <c:v>7.4999999999999997E-2</c:v>
                </c:pt>
                <c:pt idx="19">
                  <c:v>0.184</c:v>
                </c:pt>
                <c:pt idx="20">
                  <c:v>0</c:v>
                </c:pt>
                <c:pt idx="21">
                  <c:v>0.14699999999999999</c:v>
                </c:pt>
                <c:pt idx="22">
                  <c:v>0</c:v>
                </c:pt>
                <c:pt idx="23">
                  <c:v>0.13500000000000001</c:v>
                </c:pt>
                <c:pt idx="24">
                  <c:v>0.17599999999999999</c:v>
                </c:pt>
                <c:pt idx="25">
                  <c:v>0.21</c:v>
                </c:pt>
                <c:pt idx="26">
                  <c:v>0.13200000000000001</c:v>
                </c:pt>
                <c:pt idx="27">
                  <c:v>0.17</c:v>
                </c:pt>
                <c:pt idx="28">
                  <c:v>0.13300000000000001</c:v>
                </c:pt>
                <c:pt idx="29">
                  <c:v>1.2E-2</c:v>
                </c:pt>
                <c:pt idx="30">
                  <c:v>4.4999999999999998E-2</c:v>
                </c:pt>
                <c:pt idx="31">
                  <c:v>7.1999999999999995E-2</c:v>
                </c:pt>
                <c:pt idx="32">
                  <c:v>0.16800000000000001</c:v>
                </c:pt>
                <c:pt idx="33">
                  <c:v>0.17499999999999999</c:v>
                </c:pt>
                <c:pt idx="34">
                  <c:v>0.13300000000000001</c:v>
                </c:pt>
                <c:pt idx="35">
                  <c:v>0.13400000000000001</c:v>
                </c:pt>
                <c:pt idx="36">
                  <c:v>5.0999999999999997E-2</c:v>
                </c:pt>
                <c:pt idx="37">
                  <c:v>0.26600000000000001</c:v>
                </c:pt>
                <c:pt idx="38">
                  <c:v>0.159</c:v>
                </c:pt>
                <c:pt idx="39">
                  <c:v>5.7000000000000002E-2</c:v>
                </c:pt>
                <c:pt idx="40">
                  <c:v>0.128</c:v>
                </c:pt>
                <c:pt idx="41">
                  <c:v>0.19</c:v>
                </c:pt>
                <c:pt idx="42">
                  <c:v>0.111</c:v>
                </c:pt>
                <c:pt idx="43">
                  <c:v>3.2000000000000001E-2</c:v>
                </c:pt>
                <c:pt idx="44">
                  <c:v>3.5000000000000003E-2</c:v>
                </c:pt>
                <c:pt idx="45">
                  <c:v>6.3E-2</c:v>
                </c:pt>
                <c:pt idx="46">
                  <c:v>9.4E-2</c:v>
                </c:pt>
                <c:pt idx="47">
                  <c:v>7.0000000000000007E-2</c:v>
                </c:pt>
                <c:pt idx="48">
                  <c:v>0.156</c:v>
                </c:pt>
                <c:pt idx="49">
                  <c:v>0.14699999999999999</c:v>
                </c:pt>
                <c:pt idx="50">
                  <c:v>0.14199999999999999</c:v>
                </c:pt>
                <c:pt idx="51">
                  <c:v>0.186</c:v>
                </c:pt>
                <c:pt idx="52">
                  <c:v>4.1000000000000002E-2</c:v>
                </c:pt>
                <c:pt idx="53">
                  <c:v>0.109</c:v>
                </c:pt>
                <c:pt idx="54">
                  <c:v>0.34599999999999997</c:v>
                </c:pt>
                <c:pt idx="55">
                  <c:v>0.14899999999999999</c:v>
                </c:pt>
                <c:pt idx="56">
                  <c:v>0.109</c:v>
                </c:pt>
                <c:pt idx="57">
                  <c:v>0.21199999999999999</c:v>
                </c:pt>
                <c:pt idx="58">
                  <c:v>0</c:v>
                </c:pt>
                <c:pt idx="59">
                  <c:v>0</c:v>
                </c:pt>
                <c:pt idx="60">
                  <c:v>0.218</c:v>
                </c:pt>
                <c:pt idx="61">
                  <c:v>0.21199999999999999</c:v>
                </c:pt>
                <c:pt idx="62">
                  <c:v>0</c:v>
                </c:pt>
                <c:pt idx="63">
                  <c:v>8.8999999999999996E-2</c:v>
                </c:pt>
                <c:pt idx="64">
                  <c:v>0.20300000000000001</c:v>
                </c:pt>
                <c:pt idx="65">
                  <c:v>5.6000000000000001E-2</c:v>
                </c:pt>
                <c:pt idx="66">
                  <c:v>0.13700000000000001</c:v>
                </c:pt>
                <c:pt idx="67">
                  <c:v>2.8000000000000001E-2</c:v>
                </c:pt>
                <c:pt idx="68">
                  <c:v>8.7999999999999995E-2</c:v>
                </c:pt>
                <c:pt idx="69">
                  <c:v>0</c:v>
                </c:pt>
                <c:pt idx="70">
                  <c:v>0.16400000000000001</c:v>
                </c:pt>
                <c:pt idx="71">
                  <c:v>7.1999999999999995E-2</c:v>
                </c:pt>
                <c:pt idx="72">
                  <c:v>0.24099999999999999</c:v>
                </c:pt>
                <c:pt idx="73">
                  <c:v>8.8999999999999996E-2</c:v>
                </c:pt>
                <c:pt idx="74">
                  <c:v>3.2000000000000001E-2</c:v>
                </c:pt>
                <c:pt idx="75">
                  <c:v>0.20799999999999999</c:v>
                </c:pt>
                <c:pt idx="76">
                  <c:v>0.2</c:v>
                </c:pt>
                <c:pt idx="77">
                  <c:v>5.6000000000000001E-2</c:v>
                </c:pt>
                <c:pt idx="78">
                  <c:v>0.20699999999999999</c:v>
                </c:pt>
                <c:pt idx="79">
                  <c:v>0.26300000000000001</c:v>
                </c:pt>
                <c:pt idx="80">
                  <c:v>0.16900000000000001</c:v>
                </c:pt>
                <c:pt idx="81">
                  <c:v>0.22500000000000001</c:v>
                </c:pt>
                <c:pt idx="82">
                  <c:v>0.182</c:v>
                </c:pt>
                <c:pt idx="83">
                  <c:v>0.104</c:v>
                </c:pt>
                <c:pt idx="84">
                  <c:v>0.245</c:v>
                </c:pt>
                <c:pt idx="85">
                  <c:v>0.10299999999999999</c:v>
                </c:pt>
                <c:pt idx="86">
                  <c:v>0.16</c:v>
                </c:pt>
                <c:pt idx="87">
                  <c:v>2.1000000000000001E-2</c:v>
                </c:pt>
                <c:pt idx="88">
                  <c:v>0</c:v>
                </c:pt>
                <c:pt idx="89">
                  <c:v>0.106</c:v>
                </c:pt>
                <c:pt idx="90">
                  <c:v>0.29199999999999998</c:v>
                </c:pt>
                <c:pt idx="91">
                  <c:v>7.3999999999999996E-2</c:v>
                </c:pt>
                <c:pt idx="92">
                  <c:v>0.18</c:v>
                </c:pt>
                <c:pt idx="93">
                  <c:v>0.111</c:v>
                </c:pt>
                <c:pt idx="94">
                  <c:v>4.2999999999999997E-2</c:v>
                </c:pt>
                <c:pt idx="95">
                  <c:v>0.13100000000000001</c:v>
                </c:pt>
                <c:pt idx="96">
                  <c:v>5.6000000000000001E-2</c:v>
                </c:pt>
                <c:pt idx="97">
                  <c:v>5.3999999999999999E-2</c:v>
                </c:pt>
                <c:pt idx="98">
                  <c:v>0.157</c:v>
                </c:pt>
                <c:pt idx="99">
                  <c:v>0.115</c:v>
                </c:pt>
                <c:pt idx="100">
                  <c:v>4.2999999999999997E-2</c:v>
                </c:pt>
                <c:pt idx="101">
                  <c:v>0.10199999999999999</c:v>
                </c:pt>
                <c:pt idx="102">
                  <c:v>0.17199999999999999</c:v>
                </c:pt>
                <c:pt idx="103">
                  <c:v>7.1999999999999995E-2</c:v>
                </c:pt>
                <c:pt idx="104">
                  <c:v>0.17599999999999999</c:v>
                </c:pt>
                <c:pt idx="105">
                  <c:v>0.19600000000000001</c:v>
                </c:pt>
                <c:pt idx="106">
                  <c:v>0</c:v>
                </c:pt>
                <c:pt idx="107">
                  <c:v>6.9000000000000006E-2</c:v>
                </c:pt>
                <c:pt idx="108">
                  <c:v>6.4000000000000001E-2</c:v>
                </c:pt>
                <c:pt idx="109">
                  <c:v>0.19700000000000001</c:v>
                </c:pt>
                <c:pt idx="110">
                  <c:v>0.05</c:v>
                </c:pt>
                <c:pt idx="111">
                  <c:v>0.13600000000000001</c:v>
                </c:pt>
                <c:pt idx="112">
                  <c:v>0.14299999999999999</c:v>
                </c:pt>
                <c:pt idx="113">
                  <c:v>0.15</c:v>
                </c:pt>
                <c:pt idx="114">
                  <c:v>0.14799999999999999</c:v>
                </c:pt>
                <c:pt idx="115">
                  <c:v>7.0999999999999994E-2</c:v>
                </c:pt>
                <c:pt idx="116">
                  <c:v>0.161</c:v>
                </c:pt>
                <c:pt idx="117">
                  <c:v>0.151</c:v>
                </c:pt>
                <c:pt idx="118">
                  <c:v>8.4000000000000005E-2</c:v>
                </c:pt>
                <c:pt idx="119">
                  <c:v>0.14699999999999999</c:v>
                </c:pt>
                <c:pt idx="120">
                  <c:v>0.19400000000000001</c:v>
                </c:pt>
                <c:pt idx="121">
                  <c:v>0.35699999999999998</c:v>
                </c:pt>
                <c:pt idx="122">
                  <c:v>7.1999999999999995E-2</c:v>
                </c:pt>
                <c:pt idx="123">
                  <c:v>0</c:v>
                </c:pt>
                <c:pt idx="124">
                  <c:v>0.215</c:v>
                </c:pt>
                <c:pt idx="125">
                  <c:v>0.25900000000000001</c:v>
                </c:pt>
                <c:pt idx="126">
                  <c:v>0.24299999999999999</c:v>
                </c:pt>
                <c:pt idx="127">
                  <c:v>6.3E-2</c:v>
                </c:pt>
                <c:pt idx="128">
                  <c:v>0.27200000000000002</c:v>
                </c:pt>
                <c:pt idx="129">
                  <c:v>0.154</c:v>
                </c:pt>
                <c:pt idx="130">
                  <c:v>0.02</c:v>
                </c:pt>
                <c:pt idx="131">
                  <c:v>0.13300000000000001</c:v>
                </c:pt>
                <c:pt idx="132">
                  <c:v>0</c:v>
                </c:pt>
                <c:pt idx="133">
                  <c:v>0</c:v>
                </c:pt>
                <c:pt idx="134">
                  <c:v>6.6000000000000003E-2</c:v>
                </c:pt>
                <c:pt idx="135">
                  <c:v>0.214</c:v>
                </c:pt>
                <c:pt idx="136">
                  <c:v>0.128</c:v>
                </c:pt>
                <c:pt idx="137">
                  <c:v>0.16900000000000001</c:v>
                </c:pt>
                <c:pt idx="138">
                  <c:v>6.3E-2</c:v>
                </c:pt>
                <c:pt idx="139">
                  <c:v>4.0000000000000001E-3</c:v>
                </c:pt>
                <c:pt idx="140">
                  <c:v>0.02</c:v>
                </c:pt>
                <c:pt idx="141">
                  <c:v>7.1999999999999995E-2</c:v>
                </c:pt>
                <c:pt idx="142">
                  <c:v>0</c:v>
                </c:pt>
                <c:pt idx="143">
                  <c:v>8.9999999999999993E-3</c:v>
                </c:pt>
                <c:pt idx="144">
                  <c:v>4.7E-2</c:v>
                </c:pt>
                <c:pt idx="145">
                  <c:v>0</c:v>
                </c:pt>
                <c:pt idx="146">
                  <c:v>0.187</c:v>
                </c:pt>
                <c:pt idx="147">
                  <c:v>0</c:v>
                </c:pt>
                <c:pt idx="148">
                  <c:v>0.217</c:v>
                </c:pt>
                <c:pt idx="149">
                  <c:v>0.10100000000000001</c:v>
                </c:pt>
                <c:pt idx="150">
                  <c:v>9.5000000000000001E-2</c:v>
                </c:pt>
                <c:pt idx="151">
                  <c:v>0.13600000000000001</c:v>
                </c:pt>
                <c:pt idx="152">
                  <c:v>9.9000000000000005E-2</c:v>
                </c:pt>
                <c:pt idx="153">
                  <c:v>7.3999999999999996E-2</c:v>
                </c:pt>
                <c:pt idx="154">
                  <c:v>9.1999999999999998E-2</c:v>
                </c:pt>
                <c:pt idx="155">
                  <c:v>0.18099999999999999</c:v>
                </c:pt>
                <c:pt idx="156">
                  <c:v>0.17299999999999999</c:v>
                </c:pt>
                <c:pt idx="157">
                  <c:v>8.8999999999999996E-2</c:v>
                </c:pt>
                <c:pt idx="158">
                  <c:v>0.10299999999999999</c:v>
                </c:pt>
                <c:pt idx="159">
                  <c:v>0</c:v>
                </c:pt>
                <c:pt idx="160">
                  <c:v>9.4E-2</c:v>
                </c:pt>
                <c:pt idx="161">
                  <c:v>9.8000000000000004E-2</c:v>
                </c:pt>
                <c:pt idx="162">
                  <c:v>0.121</c:v>
                </c:pt>
                <c:pt idx="163">
                  <c:v>2.5000000000000001E-2</c:v>
                </c:pt>
                <c:pt idx="164">
                  <c:v>0.14899999999999999</c:v>
                </c:pt>
                <c:pt idx="165">
                  <c:v>0.126</c:v>
                </c:pt>
                <c:pt idx="166">
                  <c:v>0.17100000000000001</c:v>
                </c:pt>
                <c:pt idx="167">
                  <c:v>0.13800000000000001</c:v>
                </c:pt>
                <c:pt idx="168">
                  <c:v>0.188</c:v>
                </c:pt>
                <c:pt idx="169">
                  <c:v>0.222</c:v>
                </c:pt>
                <c:pt idx="170">
                  <c:v>6.9000000000000006E-2</c:v>
                </c:pt>
                <c:pt idx="171">
                  <c:v>5.8000000000000003E-2</c:v>
                </c:pt>
                <c:pt idx="172">
                  <c:v>0.17399999999999999</c:v>
                </c:pt>
                <c:pt idx="173">
                  <c:v>0.154</c:v>
                </c:pt>
                <c:pt idx="174">
                  <c:v>0</c:v>
                </c:pt>
                <c:pt idx="175">
                  <c:v>1.7999999999999999E-2</c:v>
                </c:pt>
                <c:pt idx="176">
                  <c:v>0</c:v>
                </c:pt>
                <c:pt idx="177">
                  <c:v>0.11899999999999999</c:v>
                </c:pt>
                <c:pt idx="178">
                  <c:v>0.13500000000000001</c:v>
                </c:pt>
                <c:pt idx="179">
                  <c:v>0.158</c:v>
                </c:pt>
                <c:pt idx="180">
                  <c:v>0</c:v>
                </c:pt>
                <c:pt idx="181">
                  <c:v>0.23899999999999999</c:v>
                </c:pt>
                <c:pt idx="182">
                  <c:v>0.254</c:v>
                </c:pt>
                <c:pt idx="183">
                  <c:v>0.18</c:v>
                </c:pt>
                <c:pt idx="184">
                  <c:v>5.8000000000000003E-2</c:v>
                </c:pt>
                <c:pt idx="185">
                  <c:v>0.126</c:v>
                </c:pt>
                <c:pt idx="186">
                  <c:v>0.105</c:v>
                </c:pt>
                <c:pt idx="187">
                  <c:v>0</c:v>
                </c:pt>
                <c:pt idx="188">
                  <c:v>4.7E-2</c:v>
                </c:pt>
                <c:pt idx="189">
                  <c:v>0.19700000000000001</c:v>
                </c:pt>
                <c:pt idx="190">
                  <c:v>0.129</c:v>
                </c:pt>
                <c:pt idx="191">
                  <c:v>0.186</c:v>
                </c:pt>
                <c:pt idx="192">
                  <c:v>0</c:v>
                </c:pt>
                <c:pt idx="193">
                  <c:v>9.1999999999999998E-2</c:v>
                </c:pt>
                <c:pt idx="194">
                  <c:v>0.109</c:v>
                </c:pt>
                <c:pt idx="195">
                  <c:v>0.21099999999999999</c:v>
                </c:pt>
                <c:pt idx="196">
                  <c:v>0.182</c:v>
                </c:pt>
                <c:pt idx="197">
                  <c:v>0</c:v>
                </c:pt>
                <c:pt idx="198">
                  <c:v>8.7999999999999995E-2</c:v>
                </c:pt>
                <c:pt idx="199">
                  <c:v>0.13900000000000001</c:v>
                </c:pt>
                <c:pt idx="200">
                  <c:v>3.7999999999999999E-2</c:v>
                </c:pt>
                <c:pt idx="201">
                  <c:v>0.114</c:v>
                </c:pt>
                <c:pt idx="202">
                  <c:v>0.2</c:v>
                </c:pt>
                <c:pt idx="203">
                  <c:v>8.4000000000000005E-2</c:v>
                </c:pt>
                <c:pt idx="204">
                  <c:v>0.09</c:v>
                </c:pt>
                <c:pt idx="205">
                  <c:v>7.4999999999999997E-2</c:v>
                </c:pt>
                <c:pt idx="206">
                  <c:v>0.08</c:v>
                </c:pt>
                <c:pt idx="207">
                  <c:v>7.0999999999999994E-2</c:v>
                </c:pt>
                <c:pt idx="208">
                  <c:v>0.20499999999999999</c:v>
                </c:pt>
                <c:pt idx="209">
                  <c:v>0.17399999999999999</c:v>
                </c:pt>
                <c:pt idx="210">
                  <c:v>0.13200000000000001</c:v>
                </c:pt>
                <c:pt idx="211">
                  <c:v>0.19600000000000001</c:v>
                </c:pt>
                <c:pt idx="212">
                  <c:v>8.8999999999999996E-2</c:v>
                </c:pt>
                <c:pt idx="213">
                  <c:v>0.186</c:v>
                </c:pt>
                <c:pt idx="214">
                  <c:v>5.2999999999999999E-2</c:v>
                </c:pt>
                <c:pt idx="215">
                  <c:v>0.29199999999999998</c:v>
                </c:pt>
                <c:pt idx="216">
                  <c:v>0.123</c:v>
                </c:pt>
                <c:pt idx="217">
                  <c:v>0.16500000000000001</c:v>
                </c:pt>
                <c:pt idx="218">
                  <c:v>0.112</c:v>
                </c:pt>
                <c:pt idx="219">
                  <c:v>0.155</c:v>
                </c:pt>
                <c:pt idx="220">
                  <c:v>0.02</c:v>
                </c:pt>
                <c:pt idx="221">
                  <c:v>2.9000000000000001E-2</c:v>
                </c:pt>
                <c:pt idx="222">
                  <c:v>4.0000000000000001E-3</c:v>
                </c:pt>
                <c:pt idx="223">
                  <c:v>3.2000000000000001E-2</c:v>
                </c:pt>
                <c:pt idx="224">
                  <c:v>0.115</c:v>
                </c:pt>
                <c:pt idx="225">
                  <c:v>0.14399999999999999</c:v>
                </c:pt>
                <c:pt idx="226">
                  <c:v>0.125</c:v>
                </c:pt>
                <c:pt idx="227">
                  <c:v>0.113</c:v>
                </c:pt>
                <c:pt idx="228">
                  <c:v>6.2E-2</c:v>
                </c:pt>
                <c:pt idx="229">
                  <c:v>0.155</c:v>
                </c:pt>
                <c:pt idx="230">
                  <c:v>0.22600000000000001</c:v>
                </c:pt>
                <c:pt idx="231">
                  <c:v>6.0000000000000001E-3</c:v>
                </c:pt>
                <c:pt idx="232">
                  <c:v>0.17699999999999999</c:v>
                </c:pt>
                <c:pt idx="233">
                  <c:v>0.152</c:v>
                </c:pt>
                <c:pt idx="234">
                  <c:v>0.24299999999999999</c:v>
                </c:pt>
                <c:pt idx="235">
                  <c:v>6.8000000000000005E-2</c:v>
                </c:pt>
                <c:pt idx="236">
                  <c:v>0.13900000000000001</c:v>
                </c:pt>
                <c:pt idx="237">
                  <c:v>0</c:v>
                </c:pt>
                <c:pt idx="238">
                  <c:v>3.4000000000000002E-2</c:v>
                </c:pt>
                <c:pt idx="239">
                  <c:v>0.13800000000000001</c:v>
                </c:pt>
                <c:pt idx="240">
                  <c:v>7.5999999999999998E-2</c:v>
                </c:pt>
                <c:pt idx="241">
                  <c:v>7.2999999999999995E-2</c:v>
                </c:pt>
                <c:pt idx="242">
                  <c:v>4.2999999999999997E-2</c:v>
                </c:pt>
                <c:pt idx="243">
                  <c:v>3.6999999999999998E-2</c:v>
                </c:pt>
                <c:pt idx="244">
                  <c:v>0.115</c:v>
                </c:pt>
                <c:pt idx="245">
                  <c:v>0.23799999999999999</c:v>
                </c:pt>
                <c:pt idx="246">
                  <c:v>0.14699999999999999</c:v>
                </c:pt>
                <c:pt idx="247">
                  <c:v>0.01</c:v>
                </c:pt>
                <c:pt idx="248">
                  <c:v>0.184</c:v>
                </c:pt>
                <c:pt idx="249">
                  <c:v>0.127</c:v>
                </c:pt>
                <c:pt idx="250">
                  <c:v>4.2000000000000003E-2</c:v>
                </c:pt>
                <c:pt idx="251">
                  <c:v>0.122</c:v>
                </c:pt>
                <c:pt idx="252">
                  <c:v>4.5999999999999999E-2</c:v>
                </c:pt>
                <c:pt idx="253">
                  <c:v>0.13400000000000001</c:v>
                </c:pt>
                <c:pt idx="254">
                  <c:v>0.151</c:v>
                </c:pt>
                <c:pt idx="255">
                  <c:v>5.2999999999999999E-2</c:v>
                </c:pt>
                <c:pt idx="256">
                  <c:v>0.14599999999999999</c:v>
                </c:pt>
                <c:pt idx="257">
                  <c:v>0.113</c:v>
                </c:pt>
                <c:pt idx="258">
                  <c:v>0.23</c:v>
                </c:pt>
                <c:pt idx="259">
                  <c:v>0.151</c:v>
                </c:pt>
                <c:pt idx="260">
                  <c:v>0.20499999999999999</c:v>
                </c:pt>
                <c:pt idx="261">
                  <c:v>0.10299999999999999</c:v>
                </c:pt>
                <c:pt idx="262">
                  <c:v>0.23300000000000001</c:v>
                </c:pt>
                <c:pt idx="263">
                  <c:v>0.157</c:v>
                </c:pt>
                <c:pt idx="264">
                  <c:v>0.10100000000000001</c:v>
                </c:pt>
                <c:pt idx="265">
                  <c:v>0.16900000000000001</c:v>
                </c:pt>
                <c:pt idx="266">
                  <c:v>0.11799999999999999</c:v>
                </c:pt>
                <c:pt idx="267">
                  <c:v>4.1000000000000002E-2</c:v>
                </c:pt>
                <c:pt idx="268">
                  <c:v>0</c:v>
                </c:pt>
                <c:pt idx="269">
                  <c:v>0.1</c:v>
                </c:pt>
                <c:pt idx="270">
                  <c:v>0.20899999999999999</c:v>
                </c:pt>
                <c:pt idx="271">
                  <c:v>0.19</c:v>
                </c:pt>
                <c:pt idx="272">
                  <c:v>8.2000000000000003E-2</c:v>
                </c:pt>
                <c:pt idx="273">
                  <c:v>0.16500000000000001</c:v>
                </c:pt>
                <c:pt idx="274">
                  <c:v>0.27</c:v>
                </c:pt>
                <c:pt idx="275">
                  <c:v>0.114</c:v>
                </c:pt>
                <c:pt idx="276">
                  <c:v>8.5999999999999993E-2</c:v>
                </c:pt>
                <c:pt idx="277">
                  <c:v>0.157</c:v>
                </c:pt>
                <c:pt idx="278">
                  <c:v>0.17299999999999999</c:v>
                </c:pt>
                <c:pt idx="279">
                  <c:v>0.185</c:v>
                </c:pt>
                <c:pt idx="280">
                  <c:v>0.13800000000000001</c:v>
                </c:pt>
                <c:pt idx="281">
                  <c:v>0.114</c:v>
                </c:pt>
                <c:pt idx="282">
                  <c:v>0.23499999999999999</c:v>
                </c:pt>
                <c:pt idx="283">
                  <c:v>7.0999999999999994E-2</c:v>
                </c:pt>
                <c:pt idx="284">
                  <c:v>0.113</c:v>
                </c:pt>
                <c:pt idx="285">
                  <c:v>0.159</c:v>
                </c:pt>
                <c:pt idx="286">
                  <c:v>0.12</c:v>
                </c:pt>
                <c:pt idx="287">
                  <c:v>4.2000000000000003E-2</c:v>
                </c:pt>
                <c:pt idx="288">
                  <c:v>0.14000000000000001</c:v>
                </c:pt>
                <c:pt idx="289">
                  <c:v>0.03</c:v>
                </c:pt>
                <c:pt idx="290">
                  <c:v>0.26100000000000001</c:v>
                </c:pt>
                <c:pt idx="291">
                  <c:v>0.17299999999999999</c:v>
                </c:pt>
                <c:pt idx="292">
                  <c:v>0.14799999999999999</c:v>
                </c:pt>
                <c:pt idx="293">
                  <c:v>7.0999999999999994E-2</c:v>
                </c:pt>
                <c:pt idx="294">
                  <c:v>4.2000000000000003E-2</c:v>
                </c:pt>
                <c:pt idx="295">
                  <c:v>7.1999999999999995E-2</c:v>
                </c:pt>
                <c:pt idx="296">
                  <c:v>0.192</c:v>
                </c:pt>
                <c:pt idx="297">
                  <c:v>0.314</c:v>
                </c:pt>
                <c:pt idx="298">
                  <c:v>2.5000000000000001E-2</c:v>
                </c:pt>
                <c:pt idx="299">
                  <c:v>0.13400000000000001</c:v>
                </c:pt>
                <c:pt idx="300">
                  <c:v>0.29499999999999998</c:v>
                </c:pt>
                <c:pt idx="301">
                  <c:v>0.255</c:v>
                </c:pt>
                <c:pt idx="302">
                  <c:v>0.108</c:v>
                </c:pt>
                <c:pt idx="303">
                  <c:v>0.245</c:v>
                </c:pt>
                <c:pt idx="304">
                  <c:v>7.6999999999999999E-2</c:v>
                </c:pt>
                <c:pt idx="305">
                  <c:v>0.113</c:v>
                </c:pt>
                <c:pt idx="306">
                  <c:v>8.6999999999999994E-2</c:v>
                </c:pt>
                <c:pt idx="307">
                  <c:v>0.14699999999999999</c:v>
                </c:pt>
                <c:pt idx="308">
                  <c:v>0</c:v>
                </c:pt>
                <c:pt idx="309">
                  <c:v>0.17399999999999999</c:v>
                </c:pt>
                <c:pt idx="310">
                  <c:v>0.19600000000000001</c:v>
                </c:pt>
                <c:pt idx="311">
                  <c:v>0.105</c:v>
                </c:pt>
                <c:pt idx="312">
                  <c:v>6.4000000000000001E-2</c:v>
                </c:pt>
                <c:pt idx="313">
                  <c:v>0.14499999999999999</c:v>
                </c:pt>
                <c:pt idx="314">
                  <c:v>0.17499999999999999</c:v>
                </c:pt>
                <c:pt idx="315">
                  <c:v>0.104</c:v>
                </c:pt>
                <c:pt idx="316">
                  <c:v>0.114</c:v>
                </c:pt>
                <c:pt idx="317">
                  <c:v>0.09</c:v>
                </c:pt>
                <c:pt idx="318">
                  <c:v>0.14399999999999999</c:v>
                </c:pt>
                <c:pt idx="319">
                  <c:v>0.113</c:v>
                </c:pt>
                <c:pt idx="320">
                  <c:v>0.14599999999999999</c:v>
                </c:pt>
                <c:pt idx="321">
                  <c:v>0</c:v>
                </c:pt>
                <c:pt idx="322">
                  <c:v>0.16800000000000001</c:v>
                </c:pt>
                <c:pt idx="323">
                  <c:v>0.157</c:v>
                </c:pt>
                <c:pt idx="324">
                  <c:v>0.14000000000000001</c:v>
                </c:pt>
                <c:pt idx="325">
                  <c:v>0.14699999999999999</c:v>
                </c:pt>
                <c:pt idx="326">
                  <c:v>0.10299999999999999</c:v>
                </c:pt>
                <c:pt idx="327">
                  <c:v>0.14099999999999999</c:v>
                </c:pt>
                <c:pt idx="328">
                  <c:v>0.22</c:v>
                </c:pt>
                <c:pt idx="329">
                  <c:v>6.6000000000000003E-2</c:v>
                </c:pt>
                <c:pt idx="330">
                  <c:v>0.107</c:v>
                </c:pt>
                <c:pt idx="331">
                  <c:v>0.13100000000000001</c:v>
                </c:pt>
                <c:pt idx="332">
                  <c:v>0.13400000000000001</c:v>
                </c:pt>
                <c:pt idx="333">
                  <c:v>0.157</c:v>
                </c:pt>
                <c:pt idx="334">
                  <c:v>0.151</c:v>
                </c:pt>
                <c:pt idx="335">
                  <c:v>0.13900000000000001</c:v>
                </c:pt>
                <c:pt idx="336">
                  <c:v>0</c:v>
                </c:pt>
                <c:pt idx="337">
                  <c:v>0.02</c:v>
                </c:pt>
                <c:pt idx="338">
                  <c:v>0.184</c:v>
                </c:pt>
                <c:pt idx="339">
                  <c:v>0.10199999999999999</c:v>
                </c:pt>
                <c:pt idx="340">
                  <c:v>7.3999999999999996E-2</c:v>
                </c:pt>
                <c:pt idx="341">
                  <c:v>7.5999999999999998E-2</c:v>
                </c:pt>
                <c:pt idx="342">
                  <c:v>6.8000000000000005E-2</c:v>
                </c:pt>
                <c:pt idx="343">
                  <c:v>3.7999999999999999E-2</c:v>
                </c:pt>
                <c:pt idx="344">
                  <c:v>0.20100000000000001</c:v>
                </c:pt>
                <c:pt idx="345">
                  <c:v>0.105</c:v>
                </c:pt>
                <c:pt idx="346">
                  <c:v>0.10299999999999999</c:v>
                </c:pt>
                <c:pt idx="347">
                  <c:v>7.0999999999999994E-2</c:v>
                </c:pt>
                <c:pt idx="348">
                  <c:v>0.254</c:v>
                </c:pt>
                <c:pt idx="349">
                  <c:v>0.192</c:v>
                </c:pt>
                <c:pt idx="350">
                  <c:v>0.111</c:v>
                </c:pt>
                <c:pt idx="351">
                  <c:v>0.17899999999999999</c:v>
                </c:pt>
                <c:pt idx="352">
                  <c:v>0.24099999999999999</c:v>
                </c:pt>
                <c:pt idx="353">
                  <c:v>0.125</c:v>
                </c:pt>
                <c:pt idx="354">
                  <c:v>9.0999999999999998E-2</c:v>
                </c:pt>
                <c:pt idx="355">
                  <c:v>0.16300000000000001</c:v>
                </c:pt>
                <c:pt idx="356">
                  <c:v>0.187</c:v>
                </c:pt>
                <c:pt idx="357">
                  <c:v>0</c:v>
                </c:pt>
                <c:pt idx="358">
                  <c:v>0.185</c:v>
                </c:pt>
                <c:pt idx="359">
                  <c:v>5.2999999999999999E-2</c:v>
                </c:pt>
                <c:pt idx="360">
                  <c:v>0.24099999999999999</c:v>
                </c:pt>
                <c:pt idx="361">
                  <c:v>0.25</c:v>
                </c:pt>
                <c:pt idx="362">
                  <c:v>0.153</c:v>
                </c:pt>
                <c:pt idx="363">
                  <c:v>0.19600000000000001</c:v>
                </c:pt>
                <c:pt idx="364">
                  <c:v>0.17299999999999999</c:v>
                </c:pt>
                <c:pt idx="365">
                  <c:v>0.187</c:v>
                </c:pt>
                <c:pt idx="366">
                  <c:v>8.1000000000000003E-2</c:v>
                </c:pt>
                <c:pt idx="367">
                  <c:v>0.317</c:v>
                </c:pt>
                <c:pt idx="368">
                  <c:v>8.9999999999999993E-3</c:v>
                </c:pt>
                <c:pt idx="369">
                  <c:v>0.08</c:v>
                </c:pt>
                <c:pt idx="370">
                  <c:v>2.9000000000000001E-2</c:v>
                </c:pt>
                <c:pt idx="371">
                  <c:v>7.3999999999999996E-2</c:v>
                </c:pt>
                <c:pt idx="372">
                  <c:v>0.13500000000000001</c:v>
                </c:pt>
                <c:pt idx="373">
                  <c:v>0.15</c:v>
                </c:pt>
                <c:pt idx="374">
                  <c:v>9.8000000000000004E-2</c:v>
                </c:pt>
                <c:pt idx="375">
                  <c:v>0.115</c:v>
                </c:pt>
                <c:pt idx="376">
                  <c:v>8.3000000000000004E-2</c:v>
                </c:pt>
                <c:pt idx="377">
                  <c:v>0.25700000000000001</c:v>
                </c:pt>
                <c:pt idx="378">
                  <c:v>0.13600000000000001</c:v>
                </c:pt>
                <c:pt idx="379">
                  <c:v>0.183</c:v>
                </c:pt>
                <c:pt idx="380">
                  <c:v>0.11</c:v>
                </c:pt>
                <c:pt idx="381">
                  <c:v>0.107</c:v>
                </c:pt>
                <c:pt idx="382">
                  <c:v>0.24299999999999999</c:v>
                </c:pt>
                <c:pt idx="383">
                  <c:v>4.1000000000000002E-2</c:v>
                </c:pt>
                <c:pt idx="384">
                  <c:v>0.13100000000000001</c:v>
                </c:pt>
                <c:pt idx="385">
                  <c:v>0.189</c:v>
                </c:pt>
                <c:pt idx="386">
                  <c:v>0.151</c:v>
                </c:pt>
                <c:pt idx="387">
                  <c:v>0.26500000000000001</c:v>
                </c:pt>
                <c:pt idx="388">
                  <c:v>0</c:v>
                </c:pt>
                <c:pt idx="389">
                  <c:v>0</c:v>
                </c:pt>
                <c:pt idx="390">
                  <c:v>7.3999999999999996E-2</c:v>
                </c:pt>
                <c:pt idx="391">
                  <c:v>0.13700000000000001</c:v>
                </c:pt>
                <c:pt idx="392">
                  <c:v>4.9000000000000002E-2</c:v>
                </c:pt>
                <c:pt idx="393">
                  <c:v>0.109</c:v>
                </c:pt>
                <c:pt idx="394">
                  <c:v>0</c:v>
                </c:pt>
                <c:pt idx="395">
                  <c:v>0.56499999999999995</c:v>
                </c:pt>
                <c:pt idx="396">
                  <c:v>0</c:v>
                </c:pt>
                <c:pt idx="397">
                  <c:v>0.16500000000000001</c:v>
                </c:pt>
                <c:pt idx="398">
                  <c:v>0</c:v>
                </c:pt>
                <c:pt idx="399">
                  <c:v>0.184</c:v>
                </c:pt>
                <c:pt idx="400">
                  <c:v>0.20300000000000001</c:v>
                </c:pt>
                <c:pt idx="401">
                  <c:v>0.126</c:v>
                </c:pt>
                <c:pt idx="402">
                  <c:v>0.126</c:v>
                </c:pt>
                <c:pt idx="403">
                  <c:v>5.0999999999999997E-2</c:v>
                </c:pt>
                <c:pt idx="404">
                  <c:v>0.13600000000000001</c:v>
                </c:pt>
                <c:pt idx="405">
                  <c:v>0.112</c:v>
                </c:pt>
                <c:pt idx="406">
                  <c:v>0.22500000000000001</c:v>
                </c:pt>
                <c:pt idx="407">
                  <c:v>9.4E-2</c:v>
                </c:pt>
                <c:pt idx="408">
                  <c:v>0.122</c:v>
                </c:pt>
                <c:pt idx="409">
                  <c:v>0.192</c:v>
                </c:pt>
                <c:pt idx="410">
                  <c:v>0.22900000000000001</c:v>
                </c:pt>
                <c:pt idx="411">
                  <c:v>5.8999999999999997E-2</c:v>
                </c:pt>
                <c:pt idx="412">
                  <c:v>0.08</c:v>
                </c:pt>
                <c:pt idx="413">
                  <c:v>2.1999999999999999E-2</c:v>
                </c:pt>
                <c:pt idx="414">
                  <c:v>7.2999999999999995E-2</c:v>
                </c:pt>
                <c:pt idx="415">
                  <c:v>0.125</c:v>
                </c:pt>
                <c:pt idx="416">
                  <c:v>7.1999999999999995E-2</c:v>
                </c:pt>
                <c:pt idx="417">
                  <c:v>0.14099999999999999</c:v>
                </c:pt>
                <c:pt idx="418">
                  <c:v>0.20300000000000001</c:v>
                </c:pt>
                <c:pt idx="419">
                  <c:v>0.126</c:v>
                </c:pt>
                <c:pt idx="420">
                  <c:v>0.318</c:v>
                </c:pt>
                <c:pt idx="421">
                  <c:v>0</c:v>
                </c:pt>
                <c:pt idx="422">
                  <c:v>0.11</c:v>
                </c:pt>
                <c:pt idx="423">
                  <c:v>0.21099999999999999</c:v>
                </c:pt>
                <c:pt idx="424">
                  <c:v>0.16300000000000001</c:v>
                </c:pt>
                <c:pt idx="425">
                  <c:v>5.5E-2</c:v>
                </c:pt>
                <c:pt idx="426">
                  <c:v>0.14799999999999999</c:v>
                </c:pt>
                <c:pt idx="427">
                  <c:v>0</c:v>
                </c:pt>
                <c:pt idx="428">
                  <c:v>8.6999999999999994E-2</c:v>
                </c:pt>
                <c:pt idx="429">
                  <c:v>0</c:v>
                </c:pt>
                <c:pt idx="430">
                  <c:v>2.5000000000000001E-2</c:v>
                </c:pt>
                <c:pt idx="431">
                  <c:v>0.20499999999999999</c:v>
                </c:pt>
                <c:pt idx="432">
                  <c:v>0.13200000000000001</c:v>
                </c:pt>
                <c:pt idx="433">
                  <c:v>0.113</c:v>
                </c:pt>
                <c:pt idx="434">
                  <c:v>0.188</c:v>
                </c:pt>
                <c:pt idx="435">
                  <c:v>5.5E-2</c:v>
                </c:pt>
                <c:pt idx="436">
                  <c:v>0.16</c:v>
                </c:pt>
                <c:pt idx="437">
                  <c:v>0.185</c:v>
                </c:pt>
                <c:pt idx="438">
                  <c:v>0.19400000000000001</c:v>
                </c:pt>
                <c:pt idx="439">
                  <c:v>5.8999999999999997E-2</c:v>
                </c:pt>
                <c:pt idx="440">
                  <c:v>0.107</c:v>
                </c:pt>
                <c:pt idx="441">
                  <c:v>4.9000000000000002E-2</c:v>
                </c:pt>
                <c:pt idx="442">
                  <c:v>0</c:v>
                </c:pt>
                <c:pt idx="443">
                  <c:v>0.107</c:v>
                </c:pt>
                <c:pt idx="444">
                  <c:v>7.8E-2</c:v>
                </c:pt>
                <c:pt idx="445">
                  <c:v>0</c:v>
                </c:pt>
                <c:pt idx="446">
                  <c:v>1.4E-2</c:v>
                </c:pt>
                <c:pt idx="447">
                  <c:v>3.9E-2</c:v>
                </c:pt>
                <c:pt idx="448">
                  <c:v>0.24</c:v>
                </c:pt>
                <c:pt idx="449">
                  <c:v>0.10100000000000001</c:v>
                </c:pt>
                <c:pt idx="450">
                  <c:v>8.3000000000000004E-2</c:v>
                </c:pt>
                <c:pt idx="451">
                  <c:v>4.0000000000000001E-3</c:v>
                </c:pt>
                <c:pt idx="452">
                  <c:v>0.14399999999999999</c:v>
                </c:pt>
                <c:pt idx="453">
                  <c:v>0.16700000000000001</c:v>
                </c:pt>
                <c:pt idx="454">
                  <c:v>9.2999999999999999E-2</c:v>
                </c:pt>
                <c:pt idx="455">
                  <c:v>0.123</c:v>
                </c:pt>
                <c:pt idx="456">
                  <c:v>0.17499999999999999</c:v>
                </c:pt>
                <c:pt idx="457">
                  <c:v>0</c:v>
                </c:pt>
                <c:pt idx="458">
                  <c:v>3.1E-2</c:v>
                </c:pt>
                <c:pt idx="459">
                  <c:v>0.127</c:v>
                </c:pt>
                <c:pt idx="460">
                  <c:v>0</c:v>
                </c:pt>
                <c:pt idx="461">
                  <c:v>0.216</c:v>
                </c:pt>
                <c:pt idx="462">
                  <c:v>0.22900000000000001</c:v>
                </c:pt>
                <c:pt idx="463">
                  <c:v>0.11600000000000001</c:v>
                </c:pt>
                <c:pt idx="464">
                  <c:v>9.9000000000000005E-2</c:v>
                </c:pt>
                <c:pt idx="465">
                  <c:v>0.187</c:v>
                </c:pt>
                <c:pt idx="466">
                  <c:v>0.153</c:v>
                </c:pt>
                <c:pt idx="467">
                  <c:v>0.23699999999999999</c:v>
                </c:pt>
                <c:pt idx="468">
                  <c:v>5.8999999999999997E-2</c:v>
                </c:pt>
                <c:pt idx="469">
                  <c:v>0.13500000000000001</c:v>
                </c:pt>
                <c:pt idx="470">
                  <c:v>0.13800000000000001</c:v>
                </c:pt>
                <c:pt idx="471">
                  <c:v>0.14199999999999999</c:v>
                </c:pt>
                <c:pt idx="472">
                  <c:v>0.1</c:v>
                </c:pt>
                <c:pt idx="473">
                  <c:v>7.1999999999999995E-2</c:v>
                </c:pt>
                <c:pt idx="474">
                  <c:v>0.126</c:v>
                </c:pt>
                <c:pt idx="475">
                  <c:v>0.107</c:v>
                </c:pt>
                <c:pt idx="476">
                  <c:v>0.12</c:v>
                </c:pt>
                <c:pt idx="477">
                  <c:v>9.1999999999999998E-2</c:v>
                </c:pt>
                <c:pt idx="478">
                  <c:v>0.157</c:v>
                </c:pt>
                <c:pt idx="479">
                  <c:v>0.13600000000000001</c:v>
                </c:pt>
                <c:pt idx="480">
                  <c:v>0.14599999999999999</c:v>
                </c:pt>
                <c:pt idx="481">
                  <c:v>0.25</c:v>
                </c:pt>
                <c:pt idx="482">
                  <c:v>0.14000000000000001</c:v>
                </c:pt>
                <c:pt idx="483">
                  <c:v>0.161</c:v>
                </c:pt>
                <c:pt idx="484">
                  <c:v>0.13</c:v>
                </c:pt>
                <c:pt idx="485">
                  <c:v>0.13900000000000001</c:v>
                </c:pt>
                <c:pt idx="486">
                  <c:v>0.10199999999999999</c:v>
                </c:pt>
                <c:pt idx="487">
                  <c:v>0.121</c:v>
                </c:pt>
                <c:pt idx="488">
                  <c:v>0.129</c:v>
                </c:pt>
                <c:pt idx="489">
                  <c:v>0.34300000000000003</c:v>
                </c:pt>
                <c:pt idx="490">
                  <c:v>4.4999999999999998E-2</c:v>
                </c:pt>
                <c:pt idx="491">
                  <c:v>4.3999999999999997E-2</c:v>
                </c:pt>
                <c:pt idx="492">
                  <c:v>0.29899999999999999</c:v>
                </c:pt>
                <c:pt idx="493">
                  <c:v>0.192</c:v>
                </c:pt>
                <c:pt idx="494">
                  <c:v>6.6000000000000003E-2</c:v>
                </c:pt>
                <c:pt idx="495">
                  <c:v>0.20399999999999999</c:v>
                </c:pt>
                <c:pt idx="496">
                  <c:v>0</c:v>
                </c:pt>
                <c:pt idx="497">
                  <c:v>9.2999999999999999E-2</c:v>
                </c:pt>
                <c:pt idx="498">
                  <c:v>7.1999999999999995E-2</c:v>
                </c:pt>
                <c:pt idx="499">
                  <c:v>0.107</c:v>
                </c:pt>
                <c:pt idx="500">
                  <c:v>7.0000000000000007E-2</c:v>
                </c:pt>
                <c:pt idx="501">
                  <c:v>0.107</c:v>
                </c:pt>
                <c:pt idx="502">
                  <c:v>0</c:v>
                </c:pt>
                <c:pt idx="503">
                  <c:v>0.17599999999999999</c:v>
                </c:pt>
                <c:pt idx="504">
                  <c:v>0.12</c:v>
                </c:pt>
                <c:pt idx="505">
                  <c:v>6.6000000000000003E-2</c:v>
                </c:pt>
                <c:pt idx="506">
                  <c:v>0.23699999999999999</c:v>
                </c:pt>
                <c:pt idx="507">
                  <c:v>0.185</c:v>
                </c:pt>
                <c:pt idx="508">
                  <c:v>0.27800000000000002</c:v>
                </c:pt>
                <c:pt idx="509">
                  <c:v>2.1999999999999999E-2</c:v>
                </c:pt>
                <c:pt idx="510">
                  <c:v>3.1E-2</c:v>
                </c:pt>
                <c:pt idx="511">
                  <c:v>0.12</c:v>
                </c:pt>
                <c:pt idx="512">
                  <c:v>0.11799999999999999</c:v>
                </c:pt>
                <c:pt idx="513">
                  <c:v>0</c:v>
                </c:pt>
                <c:pt idx="514">
                  <c:v>0.122</c:v>
                </c:pt>
                <c:pt idx="515">
                  <c:v>0.152</c:v>
                </c:pt>
                <c:pt idx="516">
                  <c:v>9.1999999999999998E-2</c:v>
                </c:pt>
                <c:pt idx="517">
                  <c:v>0.29299999999999998</c:v>
                </c:pt>
                <c:pt idx="518">
                  <c:v>0.124</c:v>
                </c:pt>
                <c:pt idx="519">
                  <c:v>7.8E-2</c:v>
                </c:pt>
                <c:pt idx="520">
                  <c:v>8.9999999999999993E-3</c:v>
                </c:pt>
                <c:pt idx="521">
                  <c:v>9.7000000000000003E-2</c:v>
                </c:pt>
                <c:pt idx="522">
                  <c:v>5.7000000000000002E-2</c:v>
                </c:pt>
                <c:pt idx="523">
                  <c:v>0.248</c:v>
                </c:pt>
                <c:pt idx="524">
                  <c:v>5.0999999999999997E-2</c:v>
                </c:pt>
                <c:pt idx="525">
                  <c:v>8.4000000000000005E-2</c:v>
                </c:pt>
                <c:pt idx="526">
                  <c:v>8.3000000000000004E-2</c:v>
                </c:pt>
                <c:pt idx="527">
                  <c:v>6.6000000000000003E-2</c:v>
                </c:pt>
                <c:pt idx="528">
                  <c:v>0.22</c:v>
                </c:pt>
                <c:pt idx="529">
                  <c:v>0.188</c:v>
                </c:pt>
                <c:pt idx="530">
                  <c:v>0.189</c:v>
                </c:pt>
                <c:pt idx="531">
                  <c:v>3.4000000000000002E-2</c:v>
                </c:pt>
                <c:pt idx="532">
                  <c:v>0.19</c:v>
                </c:pt>
                <c:pt idx="533">
                  <c:v>0.19700000000000001</c:v>
                </c:pt>
                <c:pt idx="534">
                  <c:v>5.0999999999999997E-2</c:v>
                </c:pt>
                <c:pt idx="535">
                  <c:v>0.14799999999999999</c:v>
                </c:pt>
                <c:pt idx="536">
                  <c:v>0.13200000000000001</c:v>
                </c:pt>
                <c:pt idx="537">
                  <c:v>0.25700000000000001</c:v>
                </c:pt>
                <c:pt idx="538">
                  <c:v>0.13500000000000001</c:v>
                </c:pt>
                <c:pt idx="539">
                  <c:v>3.7999999999999999E-2</c:v>
                </c:pt>
                <c:pt idx="540">
                  <c:v>0.216</c:v>
                </c:pt>
                <c:pt idx="541">
                  <c:v>9.4E-2</c:v>
                </c:pt>
                <c:pt idx="542">
                  <c:v>5.8999999999999997E-2</c:v>
                </c:pt>
                <c:pt idx="543">
                  <c:v>9.0999999999999998E-2</c:v>
                </c:pt>
                <c:pt idx="544">
                  <c:v>0.20699999999999999</c:v>
                </c:pt>
                <c:pt idx="545">
                  <c:v>5.6000000000000001E-2</c:v>
                </c:pt>
                <c:pt idx="546">
                  <c:v>2.8000000000000001E-2</c:v>
                </c:pt>
                <c:pt idx="547">
                  <c:v>0.16700000000000001</c:v>
                </c:pt>
                <c:pt idx="548">
                  <c:v>0.14299999999999999</c:v>
                </c:pt>
                <c:pt idx="549">
                  <c:v>8.9999999999999993E-3</c:v>
                </c:pt>
                <c:pt idx="550">
                  <c:v>0</c:v>
                </c:pt>
                <c:pt idx="551">
                  <c:v>0.16700000000000001</c:v>
                </c:pt>
                <c:pt idx="552">
                  <c:v>8.8999999999999996E-2</c:v>
                </c:pt>
                <c:pt idx="553">
                  <c:v>0.19700000000000001</c:v>
                </c:pt>
                <c:pt idx="554">
                  <c:v>0</c:v>
                </c:pt>
                <c:pt idx="555">
                  <c:v>1.2E-2</c:v>
                </c:pt>
                <c:pt idx="556">
                  <c:v>0.11</c:v>
                </c:pt>
                <c:pt idx="557">
                  <c:v>0.123</c:v>
                </c:pt>
                <c:pt idx="558">
                  <c:v>4.2000000000000003E-2</c:v>
                </c:pt>
                <c:pt idx="559">
                  <c:v>0.184</c:v>
                </c:pt>
                <c:pt idx="560">
                  <c:v>0.13900000000000001</c:v>
                </c:pt>
                <c:pt idx="561">
                  <c:v>0.14599999999999999</c:v>
                </c:pt>
                <c:pt idx="562">
                  <c:v>0</c:v>
                </c:pt>
                <c:pt idx="563">
                  <c:v>6.7000000000000004E-2</c:v>
                </c:pt>
                <c:pt idx="564">
                  <c:v>0.17</c:v>
                </c:pt>
                <c:pt idx="565">
                  <c:v>0.10199999999999999</c:v>
                </c:pt>
                <c:pt idx="566">
                  <c:v>0.185</c:v>
                </c:pt>
                <c:pt idx="567">
                  <c:v>0.16300000000000001</c:v>
                </c:pt>
                <c:pt idx="568">
                  <c:v>5.5E-2</c:v>
                </c:pt>
                <c:pt idx="569">
                  <c:v>6.8000000000000005E-2</c:v>
                </c:pt>
                <c:pt idx="570">
                  <c:v>0.104</c:v>
                </c:pt>
                <c:pt idx="571">
                  <c:v>3.4000000000000002E-2</c:v>
                </c:pt>
                <c:pt idx="572">
                  <c:v>0.255</c:v>
                </c:pt>
                <c:pt idx="573">
                  <c:v>3.7999999999999999E-2</c:v>
                </c:pt>
                <c:pt idx="574">
                  <c:v>0.123</c:v>
                </c:pt>
                <c:pt idx="575">
                  <c:v>0.17399999999999999</c:v>
                </c:pt>
                <c:pt idx="576">
                  <c:v>7.8E-2</c:v>
                </c:pt>
                <c:pt idx="577">
                  <c:v>0.109</c:v>
                </c:pt>
                <c:pt idx="578">
                  <c:v>7.8E-2</c:v>
                </c:pt>
                <c:pt idx="579">
                  <c:v>0.17899999999999999</c:v>
                </c:pt>
                <c:pt idx="580">
                  <c:v>0.23899999999999999</c:v>
                </c:pt>
                <c:pt idx="581">
                  <c:v>5.7000000000000002E-2</c:v>
                </c:pt>
                <c:pt idx="582">
                  <c:v>0.111</c:v>
                </c:pt>
                <c:pt idx="583">
                  <c:v>0</c:v>
                </c:pt>
                <c:pt idx="584">
                  <c:v>4.7E-2</c:v>
                </c:pt>
                <c:pt idx="585">
                  <c:v>0.14599999999999999</c:v>
                </c:pt>
                <c:pt idx="586">
                  <c:v>0.28199999999999997</c:v>
                </c:pt>
                <c:pt idx="587">
                  <c:v>0.104</c:v>
                </c:pt>
                <c:pt idx="588">
                  <c:v>0</c:v>
                </c:pt>
                <c:pt idx="589">
                  <c:v>9.4E-2</c:v>
                </c:pt>
                <c:pt idx="590">
                  <c:v>1.7000000000000001E-2</c:v>
                </c:pt>
                <c:pt idx="591">
                  <c:v>0.112</c:v>
                </c:pt>
                <c:pt idx="592">
                  <c:v>0.129</c:v>
                </c:pt>
                <c:pt idx="593">
                  <c:v>0.108</c:v>
                </c:pt>
                <c:pt idx="594">
                  <c:v>0.09</c:v>
                </c:pt>
                <c:pt idx="595">
                  <c:v>0.151</c:v>
                </c:pt>
                <c:pt idx="596">
                  <c:v>0</c:v>
                </c:pt>
                <c:pt idx="597">
                  <c:v>0.106</c:v>
                </c:pt>
                <c:pt idx="598">
                  <c:v>0.20399999999999999</c:v>
                </c:pt>
                <c:pt idx="599">
                  <c:v>6.7000000000000004E-2</c:v>
                </c:pt>
                <c:pt idx="600">
                  <c:v>0.215</c:v>
                </c:pt>
                <c:pt idx="601">
                  <c:v>0.25800000000000001</c:v>
                </c:pt>
                <c:pt idx="602">
                  <c:v>0.17</c:v>
                </c:pt>
                <c:pt idx="603">
                  <c:v>0.19400000000000001</c:v>
                </c:pt>
                <c:pt idx="604">
                  <c:v>0</c:v>
                </c:pt>
                <c:pt idx="605">
                  <c:v>0.11899999999999999</c:v>
                </c:pt>
                <c:pt idx="606">
                  <c:v>0.254</c:v>
                </c:pt>
                <c:pt idx="607">
                  <c:v>0.21099999999999999</c:v>
                </c:pt>
                <c:pt idx="608">
                  <c:v>0.11899999999999999</c:v>
                </c:pt>
                <c:pt idx="609">
                  <c:v>0.115</c:v>
                </c:pt>
                <c:pt idx="610">
                  <c:v>0.13</c:v>
                </c:pt>
                <c:pt idx="611">
                  <c:v>0.25600000000000001</c:v>
                </c:pt>
                <c:pt idx="612">
                  <c:v>0.01</c:v>
                </c:pt>
                <c:pt idx="613">
                  <c:v>0.187</c:v>
                </c:pt>
                <c:pt idx="614">
                  <c:v>0.122</c:v>
                </c:pt>
                <c:pt idx="615">
                  <c:v>0.113</c:v>
                </c:pt>
                <c:pt idx="616">
                  <c:v>0.23599999999999999</c:v>
                </c:pt>
                <c:pt idx="617">
                  <c:v>0.18</c:v>
                </c:pt>
                <c:pt idx="618">
                  <c:v>8.6999999999999994E-2</c:v>
                </c:pt>
                <c:pt idx="619">
                  <c:v>0.14299999999999999</c:v>
                </c:pt>
                <c:pt idx="620">
                  <c:v>0</c:v>
                </c:pt>
                <c:pt idx="621">
                  <c:v>0.14499999999999999</c:v>
                </c:pt>
                <c:pt idx="622">
                  <c:v>0.192</c:v>
                </c:pt>
                <c:pt idx="623">
                  <c:v>6.5000000000000002E-2</c:v>
                </c:pt>
                <c:pt idx="624">
                  <c:v>0.11899999999999999</c:v>
                </c:pt>
                <c:pt idx="625">
                  <c:v>1.9E-2</c:v>
                </c:pt>
                <c:pt idx="626">
                  <c:v>1.4E-2</c:v>
                </c:pt>
                <c:pt idx="627">
                  <c:v>0.215</c:v>
                </c:pt>
                <c:pt idx="628">
                  <c:v>0.23499999999999999</c:v>
                </c:pt>
                <c:pt idx="629">
                  <c:v>0.17599999999999999</c:v>
                </c:pt>
                <c:pt idx="630">
                  <c:v>0.123</c:v>
                </c:pt>
                <c:pt idx="631">
                  <c:v>0.21199999999999999</c:v>
                </c:pt>
              </c:numCache>
            </c:numRef>
          </c:yVal>
          <c:smooth val="0"/>
        </c:ser>
        <c:dLbls>
          <c:showLegendKey val="0"/>
          <c:showVal val="0"/>
          <c:showCatName val="0"/>
          <c:showSerName val="0"/>
          <c:showPercent val="0"/>
          <c:showBubbleSize val="0"/>
        </c:dLbls>
        <c:axId val="329927816"/>
        <c:axId val="329930952"/>
      </c:scatterChart>
      <c:valAx>
        <c:axId val="32992781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30952"/>
        <c:crosses val="autoZero"/>
        <c:crossBetween val="midCat"/>
      </c:valAx>
      <c:valAx>
        <c:axId val="3299309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7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419099</xdr:colOff>
      <xdr:row>3</xdr:row>
      <xdr:rowOff>138112</xdr:rowOff>
    </xdr:from>
    <xdr:to>
      <xdr:col>12</xdr:col>
      <xdr:colOff>409574</xdr:colOff>
      <xdr:row>19</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352425</xdr:colOff>
      <xdr:row>2</xdr:row>
      <xdr:rowOff>142875</xdr:rowOff>
    </xdr:from>
    <xdr:to>
      <xdr:col>11</xdr:col>
      <xdr:colOff>352425</xdr:colOff>
      <xdr:row>16</xdr:row>
      <xdr:rowOff>0</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67450" y="523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171450</xdr:colOff>
      <xdr:row>2</xdr:row>
      <xdr:rowOff>123825</xdr:rowOff>
    </xdr:from>
    <xdr:to>
      <xdr:col>8</xdr:col>
      <xdr:colOff>171450</xdr:colOff>
      <xdr:row>15</xdr:row>
      <xdr:rowOff>171450</xdr:rowOff>
    </xdr:to>
    <mc:AlternateContent xmlns:mc="http://schemas.openxmlformats.org/markup-compatibility/2006" xmlns:a14="http://schemas.microsoft.com/office/drawing/2010/main">
      <mc:Choice Requires="a14">
        <xdr:graphicFrame macro="">
          <xdr:nvGraphicFramePr>
            <xdr:cNvPr id="4"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257675" y="504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85725</xdr:colOff>
      <xdr:row>2</xdr:row>
      <xdr:rowOff>57150</xdr:rowOff>
    </xdr:from>
    <xdr:to>
      <xdr:col>5</xdr:col>
      <xdr:colOff>85725</xdr:colOff>
      <xdr:row>15</xdr:row>
      <xdr:rowOff>104775</xdr:rowOff>
    </xdr:to>
    <mc:AlternateContent xmlns:mc="http://schemas.openxmlformats.org/markup-compatibility/2006" xmlns:a14="http://schemas.microsoft.com/office/drawing/2010/main">
      <mc:Choice Requires="a14">
        <xdr:graphicFrame macro="">
          <xdr:nvGraphicFramePr>
            <xdr:cNvPr id="5" name="Channel"/>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343150" y="438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2</xdr:row>
      <xdr:rowOff>28575</xdr:rowOff>
    </xdr:from>
    <xdr:to>
      <xdr:col>1</xdr:col>
      <xdr:colOff>1257300</xdr:colOff>
      <xdr:row>15</xdr:row>
      <xdr:rowOff>76200</xdr:rowOff>
    </xdr:to>
    <mc:AlternateContent xmlns:mc="http://schemas.openxmlformats.org/markup-compatibility/2006" xmlns:a14="http://schemas.microsoft.com/office/drawing/2010/main">
      <mc:Choice Requires="a14">
        <xdr:graphicFrame macro="">
          <xdr:nvGraphicFramePr>
            <xdr:cNvPr id="6"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304800" y="40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xdr:colOff>
      <xdr:row>3</xdr:row>
      <xdr:rowOff>57150</xdr:rowOff>
    </xdr:from>
    <xdr:to>
      <xdr:col>15</xdr:col>
      <xdr:colOff>76200</xdr:colOff>
      <xdr:row>16</xdr:row>
      <xdr:rowOff>104775</xdr:rowOff>
    </xdr:to>
    <mc:AlternateContent xmlns:mc="http://schemas.openxmlformats.org/markup-compatibility/2006" xmlns:a14="http://schemas.microsoft.com/office/drawing/2010/main">
      <mc:Choice Requires="a14">
        <xdr:graphicFrame macro="">
          <xdr:nvGraphicFramePr>
            <xdr:cNvPr id="7" name="ProductCategory"/>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8429625" y="628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161925</xdr:colOff>
      <xdr:row>3</xdr:row>
      <xdr:rowOff>38100</xdr:rowOff>
    </xdr:from>
    <xdr:to>
      <xdr:col>18</xdr:col>
      <xdr:colOff>161925</xdr:colOff>
      <xdr:row>16</xdr:row>
      <xdr:rowOff>85725</xdr:rowOff>
    </xdr:to>
    <mc:AlternateContent xmlns:mc="http://schemas.openxmlformats.org/markup-compatibility/2006" xmlns:a14="http://schemas.microsoft.com/office/drawing/2010/main">
      <mc:Choice Requires="a14">
        <xdr:graphicFrame macro="">
          <xdr:nvGraphicFramePr>
            <xdr:cNvPr id="8" name="OrderMonth"/>
            <xdr:cNvGraphicFramePr/>
          </xdr:nvGraphicFramePr>
          <xdr:xfrm>
            <a:off x="0" y="0"/>
            <a:ext cx="0" cy="0"/>
          </xdr:xfrm>
          <a:graphic>
            <a:graphicData uri="http://schemas.microsoft.com/office/drawing/2010/slicer">
              <sle:slicer xmlns:sle="http://schemas.microsoft.com/office/drawing/2010/slicer" name="OrderMonth"/>
            </a:graphicData>
          </a:graphic>
        </xdr:graphicFrame>
      </mc:Choice>
      <mc:Fallback xmlns="">
        <xdr:sp macro="" textlink="">
          <xdr:nvSpPr>
            <xdr:cNvPr id="0" name=""/>
            <xdr:cNvSpPr>
              <a:spLocks noTextEdit="1"/>
            </xdr:cNvSpPr>
          </xdr:nvSpPr>
          <xdr:spPr>
            <a:xfrm>
              <a:off x="10344150" y="609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247650</xdr:colOff>
      <xdr:row>2</xdr:row>
      <xdr:rowOff>166687</xdr:rowOff>
    </xdr:from>
    <xdr:to>
      <xdr:col>14</xdr:col>
      <xdr:colOff>361950</xdr:colOff>
      <xdr:row>17</xdr:row>
      <xdr:rowOff>52387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266699</xdr:colOff>
      <xdr:row>2</xdr:row>
      <xdr:rowOff>100012</xdr:rowOff>
    </xdr:from>
    <xdr:to>
      <xdr:col>11</xdr:col>
      <xdr:colOff>85724</xdr:colOff>
      <xdr:row>18</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600075</xdr:colOff>
      <xdr:row>2</xdr:row>
      <xdr:rowOff>109537</xdr:rowOff>
    </xdr:from>
    <xdr:to>
      <xdr:col>11</xdr:col>
      <xdr:colOff>295275</xdr:colOff>
      <xdr:row>16</xdr:row>
      <xdr:rowOff>185737</xdr:rowOff>
    </xdr:to>
    <xdr:graphicFrame macro="">
      <xdr:nvGraphicFramePr>
        <xdr:cNvPr id="2"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571500</xdr:colOff>
      <xdr:row>0</xdr:row>
      <xdr:rowOff>104775</xdr:rowOff>
    </xdr:from>
    <xdr:to>
      <xdr:col>17</xdr:col>
      <xdr:colOff>323850</xdr:colOff>
      <xdr:row>3</xdr:row>
      <xdr:rowOff>47625</xdr:rowOff>
    </xdr:to>
    <xdr:sp macro="" textlink="">
      <xdr:nvSpPr>
        <xdr:cNvPr id="2" name="Rounded Rectangle 1"/>
        <xdr:cNvSpPr/>
      </xdr:nvSpPr>
      <xdr:spPr>
        <a:xfrm>
          <a:off x="1790700" y="104775"/>
          <a:ext cx="8896350" cy="5143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2800"/>
            <a:t>SALES</a:t>
          </a:r>
          <a:r>
            <a:rPr lang="en-US" sz="2800" baseline="0"/>
            <a:t> OPERATIONS AND ANALYTICS DASHBOARD</a:t>
          </a:r>
          <a:endParaRPr lang="en-US" sz="2800"/>
        </a:p>
      </xdr:txBody>
    </xdr:sp>
    <xdr:clientData/>
  </xdr:twoCellAnchor>
  <xdr:twoCellAnchor>
    <xdr:from>
      <xdr:col>2</xdr:col>
      <xdr:colOff>571500</xdr:colOff>
      <xdr:row>3</xdr:row>
      <xdr:rowOff>171450</xdr:rowOff>
    </xdr:from>
    <xdr:to>
      <xdr:col>5</xdr:col>
      <xdr:colOff>95250</xdr:colOff>
      <xdr:row>6</xdr:row>
      <xdr:rowOff>104775</xdr:rowOff>
    </xdr:to>
    <xdr:sp macro="" textlink="">
      <xdr:nvSpPr>
        <xdr:cNvPr id="3" name="Rounded Rectangle 2"/>
        <xdr:cNvSpPr/>
      </xdr:nvSpPr>
      <xdr:spPr>
        <a:xfrm>
          <a:off x="1790700" y="742950"/>
          <a:ext cx="1352550" cy="50482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100"/>
            <a:t>Total</a:t>
          </a:r>
          <a:r>
            <a:rPr lang="en-US" sz="1100" baseline="0"/>
            <a:t> Revenue 10928845.72 </a:t>
          </a:r>
          <a:endParaRPr lang="en-US" sz="1100"/>
        </a:p>
      </xdr:txBody>
    </xdr:sp>
    <xdr:clientData/>
  </xdr:twoCellAnchor>
  <xdr:twoCellAnchor>
    <xdr:from>
      <xdr:col>5</xdr:col>
      <xdr:colOff>447675</xdr:colOff>
      <xdr:row>3</xdr:row>
      <xdr:rowOff>152400</xdr:rowOff>
    </xdr:from>
    <xdr:to>
      <xdr:col>8</xdr:col>
      <xdr:colOff>19050</xdr:colOff>
      <xdr:row>6</xdr:row>
      <xdr:rowOff>95250</xdr:rowOff>
    </xdr:to>
    <xdr:sp macro="" textlink="">
      <xdr:nvSpPr>
        <xdr:cNvPr id="4" name="Rounded Rectangle 3"/>
        <xdr:cNvSpPr/>
      </xdr:nvSpPr>
      <xdr:spPr>
        <a:xfrm>
          <a:off x="3495675" y="723900"/>
          <a:ext cx="1400175" cy="5143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100"/>
            <a:t>Gross Profit 3401098.01 </a:t>
          </a:r>
        </a:p>
      </xdr:txBody>
    </xdr:sp>
    <xdr:clientData/>
  </xdr:twoCellAnchor>
  <xdr:twoCellAnchor>
    <xdr:from>
      <xdr:col>8</xdr:col>
      <xdr:colOff>438150</xdr:colOff>
      <xdr:row>3</xdr:row>
      <xdr:rowOff>133351</xdr:rowOff>
    </xdr:from>
    <xdr:to>
      <xdr:col>11</xdr:col>
      <xdr:colOff>47625</xdr:colOff>
      <xdr:row>6</xdr:row>
      <xdr:rowOff>76201</xdr:rowOff>
    </xdr:to>
    <xdr:sp macro="" textlink="">
      <xdr:nvSpPr>
        <xdr:cNvPr id="5" name="Rounded Rectangle 4"/>
        <xdr:cNvSpPr/>
      </xdr:nvSpPr>
      <xdr:spPr>
        <a:xfrm>
          <a:off x="5314950" y="704851"/>
          <a:ext cx="1438275" cy="5143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100"/>
            <a:t>Margin %         31.12% </a:t>
          </a:r>
        </a:p>
      </xdr:txBody>
    </xdr:sp>
    <xdr:clientData/>
  </xdr:twoCellAnchor>
  <xdr:twoCellAnchor>
    <xdr:from>
      <xdr:col>11</xdr:col>
      <xdr:colOff>514350</xdr:colOff>
      <xdr:row>3</xdr:row>
      <xdr:rowOff>123825</xdr:rowOff>
    </xdr:from>
    <xdr:to>
      <xdr:col>14</xdr:col>
      <xdr:colOff>161925</xdr:colOff>
      <xdr:row>6</xdr:row>
      <xdr:rowOff>76200</xdr:rowOff>
    </xdr:to>
    <xdr:sp macro="" textlink="">
      <xdr:nvSpPr>
        <xdr:cNvPr id="6" name="Rounded Rectangle 5"/>
        <xdr:cNvSpPr/>
      </xdr:nvSpPr>
      <xdr:spPr>
        <a:xfrm>
          <a:off x="7219950" y="695325"/>
          <a:ext cx="1476375" cy="52387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100"/>
            <a:t>Average Order Value </a:t>
          </a:r>
          <a:r>
            <a:rPr lang="en-US" sz="1100" b="0" i="0" u="none" strike="noStrike">
              <a:solidFill>
                <a:schemeClr val="dk1"/>
              </a:solidFill>
              <a:effectLst/>
              <a:latin typeface="+mn-lt"/>
              <a:ea typeface="+mn-ea"/>
              <a:cs typeface="+mn-cs"/>
            </a:rPr>
            <a:t>KES 17,292.48</a:t>
          </a:r>
          <a:r>
            <a:rPr lang="en-US"/>
            <a:t> </a:t>
          </a:r>
          <a:endParaRPr lang="en-US" sz="1100"/>
        </a:p>
      </xdr:txBody>
    </xdr:sp>
    <xdr:clientData/>
  </xdr:twoCellAnchor>
  <xdr:twoCellAnchor>
    <xdr:from>
      <xdr:col>15</xdr:col>
      <xdr:colOff>28575</xdr:colOff>
      <xdr:row>3</xdr:row>
      <xdr:rowOff>123825</xdr:rowOff>
    </xdr:from>
    <xdr:to>
      <xdr:col>17</xdr:col>
      <xdr:colOff>142875</xdr:colOff>
      <xdr:row>6</xdr:row>
      <xdr:rowOff>66675</xdr:rowOff>
    </xdr:to>
    <xdr:sp macro="" textlink="">
      <xdr:nvSpPr>
        <xdr:cNvPr id="7" name="Rounded Rectangle 6"/>
        <xdr:cNvSpPr/>
      </xdr:nvSpPr>
      <xdr:spPr>
        <a:xfrm>
          <a:off x="9172575" y="695325"/>
          <a:ext cx="1333500" cy="5143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100"/>
            <a:t>On-time Order %</a:t>
          </a:r>
        </a:p>
        <a:p>
          <a:pPr algn="l"/>
          <a:r>
            <a:rPr lang="en-US" sz="1100" b="0" i="0" u="none" strike="noStrike">
              <a:solidFill>
                <a:schemeClr val="dk1"/>
              </a:solidFill>
              <a:effectLst/>
              <a:latin typeface="+mn-lt"/>
              <a:ea typeface="+mn-ea"/>
              <a:cs typeface="+mn-cs"/>
            </a:rPr>
            <a:t>27.22%</a:t>
          </a:r>
          <a:r>
            <a:rPr lang="en-US"/>
            <a:t> </a:t>
          </a:r>
          <a:endParaRPr lang="en-US" sz="1100"/>
        </a:p>
      </xdr:txBody>
    </xdr:sp>
    <xdr:clientData/>
  </xdr:twoCellAnchor>
  <xdr:twoCellAnchor>
    <xdr:from>
      <xdr:col>3</xdr:col>
      <xdr:colOff>0</xdr:colOff>
      <xdr:row>6</xdr:row>
      <xdr:rowOff>180975</xdr:rowOff>
    </xdr:from>
    <xdr:to>
      <xdr:col>10</xdr:col>
      <xdr:colOff>333375</xdr:colOff>
      <xdr:row>23</xdr:row>
      <xdr:rowOff>14288</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581025</xdr:colOff>
      <xdr:row>6</xdr:row>
      <xdr:rowOff>190499</xdr:rowOff>
    </xdr:from>
    <xdr:to>
      <xdr:col>17</xdr:col>
      <xdr:colOff>276224</xdr:colOff>
      <xdr:row>23</xdr:row>
      <xdr:rowOff>28574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24</xdr:row>
      <xdr:rowOff>0</xdr:rowOff>
    </xdr:from>
    <xdr:to>
      <xdr:col>10</xdr:col>
      <xdr:colOff>342901</xdr:colOff>
      <xdr:row>39</xdr:row>
      <xdr:rowOff>166688</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552449</xdr:colOff>
      <xdr:row>24</xdr:row>
      <xdr:rowOff>9524</xdr:rowOff>
    </xdr:from>
    <xdr:to>
      <xdr:col>17</xdr:col>
      <xdr:colOff>333374</xdr:colOff>
      <xdr:row>39</xdr:row>
      <xdr:rowOff>152399</xdr:rowOff>
    </xdr:to>
    <xdr:graphicFrame macro="">
      <xdr:nvGraphicFramePr>
        <xdr:cNvPr id="11"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xdr:colOff>
      <xdr:row>0</xdr:row>
      <xdr:rowOff>1</xdr:rowOff>
    </xdr:from>
    <xdr:to>
      <xdr:col>2</xdr:col>
      <xdr:colOff>409575</xdr:colOff>
      <xdr:row>6</xdr:row>
      <xdr:rowOff>95250</xdr:rowOff>
    </xdr:to>
    <mc:AlternateContent xmlns:mc="http://schemas.openxmlformats.org/markup-compatibility/2006" xmlns:a14="http://schemas.microsoft.com/office/drawing/2010/main">
      <mc:Choice Requires="a14">
        <xdr:graphicFrame macro="">
          <xdr:nvGraphicFramePr>
            <xdr:cNvPr id="12"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 y="1"/>
              <a:ext cx="1628774"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9526</xdr:rowOff>
    </xdr:from>
    <xdr:to>
      <xdr:col>2</xdr:col>
      <xdr:colOff>371475</xdr:colOff>
      <xdr:row>17</xdr:row>
      <xdr:rowOff>0</xdr:rowOff>
    </xdr:to>
    <mc:AlternateContent xmlns:mc="http://schemas.openxmlformats.org/markup-compatibility/2006" xmlns:a14="http://schemas.microsoft.com/office/drawing/2010/main">
      <mc:Choice Requires="a14">
        <xdr:graphicFrame macro="">
          <xdr:nvGraphicFramePr>
            <xdr:cNvPr id="13"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1343026"/>
              <a:ext cx="1590675" cy="1895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123825</xdr:rowOff>
    </xdr:from>
    <xdr:to>
      <xdr:col>2</xdr:col>
      <xdr:colOff>485775</xdr:colOff>
      <xdr:row>30</xdr:row>
      <xdr:rowOff>152400</xdr:rowOff>
    </xdr:to>
    <mc:AlternateContent xmlns:mc="http://schemas.openxmlformats.org/markup-compatibility/2006" xmlns:a14="http://schemas.microsoft.com/office/drawing/2010/main">
      <mc:Choice Requires="a14">
        <xdr:graphicFrame macro="">
          <xdr:nvGraphicFramePr>
            <xdr:cNvPr id="14" name="Channel 1"/>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0" y="3362325"/>
              <a:ext cx="1704975" cy="2505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447675</xdr:colOff>
      <xdr:row>0</xdr:row>
      <xdr:rowOff>0</xdr:rowOff>
    </xdr:from>
    <xdr:to>
      <xdr:col>20</xdr:col>
      <xdr:colOff>428624</xdr:colOff>
      <xdr:row>8</xdr:row>
      <xdr:rowOff>142875</xdr:rowOff>
    </xdr:to>
    <mc:AlternateContent xmlns:mc="http://schemas.openxmlformats.org/markup-compatibility/2006" xmlns:a14="http://schemas.microsoft.com/office/drawing/2010/main">
      <mc:Choice Requires="a14">
        <xdr:graphicFrame macro="">
          <xdr:nvGraphicFramePr>
            <xdr:cNvPr id="15" name="Salesperson 1"/>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0810875" y="0"/>
              <a:ext cx="1809749"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419100</xdr:colOff>
      <xdr:row>9</xdr:row>
      <xdr:rowOff>66676</xdr:rowOff>
    </xdr:from>
    <xdr:to>
      <xdr:col>20</xdr:col>
      <xdr:colOff>428625</xdr:colOff>
      <xdr:row>18</xdr:row>
      <xdr:rowOff>28575</xdr:rowOff>
    </xdr:to>
    <mc:AlternateContent xmlns:mc="http://schemas.openxmlformats.org/markup-compatibility/2006" xmlns:a14="http://schemas.microsoft.com/office/drawing/2010/main">
      <mc:Choice Requires="a14">
        <xdr:graphicFrame macro="">
          <xdr:nvGraphicFramePr>
            <xdr:cNvPr id="16" name="ProductCategory 1"/>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10782300" y="1781176"/>
              <a:ext cx="1838325" cy="1676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400050</xdr:colOff>
      <xdr:row>18</xdr:row>
      <xdr:rowOff>85725</xdr:rowOff>
    </xdr:from>
    <xdr:to>
      <xdr:col>20</xdr:col>
      <xdr:colOff>400050</xdr:colOff>
      <xdr:row>31</xdr:row>
      <xdr:rowOff>133350</xdr:rowOff>
    </xdr:to>
    <mc:AlternateContent xmlns:mc="http://schemas.openxmlformats.org/markup-compatibility/2006" xmlns:a14="http://schemas.microsoft.com/office/drawing/2010/main">
      <mc:Choice Requires="a14">
        <xdr:graphicFrame macro="">
          <xdr:nvGraphicFramePr>
            <xdr:cNvPr id="17" name="OrderMonth 1"/>
            <xdr:cNvGraphicFramePr/>
          </xdr:nvGraphicFramePr>
          <xdr:xfrm>
            <a:off x="0" y="0"/>
            <a:ext cx="0" cy="0"/>
          </xdr:xfrm>
          <a:graphic>
            <a:graphicData uri="http://schemas.microsoft.com/office/drawing/2010/slicer">
              <sle:slicer xmlns:sle="http://schemas.microsoft.com/office/drawing/2010/slicer" name="OrderMonth 1"/>
            </a:graphicData>
          </a:graphic>
        </xdr:graphicFrame>
      </mc:Choice>
      <mc:Fallback xmlns="">
        <xdr:sp macro="" textlink="">
          <xdr:nvSpPr>
            <xdr:cNvPr id="0" name=""/>
            <xdr:cNvSpPr>
              <a:spLocks noTextEdit="1"/>
            </xdr:cNvSpPr>
          </xdr:nvSpPr>
          <xdr:spPr>
            <a:xfrm>
              <a:off x="10763250" y="3514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user" refreshedDate="46188.711907407407" createdVersion="5" refreshedVersion="5" minRefreshableVersion="3" recordCount="632">
  <cacheSource type="worksheet">
    <worksheetSource ref="A1:AB633" sheet="StagingTable"/>
  </cacheSource>
  <cacheFields count="29">
    <cacheField name="OrderID" numFmtId="0">
      <sharedItems/>
    </cacheField>
    <cacheField name="OrderDate" numFmtId="14">
      <sharedItems containsSemiMixedTypes="0" containsNonDate="0" containsDate="1" containsString="0" minDate="2023-01-02T00:00:00" maxDate="2025-09-16T00:00:00" count="474">
        <d v="2023-01-29T00:00:00"/>
        <d v="2023-02-07T00:00:00"/>
        <d v="2023-03-02T00:00:00"/>
        <d v="2023-04-19T00:00:00"/>
        <d v="2023-05-23T00:00:00"/>
        <d v="2023-06-03T00:00:00"/>
        <d v="2023-06-20T00:00:00"/>
        <d v="2023-06-23T00:00:00"/>
        <d v="2023-07-05T00:00:00"/>
        <d v="2023-07-18T00:00:00"/>
        <d v="2023-07-19T00:00:00"/>
        <d v="2023-08-03T00:00:00"/>
        <d v="2023-08-04T00:00:00"/>
        <d v="2023-08-10T00:00:00"/>
        <d v="2023-09-17T00:00:00"/>
        <d v="2023-10-11T00:00:00"/>
        <d v="2023-10-25T00:00:00"/>
        <d v="2023-11-10T00:00:00"/>
        <d v="2023-11-14T00:00:00"/>
        <d v="2023-12-03T00:00:00"/>
        <d v="2023-12-05T00:00:00"/>
        <d v="2023-12-19T00:00:00"/>
        <d v="2023-12-24T00:00:00"/>
        <d v="2024-01-25T00:00:00"/>
        <d v="2024-02-18T00:00:00"/>
        <d v="2024-02-29T00:00:00"/>
        <d v="2024-04-03T00:00:00"/>
        <d v="2024-05-19T00:00:00"/>
        <d v="2024-05-23T00:00:00"/>
        <d v="2024-06-28T00:00:00"/>
        <d v="2024-06-30T00:00:00"/>
        <d v="2024-07-13T00:00:00"/>
        <d v="2024-08-15T00:00:00"/>
        <d v="2024-08-28T00:00:00"/>
        <d v="2024-09-09T00:00:00"/>
        <d v="2024-09-19T00:00:00"/>
        <d v="2024-09-22T00:00:00"/>
        <d v="2024-11-02T00:00:00"/>
        <d v="2024-11-07T00:00:00"/>
        <d v="2025-01-10T00:00:00"/>
        <d v="2025-01-20T00:00:00"/>
        <d v="2025-02-06T00:00:00"/>
        <d v="2025-02-09T00:00:00"/>
        <d v="2025-02-12T00:00:00"/>
        <d v="2025-03-06T00:00:00"/>
        <d v="2025-03-10T00:00:00"/>
        <d v="2025-03-30T00:00:00"/>
        <d v="2025-04-06T00:00:00"/>
        <d v="2025-04-09T00:00:00"/>
        <d v="2025-04-17T00:00:00"/>
        <d v="2025-04-24T00:00:00"/>
        <d v="2025-05-17T00:00:00"/>
        <d v="2025-05-21T00:00:00"/>
        <d v="2025-07-20T00:00:00"/>
        <d v="2025-08-06T00:00:00"/>
        <d v="2025-08-14T00:00:00"/>
        <d v="2025-09-01T00:00:00"/>
        <d v="2025-09-08T00:00:00"/>
        <d v="2025-09-15T00:00:00"/>
        <d v="2023-01-02T00:00:00"/>
        <d v="2023-02-23T00:00:00"/>
        <d v="2023-03-04T00:00:00"/>
        <d v="2023-04-05T00:00:00"/>
        <d v="2023-04-13T00:00:00"/>
        <d v="2023-06-13T00:00:00"/>
        <d v="2023-06-22T00:00:00"/>
        <d v="2023-07-24T00:00:00"/>
        <d v="2023-08-02T00:00:00"/>
        <d v="2023-08-19T00:00:00"/>
        <d v="2023-08-21T00:00:00"/>
        <d v="2023-08-29T00:00:00"/>
        <d v="2023-09-08T00:00:00"/>
        <d v="2023-10-22T00:00:00"/>
        <d v="2024-01-02T00:00:00"/>
        <d v="2024-02-16T00:00:00"/>
        <d v="2024-03-02T00:00:00"/>
        <d v="2024-03-15T00:00:00"/>
        <d v="2024-05-20T00:00:00"/>
        <d v="2024-06-03T00:00:00"/>
        <d v="2024-06-15T00:00:00"/>
        <d v="2024-07-25T00:00:00"/>
        <d v="2024-08-19T00:00:00"/>
        <d v="2024-09-23T00:00:00"/>
        <d v="2024-09-25T00:00:00"/>
        <d v="2024-11-05T00:00:00"/>
        <d v="2024-11-06T00:00:00"/>
        <d v="2024-11-17T00:00:00"/>
        <d v="2024-12-05T00:00:00"/>
        <d v="2024-12-27T00:00:00"/>
        <d v="2025-02-15T00:00:00"/>
        <d v="2025-04-16T00:00:00"/>
        <d v="2025-05-10T00:00:00"/>
        <d v="2025-05-12T00:00:00"/>
        <d v="2025-06-03T00:00:00"/>
        <d v="2025-06-24T00:00:00"/>
        <d v="2025-07-09T00:00:00"/>
        <d v="2025-07-14T00:00:00"/>
        <d v="2025-07-17T00:00:00"/>
        <d v="2025-08-03T00:00:00"/>
        <d v="2025-08-07T00:00:00"/>
        <d v="2025-09-02T00:00:00"/>
        <d v="2023-01-12T00:00:00"/>
        <d v="2023-03-06T00:00:00"/>
        <d v="2023-04-18T00:00:00"/>
        <d v="2023-04-21T00:00:00"/>
        <d v="2023-05-02T00:00:00"/>
        <d v="2023-05-11T00:00:00"/>
        <d v="2023-05-17T00:00:00"/>
        <d v="2023-06-09T00:00:00"/>
        <d v="2023-08-12T00:00:00"/>
        <d v="2023-09-30T00:00:00"/>
        <d v="2023-10-05T00:00:00"/>
        <d v="2023-10-09T00:00:00"/>
        <d v="2023-10-15T00:00:00"/>
        <d v="2023-12-16T00:00:00"/>
        <d v="2024-02-03T00:00:00"/>
        <d v="2024-02-14T00:00:00"/>
        <d v="2024-02-19T00:00:00"/>
        <d v="2024-03-03T00:00:00"/>
        <d v="2024-03-09T00:00:00"/>
        <d v="2024-04-06T00:00:00"/>
        <d v="2024-06-04T00:00:00"/>
        <d v="2024-06-07T00:00:00"/>
        <d v="2024-06-09T00:00:00"/>
        <d v="2024-07-09T00:00:00"/>
        <d v="2024-07-11T00:00:00"/>
        <d v="2024-09-07T00:00:00"/>
        <d v="2024-09-14T00:00:00"/>
        <d v="2024-10-03T00:00:00"/>
        <d v="2024-10-11T00:00:00"/>
        <d v="2024-10-24T00:00:00"/>
        <d v="2024-10-30T00:00:00"/>
        <d v="2024-11-25T00:00:00"/>
        <d v="2024-12-14T00:00:00"/>
        <d v="2024-12-15T00:00:00"/>
        <d v="2024-12-28T00:00:00"/>
        <d v="2025-01-09T00:00:00"/>
        <d v="2025-01-27T00:00:00"/>
        <d v="2025-03-14T00:00:00"/>
        <d v="2025-03-24T00:00:00"/>
        <d v="2025-05-16T00:00:00"/>
        <d v="2025-06-27T00:00:00"/>
        <d v="2025-07-03T00:00:00"/>
        <d v="2025-07-22T00:00:00"/>
        <d v="2025-08-01T00:00:00"/>
        <d v="2025-08-21T00:00:00"/>
        <d v="2023-01-10T00:00:00"/>
        <d v="2023-02-27T00:00:00"/>
        <d v="2023-04-03T00:00:00"/>
        <d v="2023-04-12T00:00:00"/>
        <d v="2023-04-26T00:00:00"/>
        <d v="2023-07-01T00:00:00"/>
        <d v="2023-07-10T00:00:00"/>
        <d v="2023-07-30T00:00:00"/>
        <d v="2023-09-14T00:00:00"/>
        <d v="2023-11-19T00:00:00"/>
        <d v="2023-12-26T00:00:00"/>
        <d v="2023-12-30T00:00:00"/>
        <d v="2024-01-10T00:00:00"/>
        <d v="2024-01-20T00:00:00"/>
        <d v="2024-02-01T00:00:00"/>
        <d v="2024-02-25T00:00:00"/>
        <d v="2024-03-10T00:00:00"/>
        <d v="2024-03-16T00:00:00"/>
        <d v="2024-04-09T00:00:00"/>
        <d v="2024-05-05T00:00:00"/>
        <d v="2024-05-18T00:00:00"/>
        <d v="2024-07-18T00:00:00"/>
        <d v="2024-07-24T00:00:00"/>
        <d v="2024-08-10T00:00:00"/>
        <d v="2024-10-13T00:00:00"/>
        <d v="2024-11-04T00:00:00"/>
        <d v="2024-11-20T00:00:00"/>
        <d v="2024-11-21T00:00:00"/>
        <d v="2024-11-30T00:00:00"/>
        <d v="2024-12-08T00:00:00"/>
        <d v="2024-12-10T00:00:00"/>
        <d v="2025-01-13T00:00:00"/>
        <d v="2025-01-21T00:00:00"/>
        <d v="2025-01-22T00:00:00"/>
        <d v="2025-04-07T00:00:00"/>
        <d v="2025-04-22T00:00:00"/>
        <d v="2025-04-27T00:00:00"/>
        <d v="2025-05-14T00:00:00"/>
        <d v="2025-06-01T00:00:00"/>
        <d v="2025-06-09T00:00:00"/>
        <d v="2025-06-15T00:00:00"/>
        <d v="2025-08-11T00:00:00"/>
        <d v="2025-08-13T00:00:00"/>
        <d v="2025-08-30T00:00:00"/>
        <d v="2023-01-21T00:00:00"/>
        <d v="2023-01-26T00:00:00"/>
        <d v="2023-01-30T00:00:00"/>
        <d v="2023-02-19T00:00:00"/>
        <d v="2023-02-28T00:00:00"/>
        <d v="2023-03-14T00:00:00"/>
        <d v="2023-03-17T00:00:00"/>
        <d v="2023-04-14T00:00:00"/>
        <d v="2023-04-16T00:00:00"/>
        <d v="2023-05-27T00:00:00"/>
        <d v="2023-06-01T00:00:00"/>
        <d v="2023-08-30T00:00:00"/>
        <d v="2023-11-30T00:00:00"/>
        <d v="2023-12-02T00:00:00"/>
        <d v="2023-12-07T00:00:00"/>
        <d v="2024-01-13T00:00:00"/>
        <d v="2024-01-16T00:00:00"/>
        <d v="2024-01-28T00:00:00"/>
        <d v="2024-03-07T00:00:00"/>
        <d v="2024-03-18T00:00:00"/>
        <d v="2024-03-31T00:00:00"/>
        <d v="2024-04-04T00:00:00"/>
        <d v="2024-04-29T00:00:00"/>
        <d v="2024-05-01T00:00:00"/>
        <d v="2024-05-28T00:00:00"/>
        <d v="2024-08-22T00:00:00"/>
        <d v="2024-08-27T00:00:00"/>
        <d v="2024-11-01T00:00:00"/>
        <d v="2024-12-04T00:00:00"/>
        <d v="2024-12-17T00:00:00"/>
        <d v="2024-12-23T00:00:00"/>
        <d v="2025-02-16T00:00:00"/>
        <d v="2025-03-11T00:00:00"/>
        <d v="2025-03-23T00:00:00"/>
        <d v="2025-04-04T00:00:00"/>
        <d v="2025-04-28T00:00:00"/>
        <d v="2025-05-29T00:00:00"/>
        <d v="2023-02-20T00:00:00"/>
        <d v="2023-03-27T00:00:00"/>
        <d v="2023-05-07T00:00:00"/>
        <d v="2023-05-10T00:00:00"/>
        <d v="2023-05-20T00:00:00"/>
        <d v="2023-07-21T00:00:00"/>
        <d v="2023-09-18T00:00:00"/>
        <d v="2023-09-19T00:00:00"/>
        <d v="2023-09-20T00:00:00"/>
        <d v="2023-10-07T00:00:00"/>
        <d v="2023-10-30T00:00:00"/>
        <d v="2023-11-28T00:00:00"/>
        <d v="2023-12-18T00:00:00"/>
        <d v="2023-12-20T00:00:00"/>
        <d v="2023-12-22T00:00:00"/>
        <d v="2024-01-08T00:00:00"/>
        <d v="2024-01-12T00:00:00"/>
        <d v="2024-01-21T00:00:00"/>
        <d v="2024-02-17T00:00:00"/>
        <d v="2024-02-27T00:00:00"/>
        <d v="2024-03-23T00:00:00"/>
        <d v="2024-05-27T00:00:00"/>
        <d v="2024-06-06T00:00:00"/>
        <d v="2024-07-28T00:00:00"/>
        <d v="2024-08-18T00:00:00"/>
        <d v="2024-10-17T00:00:00"/>
        <d v="2024-11-12T00:00:00"/>
        <d v="2024-12-20T00:00:00"/>
        <d v="2024-12-24T00:00:00"/>
        <d v="2025-01-04T00:00:00"/>
        <d v="2025-02-19T00:00:00"/>
        <d v="2025-03-08T00:00:00"/>
        <d v="2025-03-15T00:00:00"/>
        <d v="2025-05-07T00:00:00"/>
        <d v="2025-06-05T00:00:00"/>
        <d v="2025-06-17T00:00:00"/>
        <d v="2025-08-05T00:00:00"/>
        <d v="2023-03-03T00:00:00"/>
        <d v="2023-03-25T00:00:00"/>
        <d v="2023-04-22T00:00:00"/>
        <d v="2023-05-06T00:00:00"/>
        <d v="2023-06-24T00:00:00"/>
        <d v="2023-06-29T00:00:00"/>
        <d v="2023-07-09T00:00:00"/>
        <d v="2023-09-21T00:00:00"/>
        <d v="2023-10-12T00:00:00"/>
        <d v="2023-11-20T00:00:00"/>
        <d v="2023-12-01T00:00:00"/>
        <d v="2023-12-06T00:00:00"/>
        <d v="2024-01-11T00:00:00"/>
        <d v="2024-05-22T00:00:00"/>
        <d v="2024-06-16T00:00:00"/>
        <d v="2024-07-12T00:00:00"/>
        <d v="2024-07-15T00:00:00"/>
        <d v="2024-07-31T00:00:00"/>
        <d v="2024-08-07T00:00:00"/>
        <d v="2024-08-08T00:00:00"/>
        <d v="2024-08-30T00:00:00"/>
        <d v="2024-08-31T00:00:00"/>
        <d v="2024-09-03T00:00:00"/>
        <d v="2024-09-04T00:00:00"/>
        <d v="2024-09-05T00:00:00"/>
        <d v="2024-10-16T00:00:00"/>
        <d v="2024-10-23T00:00:00"/>
        <d v="2024-10-27T00:00:00"/>
        <d v="2024-12-12T00:00:00"/>
        <d v="2025-01-03T00:00:00"/>
        <d v="2025-02-02T00:00:00"/>
        <d v="2025-02-28T00:00:00"/>
        <d v="2025-03-21T00:00:00"/>
        <d v="2025-04-11T00:00:00"/>
        <d v="2025-04-13T00:00:00"/>
        <d v="2025-05-15T00:00:00"/>
        <d v="2025-05-27T00:00:00"/>
        <d v="2025-07-23T00:00:00"/>
        <d v="2025-07-27T00:00:00"/>
        <d v="2025-08-02T00:00:00"/>
        <d v="2025-09-10T00:00:00"/>
        <d v="2025-09-12T00:00:00"/>
        <d v="2023-01-20T00:00:00"/>
        <d v="2023-02-21T00:00:00"/>
        <d v="2023-03-07T00:00:00"/>
        <d v="2023-03-23T00:00:00"/>
        <d v="2023-03-31T00:00:00"/>
        <d v="2023-05-14T00:00:00"/>
        <d v="2023-06-10T00:00:00"/>
        <d v="2023-07-08T00:00:00"/>
        <d v="2023-08-15T00:00:00"/>
        <d v="2023-10-18T00:00:00"/>
        <d v="2023-10-31T00:00:00"/>
        <d v="2023-12-29T00:00:00"/>
        <d v="2024-02-06T00:00:00"/>
        <d v="2024-02-08T00:00:00"/>
        <d v="2024-02-11T00:00:00"/>
        <d v="2024-03-11T00:00:00"/>
        <d v="2024-04-16T00:00:00"/>
        <d v="2024-04-24T00:00:00"/>
        <d v="2024-06-02T00:00:00"/>
        <d v="2024-06-05T00:00:00"/>
        <d v="2024-06-19T00:00:00"/>
        <d v="2024-06-25T00:00:00"/>
        <d v="2024-07-19T00:00:00"/>
        <d v="2024-08-03T00:00:00"/>
        <d v="2024-09-10T00:00:00"/>
        <d v="2024-09-13T00:00:00"/>
        <d v="2024-10-25T00:00:00"/>
        <d v="2024-10-29T00:00:00"/>
        <d v="2024-11-08T00:00:00"/>
        <d v="2024-11-22T00:00:00"/>
        <d v="2024-11-27T00:00:00"/>
        <d v="2025-01-29T00:00:00"/>
        <d v="2025-03-31T00:00:00"/>
        <d v="2025-04-12T00:00:00"/>
        <d v="2025-05-02T00:00:00"/>
        <d v="2025-07-11T00:00:00"/>
        <d v="2025-07-19T00:00:00"/>
        <d v="2025-08-25T00:00:00"/>
        <d v="2025-09-11T00:00:00"/>
        <d v="2023-01-13T00:00:00"/>
        <d v="2023-02-11T00:00:00"/>
        <d v="2023-04-06T00:00:00"/>
        <d v="2023-05-01T00:00:00"/>
        <d v="2023-05-04T00:00:00"/>
        <d v="2023-05-05T00:00:00"/>
        <d v="2023-07-14T00:00:00"/>
        <d v="2023-07-25T00:00:00"/>
        <d v="2023-08-25T00:00:00"/>
        <d v="2023-12-21T00:00:00"/>
        <d v="2024-03-06T00:00:00"/>
        <d v="2024-03-13T00:00:00"/>
        <d v="2024-04-05T00:00:00"/>
        <d v="2024-04-19T00:00:00"/>
        <d v="2024-04-21T00:00:00"/>
        <d v="2024-05-04T00:00:00"/>
        <d v="2024-05-07T00:00:00"/>
        <d v="2024-05-26T00:00:00"/>
        <d v="2024-06-11T00:00:00"/>
        <d v="2024-06-23T00:00:00"/>
        <d v="2024-10-04T00:00:00"/>
        <d v="2024-10-14T00:00:00"/>
        <d v="2024-10-22T00:00:00"/>
        <d v="2025-02-07T00:00:00"/>
        <d v="2025-02-21T00:00:00"/>
        <d v="2025-03-03T00:00:00"/>
        <d v="2025-03-25T00:00:00"/>
        <d v="2025-03-29T00:00:00"/>
        <d v="2025-06-14T00:00:00"/>
        <d v="2025-06-26T00:00:00"/>
        <d v="2025-07-21T00:00:00"/>
        <d v="2025-08-26T00:00:00"/>
        <d v="2025-08-28T00:00:00"/>
        <d v="2023-01-07T00:00:00"/>
        <d v="2023-02-08T00:00:00"/>
        <d v="2023-02-15T00:00:00"/>
        <d v="2023-03-13T00:00:00"/>
        <d v="2023-05-18T00:00:00"/>
        <d v="2023-07-03T00:00:00"/>
        <d v="2023-07-07T00:00:00"/>
        <d v="2023-08-17T00:00:00"/>
        <d v="2023-08-24T00:00:00"/>
        <d v="2023-08-26T00:00:00"/>
        <d v="2023-10-26T00:00:00"/>
        <d v="2023-11-29T00:00:00"/>
        <d v="2023-12-28T00:00:00"/>
        <d v="2024-01-18T00:00:00"/>
        <d v="2024-01-27T00:00:00"/>
        <d v="2024-03-04T00:00:00"/>
        <d v="2024-04-12T00:00:00"/>
        <d v="2024-05-21T00:00:00"/>
        <d v="2024-06-08T00:00:00"/>
        <d v="2024-06-29T00:00:00"/>
        <d v="2024-08-21T00:00:00"/>
        <d v="2024-09-06T00:00:00"/>
        <d v="2024-10-02T00:00:00"/>
        <d v="2025-01-07T00:00:00"/>
        <d v="2025-04-10T00:00:00"/>
        <d v="2025-05-19T00:00:00"/>
        <d v="2025-06-19T00:00:00"/>
        <d v="2025-06-21T00:00:00"/>
        <d v="2025-07-16T00:00:00"/>
        <d v="2025-07-24T00:00:00"/>
        <d v="2025-09-14T00:00:00"/>
        <d v="2023-01-19T00:00:00"/>
        <d v="2023-01-27T00:00:00"/>
        <d v="2023-03-19T00:00:00"/>
        <d v="2023-04-10T00:00:00"/>
        <d v="2023-05-29T00:00:00"/>
        <d v="2023-06-05T00:00:00"/>
        <d v="2023-06-14T00:00:00"/>
        <d v="2023-06-15T00:00:00"/>
        <d v="2023-07-02T00:00:00"/>
        <d v="2023-07-16T00:00:00"/>
        <d v="2023-08-08T00:00:00"/>
        <d v="2023-08-23T00:00:00"/>
        <d v="2023-08-27T00:00:00"/>
        <d v="2023-10-21T00:00:00"/>
        <d v="2023-11-15T00:00:00"/>
        <d v="2024-01-01T00:00:00"/>
        <d v="2024-01-24T00:00:00"/>
        <d v="2024-04-18T00:00:00"/>
        <d v="2024-05-10T00:00:00"/>
        <d v="2024-05-12T00:00:00"/>
        <d v="2024-05-14T00:00:00"/>
        <d v="2024-06-10T00:00:00"/>
        <d v="2024-08-14T00:00:00"/>
        <d v="2024-10-08T00:00:00"/>
        <d v="2024-10-09T00:00:00"/>
        <d v="2024-10-10T00:00:00"/>
        <d v="2024-11-11T00:00:00"/>
        <d v="2024-12-07T00:00:00"/>
        <d v="2024-12-29T00:00:00"/>
        <d v="2025-01-31T00:00:00"/>
        <d v="2025-02-04T00:00:00"/>
        <d v="2025-04-14T00:00:00"/>
        <d v="2025-06-22T00:00:00"/>
        <d v="2025-06-25T00:00:00"/>
        <d v="2023-01-22T00:00:00"/>
        <d v="2023-02-05T00:00:00"/>
        <d v="2023-02-24T00:00:00"/>
        <d v="2023-02-26T00:00:00"/>
        <d v="2023-04-11T00:00:00"/>
        <d v="2023-05-03T00:00:00"/>
        <d v="2023-05-24T00:00:00"/>
        <d v="2023-06-17T00:00:00"/>
        <d v="2023-07-26T00:00:00"/>
        <d v="2023-09-25T00:00:00"/>
        <d v="2023-10-04T00:00:00"/>
        <d v="2024-02-20T00:00:00"/>
        <d v="2024-03-26T00:00:00"/>
        <d v="2024-03-27T00:00:00"/>
        <d v="2024-03-30T00:00:00"/>
        <d v="2024-05-17T00:00:00"/>
        <d v="2024-05-30T00:00:00"/>
        <d v="2024-07-29T00:00:00"/>
        <d v="2024-08-04T00:00:00"/>
        <d v="2024-08-12T00:00:00"/>
        <d v="2024-08-16T00:00:00"/>
        <d v="2024-09-02T00:00:00"/>
        <d v="2024-10-19T00:00:00"/>
        <d v="2024-12-21T00:00:00"/>
        <d v="2025-01-11T00:00:00"/>
        <d v="2025-01-17T00:00:00"/>
        <d v="2025-02-25T00:00:00"/>
        <d v="2025-04-01T00:00:00"/>
        <d v="2025-05-18T00:00:00"/>
        <d v="2025-08-10T00:00:00"/>
        <d v="2025-08-20T00:00:00"/>
      </sharedItems>
      <fieldGroup par="28" base="1">
        <rangePr groupBy="months" startDate="2023-01-02T00:00:00" endDate="2025-09-16T00:00:00"/>
        <groupItems count="14">
          <s v="&lt;1/2/2023"/>
          <s v="Jan"/>
          <s v="Feb"/>
          <s v="Mar"/>
          <s v="Apr"/>
          <s v="May"/>
          <s v="Jun"/>
          <s v="Jul"/>
          <s v="Aug"/>
          <s v="Sep"/>
          <s v="Oct"/>
          <s v="Nov"/>
          <s v="Dec"/>
          <s v="&gt;9/16/2025"/>
        </groupItems>
      </fieldGroup>
    </cacheField>
    <cacheField name="RequiredDate" numFmtId="14">
      <sharedItems containsSemiMixedTypes="0" containsNonDate="0" containsDate="1" containsString="0" minDate="2023-01-05T00:00:00" maxDate="2025-10-06T00:00:00"/>
    </cacheField>
    <cacheField name="Lead Time Days" numFmtId="1">
      <sharedItems containsSemiMixedTypes="0" containsString="0" containsNumber="1" containsInteger="1" minValue="0" maxValue="30"/>
    </cacheField>
    <cacheField name="Region" numFmtId="0">
      <sharedItems/>
    </cacheField>
    <cacheField name="Country" numFmtId="0">
      <sharedItems count="12">
        <s v="Brazil"/>
        <s v="Canada"/>
        <s v="China"/>
        <s v="France"/>
        <s v="Germany"/>
        <s v="India"/>
        <s v="Japan"/>
        <s v="Kenya"/>
        <s v="Nigeria"/>
        <s v="South Africa"/>
        <s v="United Kingdom"/>
        <s v="USA"/>
      </sharedItems>
    </cacheField>
    <cacheField name="City" numFmtId="0">
      <sharedItems/>
    </cacheField>
    <cacheField name="CustomerSegment" numFmtId="0">
      <sharedItems/>
    </cacheField>
    <cacheField name="Channel" numFmtId="0">
      <sharedItems containsBlank="1"/>
    </cacheField>
    <cacheField name="Salesperson" numFmtId="0">
      <sharedItems count="16">
        <s v="D. Smith"/>
        <s v="N. Brown"/>
        <s v="G. Dubois"/>
        <s v="M. Rossi"/>
        <s v="A. Patel"/>
        <s v="C. Otieno"/>
        <s v="E. Garcia"/>
        <s v="B. Chen"/>
        <s v="F. Müller"/>
        <s v="J. Njeri"/>
        <s v="Unassigned"/>
        <s v="L. Okafor"/>
        <s v="K. Singh"/>
        <s v="O. Wang"/>
        <s v="I. Johnson"/>
        <s v="H. Kim"/>
      </sharedItems>
    </cacheField>
    <cacheField name="ProductCategory" numFmtId="0">
      <sharedItems count="7">
        <s v="Monitors"/>
        <s v="Components"/>
        <s v="Phones"/>
        <s v="Printers"/>
        <s v="Networking"/>
        <s v="Accessories"/>
        <s v="Laptops"/>
      </sharedItems>
    </cacheField>
    <cacheField name="SKU" numFmtId="0">
      <sharedItems count="630">
        <s v="MON-7207"/>
        <s v="CMP-2693"/>
        <s v="MON-2828"/>
        <s v="PHN-7132"/>
        <s v="PRN-1271"/>
        <s v="CMP-1223"/>
        <s v="NET-1228"/>
        <s v="PRN-6490"/>
        <s v="NET-2394"/>
        <s v="NET-1699"/>
        <s v="MON-7869"/>
        <s v="ACC-3951"/>
        <s v="NET-9125"/>
        <s v="NET-2894"/>
        <s v="LAP-4932"/>
        <s v="ACC-3567"/>
        <s v="ACC-2867"/>
        <s v="ACC-5260"/>
        <s v="NET-4104"/>
        <s v="PHN-4644"/>
        <s v="PHN-6506"/>
        <s v="PHN-7274"/>
        <s v="PHN-3014"/>
        <s v="LAP-7056"/>
        <s v="CMP-9801"/>
        <s v="PRN-5384"/>
        <s v="PHN-7852"/>
        <s v="NET-3850"/>
        <s v="PHN-5445"/>
        <s v="MON-4271"/>
        <s v="NET-1166"/>
        <s v="ACC-9162"/>
        <s v="ACC-8683"/>
        <s v="MON-6287"/>
        <s v="MON-2849"/>
        <s v="ACC-4490"/>
        <s v="CMP-3093"/>
        <s v="PRN-2749"/>
        <s v="MON-6341"/>
        <s v="NET-8561"/>
        <s v="PRN-9960"/>
        <s v="LAP-7353"/>
        <s v="CMP-8658"/>
        <s v="NET-5482"/>
        <s v="LAP-6989"/>
        <s v="MON-5179"/>
        <s v="CMP-3693"/>
        <s v="NET-6269"/>
        <s v="PRN-8763"/>
        <s v="MON-4925"/>
        <s v="LAP-4517"/>
        <s v="NET-8610"/>
        <s v="PHN-4566"/>
        <s v="PHN-2787"/>
        <s v="MON-2993"/>
        <s v="CMP-3731"/>
        <s v="ACC-8098"/>
        <s v="MON-4317"/>
        <s v="PRN-9490"/>
        <s v="ACC-1663"/>
        <s v="MON-9274"/>
        <s v="ACC-6777"/>
        <s v="LAP-8555"/>
        <s v="PHN-4854"/>
        <s v="LAP-6160"/>
        <s v="MON-5259"/>
        <s v="MON-6053"/>
        <s v="PRN-8008"/>
        <s v="ACC-2903"/>
        <s v="PHN-4677"/>
        <s v="MON-3307"/>
        <s v="NET-3689"/>
        <s v="PRN-9669"/>
        <s v="CMP-2136"/>
        <s v="PRN-9975"/>
        <s v="ACC-3415"/>
        <s v="LAP-9024"/>
        <s v="MON-6065"/>
        <s v="LAP-3581"/>
        <s v="LAP-2774"/>
        <s v="PRN-7976"/>
        <s v="MON-4361"/>
        <s v="CMP-5946"/>
        <s v="MON-5386"/>
        <s v="PRN-4453"/>
        <s v="ACC-6626"/>
        <s v="PRN-9793"/>
        <s v="PHN-4568"/>
        <s v="PRN-9557"/>
        <s v="CMP-2015"/>
        <s v="ACC-6348"/>
        <s v="PRN-1371"/>
        <s v="ACC-2386"/>
        <s v="ACC-8620"/>
        <s v="CMP-5065"/>
        <s v="PRN-6178"/>
        <s v="CMP-9307"/>
        <s v="PRN-2407"/>
        <s v="PRN-6429"/>
        <s v="PRN-3775"/>
        <s v="LAP-2218"/>
        <s v="MON-7868"/>
        <s v="CMP-8851"/>
        <s v="NET-3785"/>
        <s v="NET-1336"/>
        <s v="PRN-1276"/>
        <s v="PRN-1641"/>
        <s v="PRN-1060"/>
        <s v="MON-2073"/>
        <s v="LAP-1482"/>
        <s v="CMP-7371"/>
        <s v="MON-5086"/>
        <s v="NET-3255"/>
        <s v="PRN-1923"/>
        <s v="CMP-6925"/>
        <s v="MON-9194"/>
        <s v="NET-4735"/>
        <s v="MON-3773"/>
        <s v="CMP-6352"/>
        <s v="LAP-5763"/>
        <s v="PRN-6520"/>
        <s v="CMP-2096"/>
        <s v="PRN-4983"/>
        <s v="ACC-9644"/>
        <s v="LAP-5531"/>
        <s v="ACC-1021"/>
        <s v="PRN-6308"/>
        <s v="PHN-4915"/>
        <s v="MON-5749"/>
        <s v="CMP-8196"/>
        <s v="PRN-4097"/>
        <s v="MON-8688"/>
        <s v="CMP-6392"/>
        <s v="ACC-3721"/>
        <s v="PHN-7815"/>
        <s v="NET-7998"/>
        <s v="PRN-3014"/>
        <s v="LAP-5150"/>
        <s v="PHN-7488"/>
        <s v="PRN-5666"/>
        <s v="NET-3728"/>
        <s v="CMP-4610"/>
        <s v="ACC-7047"/>
        <s v="CMP-3720"/>
        <s v="NET-1846"/>
        <s v="LAP-8825"/>
        <s v="PHN-2875"/>
        <s v="PHN-8368"/>
        <s v="PRN-5815"/>
        <s v="NET-8329"/>
        <s v="PHN-3800"/>
        <s v="CMP-8390"/>
        <s v="NET-3535"/>
        <s v="CMP-1220"/>
        <s v="NET-1804"/>
        <s v="PHN-9234"/>
        <s v="PRN-8137"/>
        <s v="LAP-4551"/>
        <s v="NET-5195"/>
        <s v="ACC-4815"/>
        <s v="MON-3043"/>
        <s v="LAP-3565"/>
        <s v="CMP-4945"/>
        <s v="ACC-3385"/>
        <s v="NET-6533"/>
        <s v="PRN-1504"/>
        <s v="NET-5423"/>
        <s v="PRN-7079"/>
        <s v="PRN-4432"/>
        <s v="PHN-5938"/>
        <s v="MON-3745"/>
        <s v="LAP-2942"/>
        <s v="ACC-6594"/>
        <s v="PRN-6776"/>
        <s v="PRN-8392"/>
        <s v="NET-8761"/>
        <s v="MON-3350"/>
        <s v="CMP-8002"/>
        <s v="PRN-8758"/>
        <s v="PRN-1086"/>
        <s v="CMP-3313"/>
        <s v="PRN-1725"/>
        <s v="MON-2100"/>
        <s v="CMP-5825"/>
        <s v="MON-7622"/>
        <s v="LAP-9901"/>
        <s v="PRN-1183"/>
        <s v="CMP-5435"/>
        <s v="CMP-5006"/>
        <s v="MON-1118"/>
        <s v="PRN-4911"/>
        <s v="MON-7943"/>
        <s v="PRN-4170"/>
        <s v="CMP-2335"/>
        <s v="PRN-6791"/>
        <s v="MON-1593"/>
        <s v="LAP-3779"/>
        <s v="ACC-5422"/>
        <s v="ACC-1604"/>
        <s v="NET-9716"/>
        <s v="MON-5276"/>
        <s v="MON-9216"/>
        <s v="PHN-8350"/>
        <s v="CMP-2865"/>
        <s v="CMP-4093"/>
        <s v="ACC-1770"/>
        <s v="ACC-7906"/>
        <s v="NET-6218"/>
        <s v="PHN-9465"/>
        <s v="CMP-5311"/>
        <s v="LAP-3220"/>
        <s v="MON-2537"/>
        <s v="NET-8787"/>
        <s v="NET-3460"/>
        <s v="MON-6699"/>
        <s v="LAP-3679"/>
        <s v="PRN-9624"/>
        <s v="CMP-8675"/>
        <s v="PHN-8483"/>
        <s v="PRN-7019"/>
        <s v="ACC-1731"/>
        <s v="MON-1663"/>
        <s v="ACC-1882"/>
        <s v="PHN-1924"/>
        <s v="LAP-4666"/>
        <s v="NET-9989"/>
        <s v="LAP-4899"/>
        <s v="MON-4278"/>
        <s v="CMP-1940"/>
        <s v="LAP-9931"/>
        <s v="MON-4195"/>
        <s v="ACC-7938"/>
        <s v="CMP-9264"/>
        <s v="PRN-6911"/>
        <s v="CMP-7617"/>
        <s v="ACC-2761"/>
        <s v="MON-8651"/>
        <s v="ACC-6543"/>
        <s v="LAP-5009"/>
        <s v="NET-4228"/>
        <s v="PHN-9399"/>
        <s v="CMP-2040"/>
        <s v="PRN-4892"/>
        <s v="MON-9967"/>
        <s v="PRN-2409"/>
        <s v="PRN-5492"/>
        <s v="ACC-5780"/>
        <s v="PHN-8057"/>
        <s v="LAP-8214"/>
        <s v="ACC-3989"/>
        <s v="ACC-5150"/>
        <s v="PHN-3007"/>
        <s v="PRN-3159"/>
        <s v="PHN-3803"/>
        <s v="MON-2842"/>
        <s v="PHN-2462"/>
        <s v="PRN-9787"/>
        <s v="LAP-1619"/>
        <s v="CMP-4159"/>
        <s v="ACC-8094"/>
        <s v="MON-7626"/>
        <s v="MON-9662"/>
        <s v="ACC-4631"/>
        <s v="MON-9906"/>
        <s v="PRN-4506"/>
        <s v="NET-2062"/>
        <s v="MON-2266"/>
        <s v="MON-4830"/>
        <s v="ACC-9283"/>
        <s v="LAP-6499"/>
        <s v="MON-2465"/>
        <s v="LAP-2806"/>
        <s v="ACC-4587"/>
        <s v="PRN-2301"/>
        <s v="ACC-3068"/>
        <s v="CMP-1009"/>
        <s v="PRN-5005"/>
        <s v="ACC-1375"/>
        <s v="CMP-4807"/>
        <s v="MON-7602"/>
        <s v="LAP-2378"/>
        <s v="NET-2460"/>
        <s v="PHN-2447"/>
        <s v="NET-6014"/>
        <s v="MON-1572"/>
        <s v="CMP-1555"/>
        <s v="PRN-6585"/>
        <s v="CMP-5138"/>
        <s v="CMP-8141"/>
        <s v="MON-8973"/>
        <s v="PHN-1717"/>
        <s v="LAP-8469"/>
        <s v="PHN-4346"/>
        <s v="CMP-6811"/>
        <s v="ACC-7240"/>
        <s v="NET-6578"/>
        <s v="NET-4675"/>
        <s v="PHN-3077"/>
        <s v="CMP-3875"/>
        <s v="NET-9835"/>
        <s v="MON-4330"/>
        <s v="MON-5188"/>
        <s v="LAP-5078"/>
        <s v="ACC-1075"/>
        <s v="PRN-9378"/>
        <s v="NET-9832"/>
        <s v="CMP-6919"/>
        <s v="MON-8629"/>
        <s v="CMP-1156"/>
        <s v="MON-1436"/>
        <s v="LAP-8119"/>
        <s v="CMP-3259"/>
        <s v="PHN-4395"/>
        <s v="PHN-3854"/>
        <s v="PHN-5683"/>
        <s v="PRN-8850"/>
        <s v="LAP-9016"/>
        <s v="ACC-2902"/>
        <s v="PHN-3482"/>
        <s v="LAP-1990"/>
        <s v="MON-1822"/>
        <s v="LAP-3905"/>
        <s v="PHN-2859"/>
        <s v="NET-7349"/>
        <s v="MON-9227"/>
        <s v="CMP-8604"/>
        <s v="ACC-7713"/>
        <s v="PHN-6131"/>
        <s v="PHN-6818"/>
        <s v="MON-2990"/>
        <s v="CMP-6649"/>
        <s v="NET-1645"/>
        <s v="CMP-5211"/>
        <s v="PRN-1786"/>
        <s v="PHN-8478"/>
        <s v="PHN-9184"/>
        <s v="NET-3033"/>
        <s v="LAP-3604"/>
        <s v="PRN-8175"/>
        <s v="PRN-8041"/>
        <s v="LAP-1946"/>
        <s v="NET-1893"/>
        <s v="PRN-7816"/>
        <s v="NET-9569"/>
        <s v="NET-7588"/>
        <s v="MON-6870"/>
        <s v="PHN-9677"/>
        <s v="NET-9575"/>
        <s v="ACC-2735"/>
        <s v="MON-1564"/>
        <s v="NET-7924"/>
        <s v="NET-8957"/>
        <s v="LAP-7009"/>
        <s v="PHN-6111"/>
        <s v="PRN-3917"/>
        <s v="LAP-4483"/>
        <s v="MON-5249"/>
        <s v="NET-6387"/>
        <s v="PHN-9789"/>
        <s v="MON-8939"/>
        <s v="LAP-8347"/>
        <s v="PHN-7019"/>
        <s v="PRN-2991"/>
        <s v="ACC-9591"/>
        <s v="LAP-3017"/>
        <s v="PRN-9867"/>
        <s v="PRN-5264"/>
        <s v="NET-8430"/>
        <s v="CMP-7055"/>
        <s v="CMP-3743"/>
        <s v="CMP-6495"/>
        <s v="NET-1966"/>
        <s v="PHN-6480"/>
        <s v="PRN-6131"/>
        <s v="ACC-1249"/>
        <s v="PHN-5675"/>
        <s v="ACC-1596"/>
        <s v="CMP-5658"/>
        <s v="LAP-4828"/>
        <s v="PHN-1197"/>
        <s v="CMP-6971"/>
        <s v="MON-2998"/>
        <s v="NET-6036"/>
        <s v="NET-2499"/>
        <s v="NET-9666"/>
        <s v="PRN-7049"/>
        <s v="ACC-2988"/>
        <s v="PHN-8014"/>
        <s v="LAP-7819"/>
        <s v="PHN-1784"/>
        <s v="LAP-1698"/>
        <s v="PHN-8970"/>
        <s v="PRN-9488"/>
        <s v="PHN-2337"/>
        <s v="LAP-1989"/>
        <s v="ACC-1238"/>
        <s v="PHN-1234"/>
        <s v="ACC-4766"/>
        <s v="PHN-8891"/>
        <s v="ACC-4124"/>
        <s v="PHN-7924"/>
        <s v="MON-2462"/>
        <s v="CMP-5911"/>
        <s v="PHN-5082"/>
        <s v="PRN-7089"/>
        <s v="CMP-8270"/>
        <s v="PRN-2641"/>
        <s v="MON-6190"/>
        <s v="ACC-7354"/>
        <s v="PHN-6866"/>
        <s v="ACC-9820"/>
        <s v="LAP-1739"/>
        <s v="LAP-4607"/>
        <s v="NET-5987"/>
        <s v="LAP-6577"/>
        <s v="PHN-6854"/>
        <s v="LAP-9815"/>
        <s v="LAP-1969"/>
        <s v="PRN-6068"/>
        <s v="PHN-8804"/>
        <s v="PRN-3143"/>
        <s v="PRN-4893"/>
        <s v="NET-2628"/>
        <s v="CMP-3938"/>
        <s v="PRN-5569"/>
        <s v="PHN-1919"/>
        <s v="ACC-1659"/>
        <s v="PHN-1671"/>
        <s v="ACC-5144"/>
        <s v="LAP-7136"/>
        <s v="NET-3432"/>
        <s v="ACC-2252"/>
        <s v="PHN-7636"/>
        <s v="ACC-1028"/>
        <s v="CMP-2854"/>
        <s v="CMP-4970"/>
        <s v="PHN-6954"/>
        <s v="LAP-3278"/>
        <s v="PRN-6276"/>
        <s v="ACC-8242"/>
        <s v="MON-4373"/>
        <s v="CMP-5633"/>
        <s v="PHN-1670"/>
        <s v="CMP-9392"/>
        <s v="CMP-4630"/>
        <s v="PRN-2542"/>
        <s v="LAP-3904"/>
        <s v="ACC-5334"/>
        <s v="ACC-8178"/>
        <s v="MON-5517"/>
        <s v="PHN-3971"/>
        <s v="NET-8856"/>
        <s v="CMP-4792"/>
        <s v="PHN-4741"/>
        <s v="CMP-9001"/>
        <s v="CMP-6529"/>
        <s v="PRN-7303"/>
        <s v="ACC-2990"/>
        <s v="MON-6892"/>
        <s v="LAP-9100"/>
        <s v="ACC-5177"/>
        <s v="PHN-2436"/>
        <s v="ACC-7671"/>
        <s v="PRN-1141"/>
        <s v="ACC-9038"/>
        <s v="NET-5268"/>
        <s v="MON-8758"/>
        <s v="PRN-9322"/>
        <s v="MON-4789"/>
        <s v="PRN-1882"/>
        <s v="PHN-5887"/>
        <s v="ACC-4056"/>
        <s v="ACC-9533"/>
        <s v="PHN-4556"/>
        <s v="LAP-3490"/>
        <s v="ACC-3349"/>
        <s v="ACC-3961"/>
        <s v="LAP-7523"/>
        <s v="LAP-8910"/>
        <s v="ACC-8999"/>
        <s v="ACC-4483"/>
        <s v="LAP-7553"/>
        <s v="PRN-4787"/>
        <s v="NET-5018"/>
        <s v="LAP-3393"/>
        <s v="CMP-2574"/>
        <s v="CMP-8230"/>
        <s v="ACC-2364"/>
        <s v="ACC-5206"/>
        <s v="CMP-5208"/>
        <s v="LAP-6342"/>
        <s v="ACC-9445"/>
        <s v="MON-1018"/>
        <s v="CMP-8659"/>
        <s v="PHN-8072"/>
        <s v="MON-2296"/>
        <s v="PRN-4732"/>
        <s v="CMP-7063"/>
        <s v="LAP-7320"/>
        <s v="LAP-1525"/>
        <s v="CMP-4531"/>
        <s v="PRN-1654"/>
        <s v="NET-1412"/>
        <s v="PRN-6660"/>
        <s v="CMP-1470"/>
        <s v="ACC-6223"/>
        <s v="MON-8422"/>
        <s v="LAP-8489"/>
        <s v="CMP-8101"/>
        <s v="PRN-3785"/>
        <s v="MON-1389"/>
        <s v="PHN-6832"/>
        <s v="NET-4241"/>
        <s v="CMP-1559"/>
        <s v="MON-3504"/>
        <s v="CMP-3978"/>
        <s v="NET-7901"/>
        <s v="MON-7106"/>
        <s v="NET-5270"/>
        <s v="LAP-7099"/>
        <s v="MON-5891"/>
        <s v="PHN-7379"/>
        <s v="PHN-3819"/>
        <s v="LAP-1308"/>
        <s v="NET-1612"/>
        <s v="NET-7966"/>
        <s v="CMP-6898"/>
        <s v="ACC-3645"/>
        <s v="LAP-9782"/>
        <s v="PRN-7410"/>
        <s v="ACC-9150"/>
        <s v="PRN-8970"/>
        <s v="PRN-5067"/>
        <s v="NET-2439"/>
        <s v="LAP-9766"/>
        <s v="CMP-8545"/>
        <s v="PRN-3690"/>
        <s v="CMP-5820"/>
        <s v="ACC-3833"/>
        <s v="CMP-7256"/>
        <s v="LAP-1178"/>
        <s v="MON-7511"/>
        <s v="ACC-1492"/>
        <s v="PRN-5107"/>
        <s v="ACC-8557"/>
        <s v="MON-8697"/>
        <s v="ACC-1060"/>
        <s v="ACC-3103"/>
        <s v="LAP-5689"/>
        <s v="LAP-8633"/>
        <s v="LAP-9932"/>
        <s v="PHN-9107"/>
        <s v="LAP-1066"/>
        <s v="PRN-5813"/>
        <s v="NET-2365"/>
        <s v="LAP-9230"/>
        <s v="ACC-7838"/>
        <s v="PHN-2341"/>
        <s v="NET-1145"/>
        <s v="MON-9733"/>
        <s v="CMP-1072"/>
        <s v="CMP-8127"/>
        <s v="PRN-2293"/>
        <s v="NET-2932"/>
        <s v="NET-4491"/>
        <s v="MON-4215"/>
        <s v="MON-6310"/>
        <s v="MON-4959"/>
        <s v="NET-2502"/>
        <s v="NET-7166"/>
        <s v="PRN-8657"/>
        <s v="MON-6962"/>
        <s v="LAP-3385"/>
        <s v="NET-6370"/>
        <s v="PHN-5316"/>
        <s v="PHN-5383"/>
        <s v="PRN-5753"/>
        <s v="PRN-5876"/>
        <s v="CMP-6346"/>
        <s v="NET-9003"/>
        <s v="PHN-3159"/>
        <s v="NET-4155"/>
        <s v="PHN-2036"/>
        <s v="CMP-1632"/>
        <s v="NET-1282"/>
        <s v="NET-1816"/>
        <s v="PRN-9249"/>
        <s v="PHN-5366"/>
        <s v="NET-5941"/>
        <s v="MON-6882"/>
        <s v="MON-5424"/>
        <s v="PRN-6536"/>
        <s v="MON-4326"/>
        <s v="NET-3828"/>
        <s v="ACC-7078"/>
        <s v="PHN-2013"/>
        <s v="LAP-6750"/>
        <s v="ACC-3551"/>
        <s v="ACC-5079"/>
        <s v="NET-4554"/>
        <s v="PRN-8604"/>
        <s v="CMP-2410"/>
        <s v="PRN-4906"/>
        <s v="NET-9177"/>
        <s v="CMP-3223"/>
        <s v="PHN-3398"/>
        <s v="MON-7099"/>
        <s v="MON-5444"/>
        <s v="NET-5523"/>
        <s v="LAP-2846"/>
        <s v="PHN-7974"/>
        <s v="LAP-4987"/>
        <s v="PHN-4356"/>
        <s v="PRN-2829"/>
        <s v="MON-8867"/>
        <s v="LAP-7979"/>
        <s v="PRN-5591"/>
        <s v="CMP-7563"/>
        <s v="MON-8129"/>
        <s v="CMP-9498"/>
        <s v="PRN-4788"/>
        <s v="PHN-6307"/>
        <s v="ACC-4511"/>
        <s v="PHN-1044"/>
        <s v="MON-9319"/>
        <s v="MON-3371"/>
        <s v="PHN-8776"/>
        <s v="NET-3749"/>
        <s v="PRN-2098"/>
        <s v="NET-5196"/>
      </sharedItems>
    </cacheField>
    <cacheField name="UnitCost" numFmtId="2">
      <sharedItems containsSemiMixedTypes="0" containsString="0" containsNumber="1" minValue="5.34" maxValue="1495.79"/>
    </cacheField>
    <cacheField name="UnitPrice" numFmtId="2">
      <sharedItems containsSemiMixedTypes="0" containsString="0" containsNumber="1" minValue="-33.659999999999997" maxValue="3661.07"/>
    </cacheField>
    <cacheField name="Absolute Unit price" numFmtId="2">
      <sharedItems containsSemiMixedTypes="0" containsString="0" containsNumber="1" minValue="4.22" maxValue="3661.07"/>
    </cacheField>
    <cacheField name="DiscountPct" numFmtId="10">
      <sharedItems containsSemiMixedTypes="0" containsString="0" containsNumber="1" minValue="0" maxValue="0.56499999999999995"/>
    </cacheField>
    <cacheField name="Quantity" numFmtId="1">
      <sharedItems containsSemiMixedTypes="0" containsString="0" containsNumber="1" containsInteger="1" minValue="2" maxValue="61"/>
    </cacheField>
    <cacheField name="GrossRevenue" numFmtId="2">
      <sharedItems containsSemiMixedTypes="0" containsString="0" containsNumber="1" minValue="18.659839999999999" maxValue="139277.83032000001" count="632">
        <n v="1801.4076000000002"/>
        <n v="24894.430559999997"/>
        <n v="24523.006720000001"/>
        <n v="12248.675999999999"/>
        <n v="27194.152039999997"/>
        <n v="6137.8019999999988"/>
        <n v="30692.47896"/>
        <n v="10161.46624"/>
        <n v="25672.127039999999"/>
        <n v="39686.4182"/>
        <n v="28072.190160000002"/>
        <n v="7235.2134999999998"/>
        <n v="8186.057600000001"/>
        <n v="21908.731650000002"/>
        <n v="7071.6331400000008"/>
        <n v="7568.9632000000001"/>
        <n v="8644.6696000000011"/>
        <n v="7854.6693599999999"/>
        <n v="16306.59375"/>
        <n v="12153.267360000002"/>
        <n v="20797.98"/>
        <n v="21573.6495"/>
        <n v="6946.8"/>
        <n v="8567.3924999999999"/>
        <n v="703.2428000000001"/>
        <n v="38535.955099999999"/>
        <n v="110.14919999999999"/>
        <n v="49336.511399999996"/>
        <n v="8154.5511600000009"/>
        <n v="8590.7094000000016"/>
        <n v="879.05840000000001"/>
        <n v="33062.236480000007"/>
        <n v="8596.2905599999995"/>
        <n v="10937.519999999999"/>
        <n v="5962.1422499999999"/>
        <n v="35396.277799999996"/>
        <n v="26015.449459999996"/>
        <n v="28211.92124"/>
        <n v="31191.64716"/>
        <n v="10817.3416"/>
        <n v="1122.0896000000002"/>
        <n v="15155.326800000001"/>
        <n v="7832.0010999999995"/>
        <n v="33200.038079999998"/>
        <n v="29659.68995"/>
        <n v="7703.8640800000003"/>
        <n v="4968.5039999999999"/>
        <n v="10189.8891"/>
        <n v="1098.9470800000001"/>
        <n v="31680.795320000001"/>
        <n v="6393.0952799999995"/>
        <n v="2355.2113199999999"/>
        <n v="22676.312610000001"/>
        <n v="5814.6927299999998"/>
        <n v="6229.7423999999992"/>
        <n v="60928.502359999999"/>
        <n v="38096.18406"/>
        <n v="1846.8040799999999"/>
        <n v="43907.94"/>
        <n v="7578.84"/>
        <n v="16574.544740000001"/>
        <n v="18.659839999999999"/>
        <n v="4141.7599999999993"/>
        <n v="26150.364320000001"/>
        <n v="17453.3436"/>
        <n v="7098.5495999999994"/>
        <n v="8520.2954399999999"/>
        <n v="1925.29872"/>
        <n v="11283.400799999999"/>
        <n v="33017.42"/>
        <n v="29536.716"/>
        <n v="13882.6016"/>
        <n v="18258.868320000001"/>
        <n v="2072.9258400000003"/>
        <n v="18411.4084"/>
        <n v="15530.929919999999"/>
        <n v="27756.432000000001"/>
        <n v="14466.95104"/>
        <n v="19139.594240000002"/>
        <n v="9774.3888000000006"/>
        <n v="4241.88105"/>
        <n v="17689.623"/>
        <n v="17930.494560000003"/>
        <n v="45547.183360000003"/>
        <n v="9969.4201499999999"/>
        <n v="79082.507010000001"/>
        <n v="7466.3063999999986"/>
        <n v="42495.805439999996"/>
        <n v="21664.440000000002"/>
        <n v="16946.091840000001"/>
        <n v="14894.903999999999"/>
        <n v="28856.475000000002"/>
        <n v="5960.3340000000007"/>
        <n v="14752.706080000002"/>
        <n v="8128.5187499999993"/>
        <n v="7901.5041599999995"/>
        <n v="25577.274079999999"/>
        <n v="50545.319219999998"/>
        <n v="765.99195000000009"/>
        <n v="4569.5735999999997"/>
        <n v="592.92849000000001"/>
        <n v="1774.8072"/>
        <n v="139277.83032000001"/>
        <n v="12091.190399999999"/>
        <n v="12881.097599999999"/>
        <n v="12597.52224"/>
        <n v="11406.96"/>
        <n v="10869.182940000001"/>
        <n v="13437.300239999999"/>
        <n v="14448.298699999998"/>
        <n v="8930.7124999999996"/>
        <n v="7854.6931199999999"/>
        <n v="19903.585040000002"/>
        <n v="20672.289000000001"/>
        <n v="667.15008"/>
        <n v="5769.2758000000003"/>
        <n v="50090.397499999999"/>
        <n v="5096.4790800000001"/>
        <n v="8909.8587200000002"/>
        <n v="14108.16791"/>
        <n v="9866.3104799999983"/>
        <n v="48097.911050000002"/>
        <n v="4402.1164799999997"/>
        <n v="23668.560000000001"/>
        <n v="19542.975350000001"/>
        <n v="1446.9507000000001"/>
        <n v="58091.634960000003"/>
        <n v="38422.022320000004"/>
        <n v="7327.9533600000004"/>
        <n v="14197.064400000001"/>
        <n v="11851.806399999999"/>
        <n v="30652.403519999996"/>
        <n v="27676.35"/>
        <n v="22526.66"/>
        <n v="28247.74656"/>
        <n v="1950.0031200000001"/>
        <n v="6984.8246399999998"/>
        <n v="12335.654849999999"/>
        <n v="41352.246200000009"/>
        <n v="6535.6324800000002"/>
        <n v="15323.926799999999"/>
        <n v="5650.1744000000008"/>
        <n v="4071.8"/>
        <n v="9698.1638399999993"/>
        <n v="9373.460219999999"/>
        <n v="58057.65"/>
        <n v="3494.4040799999998"/>
        <n v="52780.07"/>
        <n v="741.43835999999999"/>
        <n v="8637.1874499999994"/>
        <n v="9684.8756000000012"/>
        <n v="11995.153920000001"/>
        <n v="43553.493060000001"/>
        <n v="15374.563199999999"/>
        <n v="5328.4890400000004"/>
        <n v="29263.754519999995"/>
        <n v="4420.5961799999995"/>
        <n v="9847.2358600000007"/>
        <n v="39546.774539999999"/>
        <n v="9022.35"/>
        <n v="27370.540859999997"/>
        <n v="3921.1744000000008"/>
        <n v="496.98660000000001"/>
        <n v="10388.429999999998"/>
        <n v="7823.4472399999995"/>
        <n v="34444.462359999998"/>
        <n v="18500.693520000001"/>
        <n v="36549.429260000004"/>
        <n v="14877.464000000002"/>
        <n v="5159.7893599999998"/>
        <n v="22983.34563"/>
        <n v="4133.25108"/>
        <n v="24278.849280000002"/>
        <n v="7678.2113999999992"/>
        <n v="21585.15"/>
        <n v="7203.8047000000006"/>
        <n v="13450.74"/>
        <n v="33687.501800000005"/>
        <n v="11417.429099999999"/>
        <n v="16219.34496"/>
        <n v="24321.57"/>
        <n v="6899.8804600000003"/>
        <n v="12413.98458"/>
        <n v="7399.4832000000006"/>
        <n v="15257.51748"/>
        <n v="5250.4239000000007"/>
        <n v="2525.0635000000002"/>
        <n v="6664.0999999999995"/>
        <n v="41419.524249999995"/>
        <n v="25079.480689999997"/>
        <n v="35567.737920000007"/>
        <n v="4877.1379800000004"/>
        <n v="1756.6999999999998"/>
        <n v="6063.2517199999993"/>
        <n v="25948.414799999995"/>
        <n v="4831.9464600000001"/>
        <n v="2518.8755800000004"/>
        <n v="12699.28"/>
        <n v="12040.64352"/>
        <n v="20084.133720000002"/>
        <n v="1641.7107199999998"/>
        <n v="534.57695999999999"/>
        <n v="10947.904"/>
        <n v="5331.6696000000002"/>
        <n v="8780.5809000000008"/>
        <n v="272.98599999999999"/>
        <n v="8366.02"/>
        <n v="1062.5902000000001"/>
        <n v="19233.355499999998"/>
        <n v="11742.8703"/>
        <n v="36161.097000000002"/>
        <n v="2231.6467200000002"/>
        <n v="3340.6370000000002"/>
        <n v="8349.2224200000001"/>
        <n v="85637.740319999997"/>
        <n v="25502.910479999999"/>
        <n v="31822.023930000003"/>
        <n v="4212.3745999999992"/>
        <n v="2059.0056"/>
        <n v="55880.483749999999"/>
        <n v="22620.859800000002"/>
        <n v="26131.70736"/>
        <n v="17964.4038"/>
        <n v="5189.8836000000001"/>
        <n v="14114.068500000001"/>
        <n v="215.19839999999996"/>
        <n v="7643.2649999999994"/>
        <n v="16487.22781"/>
        <n v="40476.013200000001"/>
        <n v="15505.479600000001"/>
        <n v="9509.2865999999995"/>
        <n v="16006.14344"/>
        <n v="321.93290999999999"/>
        <n v="4055.5175999999997"/>
        <n v="18957.37689"/>
        <n v="10647.727199999999"/>
        <n v="34632.106319999999"/>
        <n v="13321.14"/>
        <n v="24161.205600000001"/>
        <n v="9807.7842799999999"/>
        <n v="22380.204000000002"/>
        <n v="65111.38614000001"/>
        <n v="5960.04288"/>
        <n v="41106.800970000004"/>
        <n v="12955.824749999998"/>
        <n v="748.22303999999997"/>
        <n v="4790.1068000000005"/>
        <n v="8211.6342000000004"/>
        <n v="65119.329599999997"/>
        <n v="10382.65884"/>
        <n v="20163.409200000002"/>
        <n v="618.19979999999987"/>
        <n v="16252.219979999998"/>
        <n v="76.138720000000006"/>
        <n v="607.30668000000003"/>
        <n v="5127.0390600000001"/>
        <n v="10666.229420000001"/>
        <n v="20455.985130000001"/>
        <n v="25269.09"/>
        <n v="6066.54648"/>
        <n v="4375.3620000000001"/>
        <n v="56176.777799999996"/>
        <n v="26759.28775"/>
        <n v="22044.871499999997"/>
        <n v="6631.6443100000006"/>
        <n v="32506.559399999998"/>
        <n v="87404.929919999995"/>
        <n v="20332.775539999999"/>
        <n v="46450.26"/>
        <n v="64192.976999999999"/>
        <n v="9232.2830599999998"/>
        <n v="22064.910300000003"/>
        <n v="4577.1480000000001"/>
        <n v="12462.65055"/>
        <n v="7105.3528000000006"/>
        <n v="6874.4828600000001"/>
        <n v="4436.6291200000005"/>
        <n v="31513.085009999999"/>
        <n v="19073.059649999999"/>
        <n v="6824.2884000000004"/>
        <n v="8907.6924999999992"/>
        <n v="32704.386400000003"/>
        <n v="6684.1875"/>
        <n v="14261.92439"/>
        <n v="7738.9596900000006"/>
        <n v="13983.752729999998"/>
        <n v="13251.48"/>
        <n v="2373.9623200000001"/>
        <n v="6324.5775999999996"/>
        <n v="11842.8464"/>
        <n v="8938.8996600000009"/>
        <n v="15366.983199999999"/>
        <n v="12668.50728"/>
        <n v="23694.405119999999"/>
        <n v="11859.695119999998"/>
        <n v="31513.423040000001"/>
        <n v="30229.994880000002"/>
        <n v="19637.76528"/>
        <n v="24147.922500000001"/>
        <n v="20028.787380000002"/>
        <n v="599.53200000000004"/>
        <n v="72665.817450000002"/>
        <n v="8297.4286000000011"/>
        <n v="10893.6232"/>
        <n v="22457.143800000002"/>
        <n v="5546.4642200000008"/>
        <n v="9805.8573800000013"/>
        <n v="2886.4496399999998"/>
        <n v="33308.550000000003"/>
        <n v="7120.6486400000003"/>
        <n v="4679.7141600000004"/>
        <n v="18554.370299999999"/>
        <n v="841.00536"/>
        <n v="4856.35725"/>
        <n v="41138.261999999995"/>
        <n v="9586.8057599999993"/>
        <n v="11696.156879999999"/>
        <n v="7969.4615000000003"/>
        <n v="19510.808000000001"/>
        <n v="12236.874600000001"/>
        <n v="147.00756000000001"/>
        <n v="10859.64"/>
        <n v="29627.320319999999"/>
        <n v="18830.12472"/>
        <n v="12194.714"/>
        <n v="7340.3891399999993"/>
        <n v="13856.52411"/>
        <n v="9062.34692"/>
        <n v="3978.6474000000003"/>
        <n v="624.43503999999996"/>
        <n v="1662.6945600000001"/>
        <n v="30479.418970000002"/>
        <n v="8928.9795999999988"/>
        <n v="22201.762229999997"/>
        <n v="14527.748400000002"/>
        <n v="12769.38768"/>
        <n v="1499.22"/>
        <n v="13637.287999999999"/>
        <n v="4139.8127999999997"/>
        <n v="10957.9797"/>
        <n v="9771.4483199999995"/>
        <n v="40488.792960000006"/>
        <n v="17359.804799999998"/>
        <n v="9262.0686600000008"/>
        <n v="15253.069799999999"/>
        <n v="14287.896349999999"/>
        <n v="68665.574250000005"/>
        <n v="3175.1547799999998"/>
        <n v="14549.029120000001"/>
        <n v="5725.6496000000006"/>
        <n v="8909.6646800000017"/>
        <n v="34816.968000000001"/>
        <n v="5323.9903199999999"/>
        <n v="33551.927499999998"/>
        <n v="4738.5261"/>
        <n v="40563.321749999996"/>
        <n v="5280.8577599999999"/>
        <n v="1660.3999999999999"/>
        <n v="21679.749799999998"/>
        <n v="6468.2751599999992"/>
        <n v="18641.222160000001"/>
        <n v="10370.549999999999"/>
        <n v="5334.9141999999993"/>
        <n v="7689.4560000000001"/>
        <n v="266.17821999999995"/>
        <n v="4409.5168800000001"/>
        <n v="10464.138360000001"/>
        <n v="13035.970220000001"/>
        <n v="21584.693520000001"/>
        <n v="8903.4839999999986"/>
        <n v="3378.1478400000001"/>
        <n v="8324.8326000000015"/>
        <n v="9614.4403999999995"/>
        <n v="39810.328000000001"/>
        <n v="14431.738420000001"/>
        <n v="11984.891250000001"/>
        <n v="7507.4514899999995"/>
        <n v="1808.04592"/>
        <n v="34082.864639999993"/>
        <n v="35367.211040000002"/>
        <n v="27701.570400000001"/>
        <n v="11813.604160000001"/>
        <n v="47962.717579999997"/>
        <n v="2795.6384399999997"/>
        <n v="319.72248000000002"/>
        <n v="7446.5209000000004"/>
        <n v="53034.364139999991"/>
        <n v="4336.2427499999994"/>
        <n v="5785.8"/>
        <n v="3913.2000000000003"/>
        <n v="7090.5672000000004"/>
        <n v="518.65436999999997"/>
        <n v="10428.057360000001"/>
        <n v="3799.8031499999997"/>
        <n v="19581.87"/>
        <n v="17067.938400000003"/>
        <n v="667.74"/>
        <n v="1030.7574"/>
        <n v="27249"/>
        <n v="11015.510400000003"/>
        <n v="16061.972879999999"/>
        <n v="8330.2513199999994"/>
        <n v="17540.201120000002"/>
        <n v="11326.846439999999"/>
        <n v="29654.83008"/>
        <n v="4866.3287999999993"/>
        <n v="8326.6852500000005"/>
        <n v="16121.273400000002"/>
        <n v="13108.78584"/>
        <n v="19547.329920000004"/>
        <n v="549.80010000000004"/>
        <n v="58526.83122"/>
        <n v="5932.7856000000002"/>
        <n v="82141.339799999987"/>
        <n v="14910.609600000002"/>
        <n v="3980.7075"/>
        <n v="23782.310720000001"/>
        <n v="3823.6151599999998"/>
        <n v="15825.399369999997"/>
        <n v="37038.581760000001"/>
        <n v="30596.565999999999"/>
        <n v="20053.439999999999"/>
        <n v="3592.04"/>
        <n v="84136.119600000005"/>
        <n v="2736.27018"/>
        <n v="33071.3145"/>
        <n v="28386.015839999996"/>
        <n v="24223.05"/>
        <n v="15860.782080000001"/>
        <n v="13669.81"/>
        <n v="17731.623"/>
        <n v="4569.8508000000002"/>
        <n v="7173.3342799999991"/>
        <n v="10693.88488"/>
        <n v="1654.8966000000003"/>
        <n v="13519.529099999998"/>
        <n v="5487.6023999999998"/>
        <n v="3562.9028999999996"/>
        <n v="685.06776000000002"/>
        <n v="4737.2198399999997"/>
        <n v="32280.32474"/>
        <n v="855.72881999999993"/>
        <n v="2206.8000000000002"/>
        <n v="17594.028880000002"/>
        <n v="22882.675440000003"/>
        <n v="7135.57"/>
        <n v="82514.711519999997"/>
        <n v="26552.60298"/>
        <n v="3021.5016000000001"/>
        <n v="8698.8768300000011"/>
        <n v="16134.22069"/>
        <n v="10786.32144"/>
        <n v="27158.894079999998"/>
        <n v="2909.8689199999999"/>
        <n v="25131.155999999999"/>
        <n v="32335.21802"/>
        <n v="14968.239"/>
        <n v="1547.3500000000001"/>
        <n v="14714.12934"/>
        <n v="19773.362699999998"/>
        <n v="34139.159999999996"/>
        <n v="12289.2"/>
        <n v="2719.8567000000003"/>
        <n v="2879.9836"/>
        <n v="20079.343620000003"/>
        <n v="35621.302319999995"/>
        <n v="26408.63841"/>
        <n v="17960.432489999999"/>
        <n v="12967.958640000001"/>
        <n v="2146.5580500000001"/>
        <n v="21541.017959999997"/>
        <n v="4417.8334199999999"/>
        <n v="43084.872000000003"/>
        <n v="5225.2710400000005"/>
        <n v="40139.874619999995"/>
        <n v="1010.3759200000001"/>
        <n v="10936.992"/>
        <n v="44173.627960000005"/>
        <n v="102122.94203999999"/>
        <n v="17847.907199999998"/>
        <n v="19066.045319999997"/>
        <n v="30435.614999999998"/>
        <n v="3116.21"/>
        <n v="60292.805299999993"/>
        <n v="26304.275999999998"/>
        <n v="15348.702599999999"/>
        <n v="14269.848599999999"/>
        <n v="9829.0483199999999"/>
        <n v="930.17574000000002"/>
        <n v="4427.9172000000008"/>
        <n v="21572.590500000002"/>
        <n v="20430.771599999996"/>
        <n v="26106.613960000002"/>
        <n v="10456.416880000001"/>
        <n v="11924.0978"/>
        <n v="8671.7354400000004"/>
        <n v="33421.1"/>
        <n v="4503.4363999999996"/>
        <n v="434.45248000000004"/>
        <n v="12954.358080000002"/>
        <n v="13146.470699999998"/>
        <n v="66260.314239999992"/>
        <n v="10558.74"/>
        <n v="14813.731920000002"/>
        <n v="2077.46"/>
        <n v="26765.040239999998"/>
        <n v="4826.5396199999996"/>
        <n v="20171.63305"/>
        <n v="12080.215199999999"/>
        <n v="1952.6356799999999"/>
        <n v="5032.4433599999993"/>
        <n v="34840.344000000005"/>
        <n v="34.689059999999998"/>
        <n v="27331.829999999998"/>
        <n v="12972.00222"/>
        <n v="18061.204320000004"/>
        <n v="6576.298960000001"/>
        <n v="5565.3272500000003"/>
        <n v="1886.9915999999998"/>
        <n v="31556.187599999997"/>
        <n v="16142.527829999999"/>
        <n v="29175.036029999999"/>
        <n v="560.36831999999993"/>
        <n v="42433.254400000005"/>
        <n v="66988.771199999988"/>
        <n v="9647.3852800000004"/>
        <n v="13185.543"/>
        <n v="19628.476999999999"/>
        <n v="8336.8896000000004"/>
        <n v="4132.0325200000007"/>
        <n v="16013.681599999998"/>
        <n v="43209.006119999991"/>
        <n v="5457.4317000000001"/>
        <n v="2394.1605599999998"/>
        <n v="15490.527"/>
        <n v="19800.88896"/>
        <n v="12717.311040000001"/>
        <n v="10455.7932"/>
        <n v="6732.4334000000008"/>
        <n v="6702.3501999999999"/>
        <n v="41914.215840000004"/>
        <n v="8763.2849999999999"/>
        <n v="7382.1450000000004"/>
        <n v="15656.47056"/>
        <n v="23375.594060000003"/>
        <n v="2627.6239999999998"/>
        <n v="5610.0923999999995"/>
        <n v="23195.01828"/>
        <n v="4229.4321199999995"/>
        <n v="33938.142760000002"/>
        <n v="13218.5"/>
        <n v="7428.1108999999988"/>
        <n v="1009.2969000000002"/>
        <n v="4025.8565599999993"/>
        <n v="109244"/>
        <n v="30151.675319999998"/>
        <n v="35167.7448"/>
        <n v="23687.524440000001"/>
        <n v="25249.613219999999"/>
        <n v="38818.760160000005"/>
        <n v="2316.2621999999997"/>
        <n v="50296.415399999998"/>
        <n v="40325.31"/>
        <n v="4280.6786400000001"/>
        <n v="29673.454499999993"/>
        <n v="846.34703999999988"/>
        <n v="30799.273800000003"/>
        <n v="11332.142999999998"/>
        <n v="25553.782800000001"/>
        <n v="10166.535600000001"/>
        <n v="21062.61248"/>
        <n v="4117.4880599999997"/>
        <n v="92715.25"/>
        <n v="39263.702919999996"/>
        <n v="39516.804389999998"/>
        <n v="8093.4784"/>
        <n v="4804.4682400000002"/>
        <n v="25174.028880000002"/>
        <n v="37562.28"/>
        <n v="853.32276999999988"/>
        <n v="8764.4065599999994"/>
        <n v="14963.769179999999"/>
        <n v="16071.44868"/>
        <n v="16873.45"/>
        <n v="97.0154"/>
        <n v="51768.181920000003"/>
        <n v="1115.1975999999997"/>
        <n v="10260.060159999999"/>
        <n v="370.86"/>
        <n v="3928.3797600000003"/>
        <n v="23132.398349999996"/>
        <n v="17441.021520000002"/>
        <n v="3562.1983800000003"/>
        <n v="3190.8713200000002"/>
        <n v="47693.373"/>
        <n v="32086.37586"/>
        <n v="25299.040000000001"/>
        <n v="13784.586000000001"/>
        <n v="908.03700000000003"/>
        <n v="5533.6230000000005"/>
        <n v="7493.1076000000012"/>
        <n v="4637.7968000000001"/>
        <n v="6435.2555999999995"/>
        <n v="18003.847679999999"/>
        <n v="34307.159999999996"/>
        <n v="3525.5505600000001"/>
        <n v="11285.764020000001"/>
        <n v="10519.776450000001"/>
        <n v="66.920760000000001"/>
        <n v="79548.755999999994"/>
        <n v="3823.5108"/>
        <n v="31005.24768"/>
        <n v="20225.2248"/>
        <n v="2642.1686999999997"/>
        <n v="25483.91488"/>
        <n v="4682.9519799999998"/>
        <n v="24374.594880000001"/>
        <n v="17427.164800000002"/>
        <n v="50958.766320000002"/>
        <n v="12186.368600000002"/>
        <n v="9256.14"/>
        <n v="6766.9829999999993"/>
        <n v="12031.491680000001"/>
        <n v="2537.2908000000002"/>
        <n v="2117.4834999999998"/>
        <n v="9984.7160999999978"/>
        <n v="2915.4540999999999"/>
        <n v="524.81174999999996"/>
        <n v="34800.431400000001"/>
        <n v="3644.3212800000006"/>
        <n v="16609.090809999998"/>
        <n v="10792.637119999999"/>
      </sharedItems>
    </cacheField>
    <cacheField name="CostOfGoods" numFmtId="2">
      <sharedItems containsSemiMixedTypes="0" containsString="0" containsNumber="1" minValue="22" maxValue="83258.290000000008"/>
    </cacheField>
    <cacheField name="GrossProfit" numFmtId="2">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StandardizedO/Date" numFmtId="165">
      <sharedItems containsSemiMixedTypes="0" containsNonDate="0" containsDate="1" containsString="0" minDate="2023-01-02T00:00:00" maxDate="2025-09-16T00:00:00"/>
    </cacheField>
    <cacheField name="Quarter" numFmtId="14">
      <sharedItems/>
    </cacheField>
    <cacheField name="RegionHierarchy" numFmtId="0">
      <sharedItems/>
    </cacheField>
    <cacheField name="PriceBand" numFmtId="0">
      <sharedItems/>
    </cacheField>
    <cacheField name="OrderMonth" numFmtId="166">
      <sharedItems containsSemiMixedTypes="0" containsNonDate="0" containsDate="1" containsString="0" minDate="2023-01-01T00:00:00" maxDate="2025-09-02T00:00:00" count="33">
        <d v="2023-01-01T00:00:00"/>
        <d v="2023-02-01T00:00:00"/>
        <d v="2023-03-01T00:00:00"/>
        <d v="2023-04-01T00:00:00"/>
        <d v="2023-05-01T00:00:00"/>
        <d v="2023-06-01T00:00:00"/>
        <d v="2023-07-01T00:00:00"/>
        <d v="2023-08-01T00:00:00"/>
        <d v="2023-09-01T00:00:00"/>
        <d v="2023-10-01T00:00:00"/>
        <d v="2023-11-01T00:00:00"/>
        <d v="2023-12-01T00:00:00"/>
        <d v="2024-01-01T00:00:00"/>
        <d v="2024-02-01T00:00:00"/>
        <d v="2024-04-01T00:00:00"/>
        <d v="2024-05-01T00:00:00"/>
        <d v="2024-06-01T00:00:00"/>
        <d v="2024-07-01T00:00:00"/>
        <d v="2024-08-01T00:00:00"/>
        <d v="2024-09-01T00:00:00"/>
        <d v="2024-11-01T00:00:00"/>
        <d v="2025-01-01T00:00:00"/>
        <d v="2025-02-01T00:00:00"/>
        <d v="2025-03-01T00:00:00"/>
        <d v="2025-04-01T00:00:00"/>
        <d v="2025-05-01T00:00:00"/>
        <d v="2025-07-01T00:00:00"/>
        <d v="2025-08-01T00:00:00"/>
        <d v="2025-09-01T00:00:00"/>
        <d v="2024-03-01T00:00:00"/>
        <d v="2024-12-01T00:00:00"/>
        <d v="2025-06-01T00:00:00"/>
        <d v="2024-10-01T00:00:00"/>
      </sharedItems>
    </cacheField>
    <cacheField name="CohortStart" numFmtId="14">
      <sharedItems containsSemiMixedTypes="0" containsNonDate="0" containsDate="1" containsString="0" minDate="2023-01-01T00:00:00" maxDate="2023-03-04T00:00:00" count="12">
        <d v="2023-01-01T00:00:00"/>
        <d v="2023-03-01T00:00:00"/>
        <d v="2023-01-02T00:00:00" u="1"/>
        <d v="2023-01-21T00:00:00" u="1"/>
        <d v="2023-01-07T00:00:00" u="1"/>
        <d v="2023-01-19T00:00:00" u="1"/>
        <d v="2023-01-12T00:00:00" u="1"/>
        <d v="2023-03-03T00:00:00" u="1"/>
        <d v="2023-01-10T00:00:00" u="1"/>
        <d v="2023-01-29T00:00:00" u="1"/>
        <d v="2023-01-20T00:00:00" u="1"/>
        <d v="2023-01-13T00:00:00" u="1"/>
      </sharedItems>
    </cacheField>
    <cacheField name="MonthNumber" numFmtId="0">
      <sharedItems containsSemiMixedTypes="0" containsString="0" containsNumber="1" containsInteger="1" minValue="0" maxValue="32" count="33">
        <n v="0"/>
        <n v="1"/>
        <n v="2"/>
        <n v="3"/>
        <n v="4"/>
        <n v="5"/>
        <n v="6"/>
        <n v="7"/>
        <n v="8"/>
        <n v="9"/>
        <n v="10"/>
        <n v="11"/>
        <n v="12"/>
        <n v="13"/>
        <n v="15"/>
        <n v="16"/>
        <n v="17"/>
        <n v="18"/>
        <n v="19"/>
        <n v="20"/>
        <n v="22"/>
        <n v="24"/>
        <n v="25"/>
        <n v="26"/>
        <n v="27"/>
        <n v="28"/>
        <n v="30"/>
        <n v="31"/>
        <n v="32"/>
        <n v="14"/>
        <n v="23"/>
        <n v="29"/>
        <n v="21"/>
      </sharedItems>
    </cacheField>
    <cacheField name="Years"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188.905457870373" createdVersion="5" refreshedVersion="5" minRefreshableVersion="3" recordCount="632">
  <cacheSource type="worksheet">
    <worksheetSource ref="A1:AC633" sheet="StagingTable"/>
  </cacheSource>
  <cacheFields count="29">
    <cacheField name="OrderID" numFmtId="0">
      <sharedItems/>
    </cacheField>
    <cacheField name="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Lead Time Days" numFmtId="1">
      <sharedItems containsSemiMixedTypes="0" containsString="0" containsNumber="1" containsInteger="1" minValue="0" maxValue="30"/>
    </cacheField>
    <cacheField name="Region" numFmtId="0">
      <sharedItems count="4">
        <s v="Americas"/>
        <s v="Asia"/>
        <s v="Europe"/>
        <s v="Africa"/>
      </sharedItems>
    </cacheField>
    <cacheField name="Country" numFmtId="0">
      <sharedItems count="12">
        <s v="Brazil"/>
        <s v="Canada"/>
        <s v="China"/>
        <s v="France"/>
        <s v="Germany"/>
        <s v="India"/>
        <s v="Japan"/>
        <s v="Kenya"/>
        <s v="Nigeria"/>
        <s v="South Africa"/>
        <s v="United Kingdom"/>
        <s v="USA"/>
      </sharedItems>
    </cacheField>
    <cacheField name="City" numFmtId="0">
      <sharedItems/>
    </cacheField>
    <cacheField name="CustomerSegment" numFmtId="0">
      <sharedItems/>
    </cacheField>
    <cacheField name="Channel" numFmtId="0">
      <sharedItems containsBlank="1" count="6">
        <s v="Marketplace"/>
        <s v="Online"/>
        <s v="Direct"/>
        <s v="Distributor"/>
        <s v="Retail"/>
        <m/>
      </sharedItems>
    </cacheField>
    <cacheField name="Salesperson" numFmtId="0">
      <sharedItems/>
    </cacheField>
    <cacheField name="ProductCategory" numFmtId="0">
      <sharedItems count="7">
        <s v="Monitors"/>
        <s v="Components"/>
        <s v="Phones"/>
        <s v="Printers"/>
        <s v="Networking"/>
        <s v="Accessories"/>
        <s v="Laptops"/>
      </sharedItems>
    </cacheField>
    <cacheField name="SKU" numFmtId="0">
      <sharedItems/>
    </cacheField>
    <cacheField name="UnitCost" numFmtId="2">
      <sharedItems containsSemiMixedTypes="0" containsString="0" containsNumber="1" minValue="5.34" maxValue="1495.79"/>
    </cacheField>
    <cacheField name="UnitPrice" numFmtId="2">
      <sharedItems containsSemiMixedTypes="0" containsString="0" containsNumber="1" minValue="-33.659999999999997" maxValue="3661.07"/>
    </cacheField>
    <cacheField name="Absolute Unit price" numFmtId="2">
      <sharedItems containsSemiMixedTypes="0" containsString="0" containsNumber="1" minValue="4.22" maxValue="3661.07"/>
    </cacheField>
    <cacheField name="DiscountPct" numFmtId="10">
      <sharedItems containsSemiMixedTypes="0" containsString="0" containsNumber="1" minValue="0" maxValue="0.56499999999999995"/>
    </cacheField>
    <cacheField name="Quantity" numFmtId="1">
      <sharedItems containsSemiMixedTypes="0" containsString="0" containsNumber="1" containsInteger="1" minValue="2" maxValue="61"/>
    </cacheField>
    <cacheField name="GrossRevenue" numFmtId="2">
      <sharedItems containsSemiMixedTypes="0" containsString="0" containsNumber="1" minValue="18.659839999999999" maxValue="139277.83032000001"/>
    </cacheField>
    <cacheField name="CostOfGoods" numFmtId="2">
      <sharedItems containsSemiMixedTypes="0" containsString="0" containsNumber="1" minValue="22" maxValue="83258.290000000008"/>
    </cacheField>
    <cacheField name="GrossProfit" numFmtId="2">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StandardizedO/Date" numFmtId="165">
      <sharedItems containsSemiMixedTypes="0" containsNonDate="0" containsDate="1" containsString="0" minDate="2023-01-02T00:00:00" maxDate="2025-09-16T00:00:00"/>
    </cacheField>
    <cacheField name="Quarter" numFmtId="14">
      <sharedItems/>
    </cacheField>
    <cacheField name="RegionHierarchy" numFmtId="0">
      <sharedItems/>
    </cacheField>
    <cacheField name="PriceBand" numFmtId="0">
      <sharedItems/>
    </cacheField>
    <cacheField name="OrderMonth" numFmtId="166">
      <sharedItems containsSemiMixedTypes="0" containsNonDate="0" containsDate="1" containsString="0" minDate="2023-01-01T00:00:00" maxDate="2025-09-02T00:00:00"/>
    </cacheField>
    <cacheField name="CohortStart" numFmtId="14">
      <sharedItems containsSemiMixedTypes="0" containsNonDate="0" containsDate="1" containsString="0" minDate="2023-01-01T00:00:00" maxDate="2023-03-02T00:00:00"/>
    </cacheField>
    <cacheField name="MonthNumber" numFmtId="0">
      <sharedItems containsSemiMixedTypes="0" containsString="0" containsNumber="1" containsInteger="1" minValue="0" maxValue="32"/>
    </cacheField>
    <cacheField name="ServiceLevel"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188.916835416669" createdVersion="5" refreshedVersion="5" minRefreshableVersion="3" recordCount="632">
  <cacheSource type="worksheet">
    <worksheetSource ref="A1:AD633" sheet="StagingTable"/>
  </cacheSource>
  <cacheFields count="30">
    <cacheField name="OrderID" numFmtId="0">
      <sharedItems/>
    </cacheField>
    <cacheField name="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Lead Time Days" numFmtId="1">
      <sharedItems containsSemiMixedTypes="0" containsString="0" containsNumber="1" containsInteger="1" minValue="0" maxValue="30"/>
    </cacheField>
    <cacheField name="Region" numFmtId="0">
      <sharedItems count="4">
        <s v="Americas"/>
        <s v="Asia"/>
        <s v="Europe"/>
        <s v="Africa"/>
      </sharedItems>
    </cacheField>
    <cacheField name="Country" numFmtId="0">
      <sharedItems/>
    </cacheField>
    <cacheField name="City" numFmtId="0">
      <sharedItems/>
    </cacheField>
    <cacheField name="CustomerSegment" numFmtId="0">
      <sharedItems/>
    </cacheField>
    <cacheField name="Channel" numFmtId="0">
      <sharedItems containsBlank="1"/>
    </cacheField>
    <cacheField name="Salesperson" numFmtId="0">
      <sharedItems count="16">
        <s v="D. Smith"/>
        <s v="N. Brown"/>
        <s v="G. Dubois"/>
        <s v="M. Rossi"/>
        <s v="A. Patel"/>
        <s v="C. Otieno"/>
        <s v="E. Garcia"/>
        <s v="B. Chen"/>
        <s v="F. Müller"/>
        <s v="J. Njeri"/>
        <s v="Unassigned"/>
        <s v="L. Okafor"/>
        <s v="K. Singh"/>
        <s v="O. Wang"/>
        <s v="I. Johnson"/>
        <s v="H. Kim"/>
      </sharedItems>
    </cacheField>
    <cacheField name="ProductCategory" numFmtId="0">
      <sharedItems/>
    </cacheField>
    <cacheField name="SKU" numFmtId="0">
      <sharedItems/>
    </cacheField>
    <cacheField name="UnitCost" numFmtId="2">
      <sharedItems containsSemiMixedTypes="0" containsString="0" containsNumber="1" minValue="5.34" maxValue="1495.79"/>
    </cacheField>
    <cacheField name="UnitPrice" numFmtId="2">
      <sharedItems containsSemiMixedTypes="0" containsString="0" containsNumber="1" minValue="-33.659999999999997" maxValue="3661.07"/>
    </cacheField>
    <cacheField name="Absolute Unit price" numFmtId="2">
      <sharedItems containsSemiMixedTypes="0" containsString="0" containsNumber="1" minValue="4.22" maxValue="3661.07"/>
    </cacheField>
    <cacheField name="DiscountPct" numFmtId="10">
      <sharedItems containsSemiMixedTypes="0" containsString="0" containsNumber="1" minValue="0" maxValue="0.56499999999999995"/>
    </cacheField>
    <cacheField name="Quantity" numFmtId="1">
      <sharedItems containsSemiMixedTypes="0" containsString="0" containsNumber="1" containsInteger="1" minValue="2" maxValue="61"/>
    </cacheField>
    <cacheField name="GrossRevenue" numFmtId="2">
      <sharedItems containsSemiMixedTypes="0" containsString="0" containsNumber="1" minValue="18.659839999999999" maxValue="139277.83032000001"/>
    </cacheField>
    <cacheField name="CostOfGoods" numFmtId="2">
      <sharedItems containsSemiMixedTypes="0" containsString="0" containsNumber="1" minValue="22" maxValue="83258.290000000008"/>
    </cacheField>
    <cacheField name="GrossProfit" numFmtId="2">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StandardizedO/Date" numFmtId="165">
      <sharedItems containsSemiMixedTypes="0" containsNonDate="0" containsDate="1" containsString="0" minDate="2023-01-02T00:00:00" maxDate="2025-09-16T00:00:00"/>
    </cacheField>
    <cacheField name="Quarter" numFmtId="14">
      <sharedItems/>
    </cacheField>
    <cacheField name="RegionHierarchy" numFmtId="0">
      <sharedItems/>
    </cacheField>
    <cacheField name="PriceBand" numFmtId="0">
      <sharedItems/>
    </cacheField>
    <cacheField name="OrderMonth" numFmtId="166">
      <sharedItems containsSemiMixedTypes="0" containsNonDate="0" containsDate="1" containsString="0" minDate="2023-01-01T00:00:00" maxDate="2025-09-02T00:00:00"/>
    </cacheField>
    <cacheField name="CohortStart" numFmtId="14">
      <sharedItems containsSemiMixedTypes="0" containsNonDate="0" containsDate="1" containsString="0" minDate="2023-01-01T00:00:00" maxDate="2023-03-02T00:00:00"/>
    </cacheField>
    <cacheField name="MonthNumber" numFmtId="0">
      <sharedItems containsSemiMixedTypes="0" containsString="0" containsNumber="1" containsInteger="1" minValue="0" maxValue="32"/>
    </cacheField>
    <cacheField name="ServiceLevel" numFmtId="0">
      <sharedItems containsSemiMixedTypes="0" containsString="0" containsNumber="1" containsInteger="1" minValue="0" maxValue="1"/>
    </cacheField>
    <cacheField name="HighDiscountFlag"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user" refreshedDate="46193.76680208333" createdVersion="5" refreshedVersion="5" minRefreshableVersion="3" recordCount="632">
  <cacheSource type="worksheet">
    <worksheetSource ref="A1:AM633" sheet="StagingTable"/>
  </cacheSource>
  <cacheFields count="39">
    <cacheField name="OrderID" numFmtId="0">
      <sharedItems count="631">
        <s v="ORD-2023-856322"/>
        <s v="ORD-2023-271836"/>
        <s v="ORD-2023-869884"/>
        <s v="ORD-2023-747341"/>
        <s v="ORD-2023-588455"/>
        <s v="ORD-2023-244375"/>
        <s v="ORD-2023-434071"/>
        <s v="ORD-2023-374486"/>
        <s v="ORD-2023-309373"/>
        <s v="ORD-2023-594700"/>
        <s v="ORD-2023-825836"/>
        <s v="ORD-2023-253245"/>
        <s v="ORD-2023-630430"/>
        <s v="ORD-2023-867175"/>
        <s v="ORD-2023-552115"/>
        <s v="ORD-2023-888140"/>
        <s v="ORD-2023-406606"/>
        <s v="ORD-2023-653343"/>
        <s v="ORD-2023-619570"/>
        <s v="ORD-2023-239789"/>
        <s v="ORD-2023-581799"/>
        <s v="ORD-2023-195665"/>
        <s v="ORD-2023-967239"/>
        <s v="ORD-2024-499009"/>
        <s v="ORD-2024-206121"/>
        <s v="ORD-2024-129345"/>
        <s v="ORD-2024-516704"/>
        <s v="ORD-2024-510591"/>
        <s v="ORD-2024-219735"/>
        <s v="ORD-2024-503082"/>
        <s v="ORD-2024-403664"/>
        <s v="ORD-2024-451005"/>
        <s v="ORD-2024-215294"/>
        <s v="ORD-2024-202877"/>
        <s v="ORD-2024-585443"/>
        <s v="ORD-2024-446699"/>
        <s v="ORD-2024-500890"/>
        <s v="ORD-2024-777623"/>
        <s v="ORD-2024-444710"/>
        <s v="ORD-2024-588972"/>
        <s v="ORD-2024-225829"/>
        <s v="ORD-2025-149156"/>
        <s v="ORD-2025-909340"/>
        <s v="ORD-2025-915869"/>
        <s v="ORD-2025-931538"/>
        <s v="ORD-2025-650719"/>
        <s v="ORD-2025-487261"/>
        <s v="ORD-2025-680118"/>
        <s v="ORD-2025-752845"/>
        <s v="ORD-2025-765220"/>
        <s v="ORD-2025-640677"/>
        <s v="ORD-2025-907040"/>
        <s v="ORD-2025-246692"/>
        <s v="ORD-2025-757957"/>
        <s v="ORD-2025-779530"/>
        <s v="ORD-2025-997421"/>
        <s v="ORD-2025-843974"/>
        <s v="ORD-2025-419532"/>
        <s v="ORD-2025-949776"/>
        <s v="ORD-2025-840976"/>
        <s v="ORD-2025-823055"/>
        <s v="ORD-2025-667201"/>
        <s v="ORD-2023-723587"/>
        <s v="ORD-2023-562894"/>
        <s v="ORD-2023-276806"/>
        <s v="ORD-2023-987700"/>
        <s v="ORD-2023-356427"/>
        <s v="ORD-2023-769774"/>
        <s v="ORD-2023-890605"/>
        <s v="ORD-2023-921939"/>
        <s v="ORD-2023-369160"/>
        <s v="ORD-2023-713614"/>
        <s v="ORD-2023-343322"/>
        <s v="ORD-2023-603238"/>
        <s v="ORD-2023-987081"/>
        <s v="ORD-2023-488227"/>
        <s v="ORD-2023-163610"/>
        <s v="ORD-2023-126505"/>
        <s v="ORD-2024-355095"/>
        <s v="ORD-2024-544865"/>
        <s v="ORD-2024-792137"/>
        <s v="ORD-2024-220234"/>
        <s v="ORD-2024-389336"/>
        <s v="ORD-2024-886939"/>
        <s v="ORD-2024-389102"/>
        <s v="ORD-2024-901115"/>
        <s v="ORD-2024-550400"/>
        <s v="ORD-2024-438404"/>
        <s v="ORD-2024-510520"/>
        <s v="ORD-2024-170021"/>
        <s v="ORD-2024-468501"/>
        <s v="ORD-2024-371409"/>
        <s v="ORD-2024-478165"/>
        <s v="ORD-2024-257550"/>
        <s v="ORD-2025-705398"/>
        <s v="ORD-2025-246470"/>
        <s v="ORD-2025-191328"/>
        <s v="ORD-2025-874124"/>
        <s v="ORD-2025-698069"/>
        <s v="ORD-2025-306903"/>
        <s v="ORD-2025-956101"/>
        <s v="ORD-2025-586799"/>
        <s v="ORD-2025-132174"/>
        <s v="ORD-2025-281413"/>
        <s v="ORD-2025-822030"/>
        <s v="ORD-2025-898022"/>
        <s v="ORD-2023-700699"/>
        <s v="ORD-2023-744942"/>
        <s v="ORD-2023-854471"/>
        <s v="ORD-2023-157993"/>
        <s v="ORD-2023-809913"/>
        <s v="ORD-2023-880296"/>
        <s v="ORD-2023-867836"/>
        <s v="ORD-2023-184577"/>
        <s v="ORD-2023-603650"/>
        <s v="ORD-2023-427304"/>
        <s v="ORD-2023-885216"/>
        <s v="ORD-2023-548934"/>
        <s v="ORD-2023-883066"/>
        <s v="ORD-2023-619385"/>
        <s v="ORD-2023-166668"/>
        <s v="ORD-2023-368449"/>
        <s v="ORD-2023-925146"/>
        <s v="ORD-2023-674887"/>
        <s v="ORD-2024-760799"/>
        <s v="ORD-2024-232632"/>
        <s v="ORD-2024-468655"/>
        <s v="ORD-2024-868223"/>
        <s v="ORD-2024-343877"/>
        <s v="ORD-2024-594592"/>
        <s v="ORD-2024-134084"/>
        <s v="ORD-2024-626925"/>
        <s v="ORD-2024-909942"/>
        <s v="ORD-2024-468615"/>
        <s v="ORD-2024-571797"/>
        <s v="ORD-2024-581530"/>
        <s v="ORD-2024-988736"/>
        <s v="ORD-2024-771210"/>
        <s v="ORD-2024-237478"/>
        <s v="ORD-2024-720756"/>
        <s v="ORD-2024-732543"/>
        <s v="ORD-2024-357368"/>
        <s v="ORD-2024-961756"/>
        <s v="ORD-2024-836421"/>
        <s v="ORD-2024-800947"/>
        <s v="ORD-2024-651852"/>
        <s v="ORD-2025-354346"/>
        <s v="ORD-2025-328504"/>
        <s v="ORD-2025-222035"/>
        <s v="ORD-2025-331237"/>
        <s v="ORD-2025-509940"/>
        <s v="ORD-2025-718992"/>
        <s v="ORD-2025-188059"/>
        <s v="ORD-2025-779659"/>
        <s v="ORD-2025-541501"/>
        <s v="ORD-2025-418232"/>
        <s v="ORD-2025-652467"/>
        <s v="ORD-2023-884192"/>
        <s v="ORD-2023-888245"/>
        <s v="ORD-2023-727290"/>
        <s v="ORD-2023-867285"/>
        <s v="ORD-2023-867166"/>
        <s v="ORD-2023-340056"/>
        <s v="ORD-2023-399631"/>
        <s v="ORD-2023-215819"/>
        <s v="ORD-2023-292714"/>
        <s v="ORD-2023-451931"/>
        <s v="ORD-2023-243704"/>
        <s v="ORD-2023-192324"/>
        <s v="ORD-2023-597666"/>
        <s v="ORD-2023-576840"/>
        <s v="ORD-2023-813340"/>
        <s v="ORD-2023-808024"/>
        <s v="ORD-2024-885858"/>
        <s v="ORD-2024-890180"/>
        <s v="ORD-2024-764468"/>
        <s v="ORD-2024-811752"/>
        <s v="ORD-2024-906395"/>
        <s v="ORD-2024-834983"/>
        <s v="ORD-2024-332076"/>
        <s v="ORD-2024-202166"/>
        <s v="ORD-2024-375848"/>
        <s v="ORD-2024-329104"/>
        <s v="ORD-2024-892879"/>
        <s v="ORD-2024-398783"/>
        <s v="ORD-2024-678110"/>
        <s v="ORD-2024-307849"/>
        <s v="ORD-2024-792353"/>
        <s v="ORD-2024-756884"/>
        <s v="ORD-2024-766980"/>
        <s v="ORD-2024-783321"/>
        <s v="ORD-2024-192263"/>
        <s v="ORD-2024-788105"/>
        <s v="ORD-2024-382152"/>
        <s v="ORD-2024-206081"/>
        <s v="ORD-2025-542939"/>
        <s v="ORD-2025-578007"/>
        <s v="ORD-2025-939953"/>
        <s v="ORD-2025-281062"/>
        <s v="ORD-2025-548982"/>
        <s v="ORD-2025-138578"/>
        <s v="ORD-2025-778145"/>
        <s v="ORD-2025-526650"/>
        <s v="ORD-2025-114382"/>
        <s v="ORD-2025-231184"/>
        <s v="ORD-2025-639542"/>
        <s v="ORD-2025-856556"/>
        <s v="ORD-2025-189846"/>
        <s v="ORD-2025-683043"/>
        <s v="ORD-2025-993993"/>
        <s v="ORD-2025-417336"/>
        <s v="ORD-2023-613317"/>
        <s v="ORD-2023-811823"/>
        <s v="ORD-2023-575584"/>
        <s v="ORD-2023-884625"/>
        <s v="ORD-2023-422918"/>
        <s v="ORD-2023-472078"/>
        <s v="ORD-2023-799597"/>
        <s v="ORD-2023-933238"/>
        <s v="ORD-2023-701153"/>
        <s v="ORD-2023-609394"/>
        <s v="ORD-2023-390998"/>
        <s v="ORD-2023-521280"/>
        <s v="ORD-2023-349264"/>
        <s v="ORD-2023-453699"/>
        <s v="ORD-2023-235230"/>
        <s v="ORD-2023-191563"/>
        <s v="ORD-2023-212701"/>
        <s v="ORD-2023-961864"/>
        <s v="ORD-2024-366010"/>
        <s v="ORD-2024-749242"/>
        <s v="ORD-2024-210687"/>
        <s v="ORD-2024-960952"/>
        <s v="ORD-2024-356812"/>
        <s v="ORD-2024-692673"/>
        <s v="ORD-2024-287210"/>
        <s v="ORD-2024-745822"/>
        <s v="ORD-2024-211453"/>
        <s v="ORD-2024-855600"/>
        <s v="ORD-2024-402240"/>
        <s v="ORD-2024-819979"/>
        <s v="ORD-2024-584090"/>
        <s v="ORD-2024-745424"/>
        <s v="ORD-2024-635626"/>
        <s v="ORD-2024-381197"/>
        <s v="ORD-2024-866535"/>
        <s v="ORD-2024-289089"/>
        <s v="ORD-2024-902741"/>
        <s v="ORD-2024-474999"/>
        <s v="ORD-2025-766923"/>
        <s v="ORD-2025-337268"/>
        <s v="ORD-2025-926547"/>
        <s v="ORD-2025-947929"/>
        <s v="ORD-2025-541048"/>
        <s v="ORD-2025-946490"/>
        <s v="ORD-2025-252117"/>
        <s v="ORD-2025-820255"/>
        <s v="ORD-2025-398335"/>
        <s v="ORD-2025-795385"/>
        <s v="ORD-2025-678328"/>
        <s v="ORD-2025-184754"/>
        <s v="ORD-2025-677880"/>
        <s v="ORD-2023-521818"/>
        <s v="ORD-2023-848013"/>
        <s v="ORD-2023-864121"/>
        <s v="ORD-2023-308124"/>
        <s v="ORD-2023-906481"/>
        <s v="ORD-2023-573656"/>
        <s v="ORD-2023-957692"/>
        <s v="ORD-2023-472050"/>
        <s v="ORD-2023-913592"/>
        <s v="ORD-2023-676553"/>
        <s v="ORD-2023-868460"/>
        <s v="ORD-2023-109927"/>
        <s v="ORD-2023-944052"/>
        <s v="ORD-2023-722117"/>
        <s v="ORD-2023-517216"/>
        <s v="ORD-2023-842820"/>
        <s v="ORD-2023-474313"/>
        <s v="ORD-2023-304451"/>
        <s v="ORD-2023-211715"/>
        <s v="ORD-2023-561823"/>
        <s v="ORD-2023-964434"/>
        <s v="ORD-2023-728177"/>
        <s v="ORD-2023-431328"/>
        <s v="ORD-2023-249805"/>
        <s v="ORD-2024-872291"/>
        <s v="ORD-2024-153053"/>
        <s v="ORD-2024-851883"/>
        <s v="ORD-2024-604471"/>
        <s v="ORD-2024-647473"/>
        <s v="ORD-2024-515105"/>
        <s v="ORD-2024-446030"/>
        <s v="ORD-2024-851993"/>
        <s v="ORD-2024-578646"/>
        <s v="ORD-2024-465898"/>
        <s v="ORD-2024-817997"/>
        <s v="ORD-2024-993481"/>
        <s v="ORD-2024-553449"/>
        <s v="ORD-2024-862371"/>
        <s v="ORD-2024-260775"/>
        <s v="ORD-2024-247979"/>
        <s v="ORD-2024-776337"/>
        <s v="ORD-2024-655710"/>
        <s v="ORD-2024-390951"/>
        <s v="ORD-2024-972318"/>
        <s v="ORD-2024-170313"/>
        <s v="ORD-2024-336584"/>
        <s v="ORD-2025-137394"/>
        <s v="ORD-2025-484073"/>
        <s v="ORD-2025-512310"/>
        <s v="ORD-2025-624006"/>
        <s v="ORD-2025-177994"/>
        <s v="ORD-2025-323492"/>
        <s v="ORD-2025-673091"/>
        <s v="ORD-2025-866565"/>
        <s v="ORD-2025-983096"/>
        <s v="ORD-2025-411385"/>
        <s v="ORD-2025-526752"/>
        <s v="ORD-2025-480172"/>
        <s v="ORD-2025-262491"/>
        <s v="ORD-2025-635337"/>
        <s v="ORD-2025-831576"/>
        <s v="ORD-2023-139236"/>
        <s v="ORD-2023-240507"/>
        <s v="ORD-2023-752962"/>
        <s v="ORD-2023-107265"/>
        <s v="ORD-2023-363031"/>
        <s v="ORD-2023-610470"/>
        <s v="ORD-2023-258768"/>
        <s v="ORD-2023-539967"/>
        <s v="ORD-2023-290237"/>
        <s v="ORD-2023-450877"/>
        <s v="ORD-2023-568013"/>
        <s v="ORD-2023-623293"/>
        <s v="ORD-2023-455933"/>
        <s v="ORD-2023-975863"/>
        <s v="ORD-2023-573146"/>
        <s v="ORD-2023-596758"/>
        <s v="ORD-2023-824839"/>
        <s v="ORD-2023-580751"/>
        <s v="ORD-2024-105586"/>
        <s v="ORD-2024-281211"/>
        <s v="ORD-2024-532184"/>
        <s v="ORD-2024-197852"/>
        <s v="ORD-2024-347736"/>
        <s v="ORD-2024-572312"/>
        <s v="ORD-2024-892908"/>
        <s v="ORD-2024-605629"/>
        <s v="ORD-2024-947056"/>
        <s v="ORD-2024-136321"/>
        <s v="ORD-2024-915495"/>
        <s v="ORD-2024-542244"/>
        <s v="ORD-2024-536442"/>
        <s v="ORD-2024-207792"/>
        <s v="ORD-2024-594527"/>
        <s v="ORD-2024-569164"/>
        <s v="ORD-2024-792558"/>
        <s v="ORD-2024-668926"/>
        <s v="ORD-2024-350100"/>
        <s v="ORD-2024-102866"/>
        <s v="ORD-2025-515515"/>
        <s v="ORD-2025-415018"/>
        <s v="ORD-2025-898843"/>
        <s v="ORD-2025-728935"/>
        <s v="ORD-2025-683247"/>
        <s v="ORD-2025-532859"/>
        <s v="ORD-2025-685236"/>
        <s v="ORD-2025-125517"/>
        <s v="ORD-2025-487025"/>
        <s v="ORD-2025-169093"/>
        <s v="ORD-2025-626047"/>
        <s v="ORD-2025-254721"/>
        <s v="ORD-2025-752192"/>
        <s v="ORD-2025-486350"/>
        <s v="ORD-2025-417942"/>
        <s v="ORD-2025-703623"/>
        <s v="ORD-2025-496178"/>
        <s v="ORD-2025-646342"/>
        <s v="ORD-2025-233883"/>
        <s v="ORD-2025-779574"/>
        <s v="ORD-2025-248586"/>
        <s v="ORD-2023-586275"/>
        <s v="ORD-2023-156396"/>
        <s v="ORD-2023-373538"/>
        <s v="ORD-2023-949710"/>
        <s v="ORD-2023-835010"/>
        <s v="ORD-2023-613287"/>
        <s v="ORD-2023-419187"/>
        <s v="ORD-2023-897079"/>
        <s v="ORD-2023-937291"/>
        <s v="ORD-2023-251563"/>
        <s v="ORD-2023-931633"/>
        <s v="ORD-2023-536542"/>
        <s v="ORD-2023-286720"/>
        <s v="ORD-2023-261081"/>
        <s v="ORD-2023-274037"/>
        <s v="ORD-2023-755337"/>
        <s v="ORD-2023-378104"/>
        <s v="ORD-2023-842488"/>
        <s v="ORD-2023-178249"/>
        <s v="ORD-2024-647571"/>
        <s v="ORD-2024-979401"/>
        <s v="ORD-2024-968374"/>
        <s v="ORD-2024-201376"/>
        <s v="ORD-2024-275203"/>
        <s v="ORD-2024-364080"/>
        <s v="ORD-2024-833375"/>
        <s v="ORD-2024-555229"/>
        <s v="ORD-2024-819778"/>
        <s v="ORD-2024-166150"/>
        <s v="ORD-2024-713332"/>
        <s v="ORD-2024-878493"/>
        <s v="ORD-2024-341535"/>
        <s v="ORD-2024-442776"/>
        <s v="ORD-2024-855073"/>
        <s v="ORD-2024-798002"/>
        <s v="ORD-2024-689872"/>
        <s v="ORD-2024-687100"/>
        <s v="ORD-2024-805860"/>
        <s v="ORD-2024-998320"/>
        <s v="ORD-2024-333192"/>
        <s v="ORD-2024-320972"/>
        <s v="ORD-2024-508213"/>
        <s v="ORD-2024-266562"/>
        <s v="ORD-2024-331226"/>
        <s v="ORD-2025-146850"/>
        <s v="ORD-2025-564184"/>
        <s v="ORD-2025-332931"/>
        <s v="ORD-2025-662997"/>
        <s v="ORD-2025-608069"/>
        <s v="ORD-2025-762301"/>
        <s v="ORD-2025-155182"/>
        <s v="ORD-2025-649633"/>
        <s v="ORD-2025-863978"/>
        <s v="ORD-2025-762212"/>
        <s v="ORD-2025-725646"/>
        <s v="ORD-2025-244832"/>
        <s v="ORD-2023-112666"/>
        <s v="ORD-2023-960380"/>
        <s v="ORD-2023-545150"/>
        <s v="ORD-2023-125739"/>
        <s v="ORD-2023-898009"/>
        <s v="ORD-2023-632893"/>
        <s v="ORD-2023-638181"/>
        <s v="ORD-2023-128295"/>
        <s v="ORD-2023-159821"/>
        <s v="ORD-2023-479747"/>
        <s v="ORD-2023-660608"/>
        <s v="ORD-2023-334213"/>
        <s v="ORD-2023-732585"/>
        <s v="ORD-2023-502205"/>
        <s v="ORD-2023-208944"/>
        <s v="ORD-2024-853298"/>
        <s v="ORD-2024-243988"/>
        <s v="ORD-2024-310809"/>
        <s v="ORD-2024-599522"/>
        <s v="ORD-2024-247032"/>
        <s v="ORD-2024-589570"/>
        <s v="ORD-2024-527858"/>
        <s v="ORD-2024-638884"/>
        <s v="ORD-2024-566589"/>
        <s v="ORD-2024-787018"/>
        <s v="ORD-2024-423853"/>
        <s v="ORD-2024-997336"/>
        <s v="ORD-2024-966651"/>
        <s v="ORD-2024-640340"/>
        <s v="ORD-2024-358795"/>
        <s v="ORD-2024-837651"/>
        <s v="ORD-2025-460466"/>
        <s v="ORD-2025-881624"/>
        <s v="ORD-2025-501927"/>
        <s v="ORD-2025-944081"/>
        <s v="ORD-2025-168148"/>
        <s v="ORD-2025-440093"/>
        <s v="ORD-2025-828263"/>
        <s v="ORD-2025-580047"/>
        <s v="ORD-2025-929414"/>
        <s v="ORD-2025-650841"/>
        <s v="ORD-2025-629393"/>
        <s v="ORD-2025-922513"/>
        <s v="ORD-2025-803803"/>
        <s v="ORD-2023-689428"/>
        <s v="ORD-2023-159379"/>
        <s v="ORD-2023-480975"/>
        <s v="ORD-2023-281890"/>
        <s v="ORD-2023-946143"/>
        <s v="ORD-2023-144816"/>
        <s v="ORD-2023-704111"/>
        <s v="ORD-2023-382272"/>
        <s v="ORD-2023-497686"/>
        <s v="ORD-2023-621393"/>
        <s v="ORD-2023-825084"/>
        <s v="ORD-2023-369150"/>
        <s v="ORD-2023-525643"/>
        <s v="ORD-2023-749324"/>
        <s v="ORD-2023-640022"/>
        <s v="ORD-2023-713375"/>
        <s v="ORD-2023-835226"/>
        <s v="ORD-2023-825495"/>
        <s v="ORD-2023-841426"/>
        <s v="ORD-2023-974506"/>
        <s v="ORD-2024-296582"/>
        <s v="ORD-2024-892173"/>
        <s v="ORD-2024-838925"/>
        <s v="ORD-2024-277241"/>
        <s v="ORD-2024-419248"/>
        <s v="ORD-2024-939873"/>
        <s v="ORD-2024-155337"/>
        <s v="ORD-2024-970848"/>
        <s v="ORD-2024-427031"/>
        <s v="ORD-2024-580808"/>
        <s v="ORD-2024-919471"/>
        <s v="ORD-2024-167215"/>
        <s v="ORD-2024-972999"/>
        <s v="ORD-2024-686712"/>
        <s v="ORD-2025-636162"/>
        <s v="ORD-2025-473192"/>
        <s v="ORD-2025-306251"/>
        <s v="ORD-2025-700847"/>
        <s v="ORD-2025-485946"/>
        <s v="ORD-2025-262434"/>
        <s v="ORD-2025-908258"/>
        <s v="ORD-2025-312803"/>
        <s v="ORD-2025-678688"/>
        <s v="ORD-2025-474710"/>
        <s v="ORD-2025-588029"/>
        <s v="ORD-2023-780206"/>
        <s v="ORD-2023-430904"/>
        <s v="ORD-2023-735274"/>
        <s v="ORD-2023-548874"/>
        <s v="ORD-2023-868734"/>
        <s v="ORD-2023-294716"/>
        <s v="ORD-2023-256951"/>
        <s v="ORD-2023-501220"/>
        <s v="ORD-2023-927385"/>
        <s v="ORD-2023-386663"/>
        <s v="ORD-2023-290279"/>
        <s v="ORD-2023-173313"/>
        <s v="ORD-2023-920483"/>
        <s v="ORD-2023-569862"/>
        <s v="ORD-2023-197661"/>
        <s v="ORD-2023-375011"/>
        <s v="ORD-2023-664749"/>
        <s v="ORD-2023-667815"/>
        <s v="ORD-2023-659070"/>
        <s v="ORD-2023-181257"/>
        <s v="ORD-2024-921935"/>
        <s v="ORD-2024-207669"/>
        <s v="ORD-2024-907733"/>
        <s v="ORD-2024-629525"/>
        <s v="ORD-2024-567435"/>
        <s v="ORD-2024-641220"/>
        <s v="ORD-2024-973420"/>
        <s v="ORD-2024-548345"/>
        <s v="ORD-2024-223618"/>
        <s v="ORD-2024-704056"/>
        <s v="ORD-2024-286833"/>
        <s v="ORD-2024-728474"/>
        <s v="ORD-2024-500511"/>
        <s v="ORD-2024-942981"/>
        <s v="ORD-2024-964950"/>
        <s v="ORD-2024-925626"/>
        <s v="ORD-2024-496601"/>
        <s v="ORD-2024-140633"/>
        <s v="ORD-2024-930679"/>
        <s v="ORD-2024-165942"/>
        <s v="ORD-2025-192876"/>
        <s v="ORD-2025-964661"/>
        <s v="ORD-2025-659650"/>
        <s v="ORD-2025-330203"/>
        <s v="ORD-2025-269934"/>
        <s v="ORD-2025-845715"/>
        <s v="ORD-2025-745263"/>
        <s v="ORD-2025-184082"/>
        <s v="ORD-2025-278048"/>
        <s v="ORD-2025-591006"/>
        <s v="ORD-2025-150713"/>
        <s v="ORD-2025-789245"/>
        <s v="ORD-2025-537785"/>
        <s v="ORD-2025-737787"/>
        <s v="ORD-2023-382017"/>
        <s v="ORD-2023-855675"/>
        <s v="ORD-2023-286994"/>
        <s v="ORD-2023-619493"/>
        <s v="ORD-2023-766015"/>
        <s v="ORD-2023-664790"/>
        <s v="ORD-2023-378676"/>
        <s v="ORD-2023-177794"/>
        <s v="ORD-2023-172095"/>
        <s v="ORD-2023-715175"/>
        <s v="ORD-2023-651638"/>
        <s v="ORD-2023-602648"/>
        <s v="ORD-2023-594955"/>
        <s v="ORD-2023-912395"/>
        <s v="ORD-2023-133848"/>
        <s v="ORD-2023-132101"/>
        <s v="ORD-2023-271918"/>
        <s v="ORD-2023-302041"/>
        <s v="ORD-2024-719055"/>
        <s v="ORD-2024-999607"/>
        <s v="ORD-2024-206311"/>
        <s v="ORD-2024-331408"/>
        <s v="ORD-2024-437164"/>
        <s v="ORD-2024-961501"/>
        <s v="ORD-2024-251426"/>
        <s v="ORD-2024-687073"/>
        <s v="ORD-2024-207096"/>
        <s v="ORD-2024-948800"/>
        <s v="ORD-2024-897622"/>
        <s v="ORD-2024-690270"/>
        <s v="ORD-2024-500109"/>
        <s v="ORD-2024-605518"/>
        <s v="ORD-2024-301260"/>
        <s v="ORD-2024-433936"/>
        <s v="ORD-2024-212990"/>
        <s v="ORD-2024-626750"/>
        <s v="ORD-2024-353078"/>
        <s v="ORD-2024-664046"/>
        <s v="ORD-2024-741404"/>
        <s v="ORD-2024-250862"/>
        <s v="ORD-2024-164288"/>
        <s v="ORD-2025-653781"/>
        <s v="ORD-2025-649239"/>
        <s v="ORD-2025-276968"/>
        <s v="ORD-2025-861401"/>
        <s v="ORD-2025-488349"/>
        <s v="ORD-2025-474368"/>
        <s v="ORD-2025-364852"/>
        <s v="ORD-2025-289139"/>
        <s v="ORD-2025-960931"/>
      </sharedItems>
    </cacheField>
    <cacheField name="OrderDate" numFmtId="14">
      <sharedItems containsSemiMixedTypes="0" containsNonDate="0" containsDate="1" containsString="0" minDate="2023-01-02T00:00:00" maxDate="2025-09-16T00:00:00" count="474">
        <d v="2023-01-29T00:00:00"/>
        <d v="2023-02-07T00:00:00"/>
        <d v="2023-03-02T00:00:00"/>
        <d v="2023-04-19T00:00:00"/>
        <d v="2023-05-23T00:00:00"/>
        <d v="2023-06-03T00:00:00"/>
        <d v="2023-06-20T00:00:00"/>
        <d v="2023-06-23T00:00:00"/>
        <d v="2023-07-05T00:00:00"/>
        <d v="2023-07-18T00:00:00"/>
        <d v="2023-07-19T00:00:00"/>
        <d v="2023-08-03T00:00:00"/>
        <d v="2023-08-04T00:00:00"/>
        <d v="2023-08-10T00:00:00"/>
        <d v="2023-09-17T00:00:00"/>
        <d v="2023-10-11T00:00:00"/>
        <d v="2023-10-25T00:00:00"/>
        <d v="2023-11-10T00:00:00"/>
        <d v="2023-11-14T00:00:00"/>
        <d v="2023-12-03T00:00:00"/>
        <d v="2023-12-05T00:00:00"/>
        <d v="2023-12-19T00:00:00"/>
        <d v="2023-12-24T00:00:00"/>
        <d v="2024-01-25T00:00:00"/>
        <d v="2024-02-18T00:00:00"/>
        <d v="2024-02-29T00:00:00"/>
        <d v="2024-04-03T00:00:00"/>
        <d v="2024-05-19T00:00:00"/>
        <d v="2024-05-23T00:00:00"/>
        <d v="2024-06-28T00:00:00"/>
        <d v="2024-06-30T00:00:00"/>
        <d v="2024-07-13T00:00:00"/>
        <d v="2024-08-15T00:00:00"/>
        <d v="2024-08-28T00:00:00"/>
        <d v="2024-09-09T00:00:00"/>
        <d v="2024-09-19T00:00:00"/>
        <d v="2024-09-22T00:00:00"/>
        <d v="2024-11-02T00:00:00"/>
        <d v="2024-11-07T00:00:00"/>
        <d v="2025-01-10T00:00:00"/>
        <d v="2025-01-20T00:00:00"/>
        <d v="2025-02-06T00:00:00"/>
        <d v="2025-02-09T00:00:00"/>
        <d v="2025-02-12T00:00:00"/>
        <d v="2025-03-06T00:00:00"/>
        <d v="2025-03-10T00:00:00"/>
        <d v="2025-03-30T00:00:00"/>
        <d v="2025-04-06T00:00:00"/>
        <d v="2025-04-09T00:00:00"/>
        <d v="2025-04-17T00:00:00"/>
        <d v="2025-04-24T00:00:00"/>
        <d v="2025-05-17T00:00:00"/>
        <d v="2025-05-21T00:00:00"/>
        <d v="2025-07-20T00:00:00"/>
        <d v="2025-08-06T00:00:00"/>
        <d v="2025-08-14T00:00:00"/>
        <d v="2025-09-01T00:00:00"/>
        <d v="2025-09-08T00:00:00"/>
        <d v="2025-09-15T00:00:00"/>
        <d v="2023-01-02T00:00:00"/>
        <d v="2023-02-23T00:00:00"/>
        <d v="2023-03-04T00:00:00"/>
        <d v="2023-04-05T00:00:00"/>
        <d v="2023-04-13T00:00:00"/>
        <d v="2023-06-13T00:00:00"/>
        <d v="2023-06-22T00:00:00"/>
        <d v="2023-07-24T00:00:00"/>
        <d v="2023-08-02T00:00:00"/>
        <d v="2023-08-19T00:00:00"/>
        <d v="2023-08-21T00:00:00"/>
        <d v="2023-08-29T00:00:00"/>
        <d v="2023-09-08T00:00:00"/>
        <d v="2023-10-22T00:00:00"/>
        <d v="2024-01-02T00:00:00"/>
        <d v="2024-02-16T00:00:00"/>
        <d v="2024-03-02T00:00:00"/>
        <d v="2024-03-15T00:00:00"/>
        <d v="2024-05-20T00:00:00"/>
        <d v="2024-06-03T00:00:00"/>
        <d v="2024-06-15T00:00:00"/>
        <d v="2024-07-25T00:00:00"/>
        <d v="2024-08-19T00:00:00"/>
        <d v="2024-09-23T00:00:00"/>
        <d v="2024-09-25T00:00:00"/>
        <d v="2024-11-05T00:00:00"/>
        <d v="2024-11-06T00:00:00"/>
        <d v="2024-11-17T00:00:00"/>
        <d v="2024-12-05T00:00:00"/>
        <d v="2024-12-27T00:00:00"/>
        <d v="2025-02-15T00:00:00"/>
        <d v="2025-04-16T00:00:00"/>
        <d v="2025-05-10T00:00:00"/>
        <d v="2025-05-12T00:00:00"/>
        <d v="2025-06-03T00:00:00"/>
        <d v="2025-06-24T00:00:00"/>
        <d v="2025-07-09T00:00:00"/>
        <d v="2025-07-14T00:00:00"/>
        <d v="2025-07-17T00:00:00"/>
        <d v="2025-08-03T00:00:00"/>
        <d v="2025-08-07T00:00:00"/>
        <d v="2025-09-02T00:00:00"/>
        <d v="2023-01-12T00:00:00"/>
        <d v="2023-03-06T00:00:00"/>
        <d v="2023-04-18T00:00:00"/>
        <d v="2023-04-21T00:00:00"/>
        <d v="2023-05-02T00:00:00"/>
        <d v="2023-05-11T00:00:00"/>
        <d v="2023-05-17T00:00:00"/>
        <d v="2023-06-09T00:00:00"/>
        <d v="2023-08-12T00:00:00"/>
        <d v="2023-09-30T00:00:00"/>
        <d v="2023-10-05T00:00:00"/>
        <d v="2023-10-09T00:00:00"/>
        <d v="2023-10-15T00:00:00"/>
        <d v="2023-12-16T00:00:00"/>
        <d v="2024-02-03T00:00:00"/>
        <d v="2024-02-14T00:00:00"/>
        <d v="2024-02-19T00:00:00"/>
        <d v="2024-03-03T00:00:00"/>
        <d v="2024-03-09T00:00:00"/>
        <d v="2024-04-06T00:00:00"/>
        <d v="2024-06-04T00:00:00"/>
        <d v="2024-06-07T00:00:00"/>
        <d v="2024-06-09T00:00:00"/>
        <d v="2024-07-09T00:00:00"/>
        <d v="2024-07-11T00:00:00"/>
        <d v="2024-09-07T00:00:00"/>
        <d v="2024-09-14T00:00:00"/>
        <d v="2024-10-03T00:00:00"/>
        <d v="2024-10-11T00:00:00"/>
        <d v="2024-10-24T00:00:00"/>
        <d v="2024-10-30T00:00:00"/>
        <d v="2024-11-25T00:00:00"/>
        <d v="2024-12-14T00:00:00"/>
        <d v="2024-12-15T00:00:00"/>
        <d v="2024-12-28T00:00:00"/>
        <d v="2025-01-09T00:00:00"/>
        <d v="2025-01-27T00:00:00"/>
        <d v="2025-03-14T00:00:00"/>
        <d v="2025-03-24T00:00:00"/>
        <d v="2025-05-16T00:00:00"/>
        <d v="2025-06-27T00:00:00"/>
        <d v="2025-07-03T00:00:00"/>
        <d v="2025-07-22T00:00:00"/>
        <d v="2025-08-01T00:00:00"/>
        <d v="2025-08-21T00:00:00"/>
        <d v="2023-01-10T00:00:00"/>
        <d v="2023-02-27T00:00:00"/>
        <d v="2023-04-03T00:00:00"/>
        <d v="2023-04-12T00:00:00"/>
        <d v="2023-04-26T00:00:00"/>
        <d v="2023-07-01T00:00:00"/>
        <d v="2023-07-10T00:00:00"/>
        <d v="2023-07-30T00:00:00"/>
        <d v="2023-09-14T00:00:00"/>
        <d v="2023-11-19T00:00:00"/>
        <d v="2023-12-26T00:00:00"/>
        <d v="2023-12-30T00:00:00"/>
        <d v="2024-01-10T00:00:00"/>
        <d v="2024-01-20T00:00:00"/>
        <d v="2024-02-01T00:00:00"/>
        <d v="2024-02-25T00:00:00"/>
        <d v="2024-03-10T00:00:00"/>
        <d v="2024-03-16T00:00:00"/>
        <d v="2024-04-09T00:00:00"/>
        <d v="2024-05-05T00:00:00"/>
        <d v="2024-05-18T00:00:00"/>
        <d v="2024-07-18T00:00:00"/>
        <d v="2024-07-24T00:00:00"/>
        <d v="2024-08-10T00:00:00"/>
        <d v="2024-10-13T00:00:00"/>
        <d v="2024-11-04T00:00:00"/>
        <d v="2024-11-20T00:00:00"/>
        <d v="2024-11-21T00:00:00"/>
        <d v="2024-11-30T00:00:00"/>
        <d v="2024-12-08T00:00:00"/>
        <d v="2024-12-10T00:00:00"/>
        <d v="2025-01-13T00:00:00"/>
        <d v="2025-01-21T00:00:00"/>
        <d v="2025-01-22T00:00:00"/>
        <d v="2025-04-07T00:00:00"/>
        <d v="2025-04-22T00:00:00"/>
        <d v="2025-04-27T00:00:00"/>
        <d v="2025-05-14T00:00:00"/>
        <d v="2025-06-01T00:00:00"/>
        <d v="2025-06-09T00:00:00"/>
        <d v="2025-06-15T00:00:00"/>
        <d v="2025-08-11T00:00:00"/>
        <d v="2025-08-13T00:00:00"/>
        <d v="2025-08-30T00:00:00"/>
        <d v="2023-01-21T00:00:00"/>
        <d v="2023-01-26T00:00:00"/>
        <d v="2023-01-30T00:00:00"/>
        <d v="2023-02-19T00:00:00"/>
        <d v="2023-02-28T00:00:00"/>
        <d v="2023-03-14T00:00:00"/>
        <d v="2023-03-17T00:00:00"/>
        <d v="2023-04-14T00:00:00"/>
        <d v="2023-04-16T00:00:00"/>
        <d v="2023-05-27T00:00:00"/>
        <d v="2023-06-01T00:00:00"/>
        <d v="2023-08-30T00:00:00"/>
        <d v="2023-11-30T00:00:00"/>
        <d v="2023-12-02T00:00:00"/>
        <d v="2023-12-07T00:00:00"/>
        <d v="2024-01-13T00:00:00"/>
        <d v="2024-01-16T00:00:00"/>
        <d v="2024-01-28T00:00:00"/>
        <d v="2024-03-07T00:00:00"/>
        <d v="2024-03-18T00:00:00"/>
        <d v="2024-03-31T00:00:00"/>
        <d v="2024-04-04T00:00:00"/>
        <d v="2024-04-29T00:00:00"/>
        <d v="2024-05-01T00:00:00"/>
        <d v="2024-05-28T00:00:00"/>
        <d v="2024-08-22T00:00:00"/>
        <d v="2024-08-27T00:00:00"/>
        <d v="2024-11-01T00:00:00"/>
        <d v="2024-12-04T00:00:00"/>
        <d v="2024-12-17T00:00:00"/>
        <d v="2024-12-23T00:00:00"/>
        <d v="2025-02-16T00:00:00"/>
        <d v="2025-03-11T00:00:00"/>
        <d v="2025-03-23T00:00:00"/>
        <d v="2025-04-04T00:00:00"/>
        <d v="2025-04-28T00:00:00"/>
        <d v="2025-05-29T00:00:00"/>
        <d v="2023-02-20T00:00:00"/>
        <d v="2023-03-27T00:00:00"/>
        <d v="2023-05-07T00:00:00"/>
        <d v="2023-05-10T00:00:00"/>
        <d v="2023-05-20T00:00:00"/>
        <d v="2023-07-21T00:00:00"/>
        <d v="2023-09-18T00:00:00"/>
        <d v="2023-09-19T00:00:00"/>
        <d v="2023-09-20T00:00:00"/>
        <d v="2023-10-07T00:00:00"/>
        <d v="2023-10-30T00:00:00"/>
        <d v="2023-11-28T00:00:00"/>
        <d v="2023-12-18T00:00:00"/>
        <d v="2023-12-20T00:00:00"/>
        <d v="2023-12-22T00:00:00"/>
        <d v="2024-01-08T00:00:00"/>
        <d v="2024-01-12T00:00:00"/>
        <d v="2024-01-21T00:00:00"/>
        <d v="2024-02-17T00:00:00"/>
        <d v="2024-02-27T00:00:00"/>
        <d v="2024-03-23T00:00:00"/>
        <d v="2024-05-27T00:00:00"/>
        <d v="2024-06-06T00:00:00"/>
        <d v="2024-07-28T00:00:00"/>
        <d v="2024-08-18T00:00:00"/>
        <d v="2024-10-17T00:00:00"/>
        <d v="2024-11-12T00:00:00"/>
        <d v="2024-12-20T00:00:00"/>
        <d v="2024-12-24T00:00:00"/>
        <d v="2025-01-04T00:00:00"/>
        <d v="2025-02-19T00:00:00"/>
        <d v="2025-03-08T00:00:00"/>
        <d v="2025-03-15T00:00:00"/>
        <d v="2025-05-07T00:00:00"/>
        <d v="2025-06-05T00:00:00"/>
        <d v="2025-06-17T00:00:00"/>
        <d v="2025-08-05T00:00:00"/>
        <d v="2023-03-03T00:00:00"/>
        <d v="2023-03-25T00:00:00"/>
        <d v="2023-04-22T00:00:00"/>
        <d v="2023-05-06T00:00:00"/>
        <d v="2023-06-24T00:00:00"/>
        <d v="2023-06-29T00:00:00"/>
        <d v="2023-07-09T00:00:00"/>
        <d v="2023-09-21T00:00:00"/>
        <d v="2023-10-12T00:00:00"/>
        <d v="2023-11-20T00:00:00"/>
        <d v="2023-12-01T00:00:00"/>
        <d v="2023-12-06T00:00:00"/>
        <d v="2024-01-11T00:00:00"/>
        <d v="2024-05-22T00:00:00"/>
        <d v="2024-06-16T00:00:00"/>
        <d v="2024-07-12T00:00:00"/>
        <d v="2024-07-15T00:00:00"/>
        <d v="2024-07-31T00:00:00"/>
        <d v="2024-08-07T00:00:00"/>
        <d v="2024-08-08T00:00:00"/>
        <d v="2024-08-30T00:00:00"/>
        <d v="2024-08-31T00:00:00"/>
        <d v="2024-09-03T00:00:00"/>
        <d v="2024-09-04T00:00:00"/>
        <d v="2024-09-05T00:00:00"/>
        <d v="2024-10-16T00:00:00"/>
        <d v="2024-10-23T00:00:00"/>
        <d v="2024-10-27T00:00:00"/>
        <d v="2024-12-12T00:00:00"/>
        <d v="2025-01-03T00:00:00"/>
        <d v="2025-02-02T00:00:00"/>
        <d v="2025-02-28T00:00:00"/>
        <d v="2025-03-21T00:00:00"/>
        <d v="2025-04-11T00:00:00"/>
        <d v="2025-04-13T00:00:00"/>
        <d v="2025-05-15T00:00:00"/>
        <d v="2025-05-27T00:00:00"/>
        <d v="2025-07-23T00:00:00"/>
        <d v="2025-07-27T00:00:00"/>
        <d v="2025-08-02T00:00:00"/>
        <d v="2025-09-10T00:00:00"/>
        <d v="2025-09-12T00:00:00"/>
        <d v="2023-01-20T00:00:00"/>
        <d v="2023-02-21T00:00:00"/>
        <d v="2023-03-07T00:00:00"/>
        <d v="2023-03-23T00:00:00"/>
        <d v="2023-03-31T00:00:00"/>
        <d v="2023-05-14T00:00:00"/>
        <d v="2023-06-10T00:00:00"/>
        <d v="2023-07-08T00:00:00"/>
        <d v="2023-08-15T00:00:00"/>
        <d v="2023-10-18T00:00:00"/>
        <d v="2023-10-31T00:00:00"/>
        <d v="2023-12-29T00:00:00"/>
        <d v="2024-02-06T00:00:00"/>
        <d v="2024-02-08T00:00:00"/>
        <d v="2024-02-11T00:00:00"/>
        <d v="2024-03-11T00:00:00"/>
        <d v="2024-04-16T00:00:00"/>
        <d v="2024-04-24T00:00:00"/>
        <d v="2024-06-02T00:00:00"/>
        <d v="2024-06-05T00:00:00"/>
        <d v="2024-06-19T00:00:00"/>
        <d v="2024-06-25T00:00:00"/>
        <d v="2024-07-19T00:00:00"/>
        <d v="2024-08-03T00:00:00"/>
        <d v="2024-09-10T00:00:00"/>
        <d v="2024-09-13T00:00:00"/>
        <d v="2024-10-25T00:00:00"/>
        <d v="2024-10-29T00:00:00"/>
        <d v="2024-11-08T00:00:00"/>
        <d v="2024-11-22T00:00:00"/>
        <d v="2024-11-27T00:00:00"/>
        <d v="2025-01-29T00:00:00"/>
        <d v="2025-03-31T00:00:00"/>
        <d v="2025-04-12T00:00:00"/>
        <d v="2025-05-02T00:00:00"/>
        <d v="2025-07-11T00:00:00"/>
        <d v="2025-07-19T00:00:00"/>
        <d v="2025-08-25T00:00:00"/>
        <d v="2025-09-11T00:00:00"/>
        <d v="2023-01-13T00:00:00"/>
        <d v="2023-02-11T00:00:00"/>
        <d v="2023-04-06T00:00:00"/>
        <d v="2023-05-01T00:00:00"/>
        <d v="2023-05-04T00:00:00"/>
        <d v="2023-05-05T00:00:00"/>
        <d v="2023-07-14T00:00:00"/>
        <d v="2023-07-25T00:00:00"/>
        <d v="2023-08-25T00:00:00"/>
        <d v="2023-12-21T00:00:00"/>
        <d v="2024-03-06T00:00:00"/>
        <d v="2024-03-13T00:00:00"/>
        <d v="2024-04-05T00:00:00"/>
        <d v="2024-04-19T00:00:00"/>
        <d v="2024-04-21T00:00:00"/>
        <d v="2024-05-04T00:00:00"/>
        <d v="2024-05-07T00:00:00"/>
        <d v="2024-05-26T00:00:00"/>
        <d v="2024-06-11T00:00:00"/>
        <d v="2024-06-23T00:00:00"/>
        <d v="2024-10-04T00:00:00"/>
        <d v="2024-10-14T00:00:00"/>
        <d v="2024-10-22T00:00:00"/>
        <d v="2025-02-07T00:00:00"/>
        <d v="2025-02-21T00:00:00"/>
        <d v="2025-03-03T00:00:00"/>
        <d v="2025-03-25T00:00:00"/>
        <d v="2025-03-29T00:00:00"/>
        <d v="2025-06-14T00:00:00"/>
        <d v="2025-06-26T00:00:00"/>
        <d v="2025-07-21T00:00:00"/>
        <d v="2025-08-26T00:00:00"/>
        <d v="2025-08-28T00:00:00"/>
        <d v="2023-01-07T00:00:00"/>
        <d v="2023-02-08T00:00:00"/>
        <d v="2023-02-15T00:00:00"/>
        <d v="2023-03-13T00:00:00"/>
        <d v="2023-05-18T00:00:00"/>
        <d v="2023-07-03T00:00:00"/>
        <d v="2023-07-07T00:00:00"/>
        <d v="2023-08-17T00:00:00"/>
        <d v="2023-08-24T00:00:00"/>
        <d v="2023-08-26T00:00:00"/>
        <d v="2023-10-26T00:00:00"/>
        <d v="2023-11-29T00:00:00"/>
        <d v="2023-12-28T00:00:00"/>
        <d v="2024-01-18T00:00:00"/>
        <d v="2024-01-27T00:00:00"/>
        <d v="2024-03-04T00:00:00"/>
        <d v="2024-04-12T00:00:00"/>
        <d v="2024-05-21T00:00:00"/>
        <d v="2024-06-08T00:00:00"/>
        <d v="2024-06-29T00:00:00"/>
        <d v="2024-08-21T00:00:00"/>
        <d v="2024-09-06T00:00:00"/>
        <d v="2024-10-02T00:00:00"/>
        <d v="2025-01-07T00:00:00"/>
        <d v="2025-04-10T00:00:00"/>
        <d v="2025-05-19T00:00:00"/>
        <d v="2025-06-19T00:00:00"/>
        <d v="2025-06-21T00:00:00"/>
        <d v="2025-07-16T00:00:00"/>
        <d v="2025-07-24T00:00:00"/>
        <d v="2025-09-14T00:00:00"/>
        <d v="2023-01-19T00:00:00"/>
        <d v="2023-01-27T00:00:00"/>
        <d v="2023-03-19T00:00:00"/>
        <d v="2023-04-10T00:00:00"/>
        <d v="2023-05-29T00:00:00"/>
        <d v="2023-06-05T00:00:00"/>
        <d v="2023-06-14T00:00:00"/>
        <d v="2023-06-15T00:00:00"/>
        <d v="2023-07-02T00:00:00"/>
        <d v="2023-07-16T00:00:00"/>
        <d v="2023-08-08T00:00:00"/>
        <d v="2023-08-23T00:00:00"/>
        <d v="2023-08-27T00:00:00"/>
        <d v="2023-10-21T00:00:00"/>
        <d v="2023-11-15T00:00:00"/>
        <d v="2024-01-01T00:00:00"/>
        <d v="2024-01-24T00:00:00"/>
        <d v="2024-04-18T00:00:00"/>
        <d v="2024-05-10T00:00:00"/>
        <d v="2024-05-12T00:00:00"/>
        <d v="2024-05-14T00:00:00"/>
        <d v="2024-06-10T00:00:00"/>
        <d v="2024-08-14T00:00:00"/>
        <d v="2024-10-08T00:00:00"/>
        <d v="2024-10-09T00:00:00"/>
        <d v="2024-10-10T00:00:00"/>
        <d v="2024-11-11T00:00:00"/>
        <d v="2024-12-07T00:00:00"/>
        <d v="2024-12-29T00:00:00"/>
        <d v="2025-01-31T00:00:00"/>
        <d v="2025-02-04T00:00:00"/>
        <d v="2025-04-14T00:00:00"/>
        <d v="2025-06-22T00:00:00"/>
        <d v="2025-06-25T00:00:00"/>
        <d v="2023-01-22T00:00:00"/>
        <d v="2023-02-05T00:00:00"/>
        <d v="2023-02-24T00:00:00"/>
        <d v="2023-02-26T00:00:00"/>
        <d v="2023-04-11T00:00:00"/>
        <d v="2023-05-03T00:00:00"/>
        <d v="2023-05-24T00:00:00"/>
        <d v="2023-06-17T00:00:00"/>
        <d v="2023-07-26T00:00:00"/>
        <d v="2023-09-25T00:00:00"/>
        <d v="2023-10-04T00:00:00"/>
        <d v="2024-02-20T00:00:00"/>
        <d v="2024-03-26T00:00:00"/>
        <d v="2024-03-27T00:00:00"/>
        <d v="2024-03-30T00:00:00"/>
        <d v="2024-05-17T00:00:00"/>
        <d v="2024-05-30T00:00:00"/>
        <d v="2024-07-29T00:00:00"/>
        <d v="2024-08-04T00:00:00"/>
        <d v="2024-08-12T00:00:00"/>
        <d v="2024-08-16T00:00:00"/>
        <d v="2024-09-02T00:00:00"/>
        <d v="2024-10-19T00:00:00"/>
        <d v="2024-12-21T00:00:00"/>
        <d v="2025-01-11T00:00:00"/>
        <d v="2025-01-17T00:00:00"/>
        <d v="2025-02-25T00:00:00"/>
        <d v="2025-04-01T00:00:00"/>
        <d v="2025-05-18T00:00:00"/>
        <d v="2025-08-10T00:00:00"/>
        <d v="2025-08-20T00:00:00"/>
      </sharedItems>
      <fieldGroup par="38" base="1">
        <rangePr groupBy="months" startDate="2023-01-02T00:00:00" endDate="2025-09-16T00:00:00"/>
        <groupItems count="14">
          <s v="&lt;1/2/2023"/>
          <s v="Jan"/>
          <s v="Feb"/>
          <s v="Mar"/>
          <s v="Apr"/>
          <s v="May"/>
          <s v="Jun"/>
          <s v="Jul"/>
          <s v="Aug"/>
          <s v="Sep"/>
          <s v="Oct"/>
          <s v="Nov"/>
          <s v="Dec"/>
          <s v="&gt;9/16/2025"/>
        </groupItems>
      </fieldGroup>
    </cacheField>
    <cacheField name="RequiredDate" numFmtId="14">
      <sharedItems containsSemiMixedTypes="0" containsNonDate="0" containsDate="1" containsString="0" minDate="2023-01-05T00:00:00" maxDate="2025-10-06T00:00:00"/>
    </cacheField>
    <cacheField name="Lead Time Days" numFmtId="1">
      <sharedItems containsSemiMixedTypes="0" containsString="0" containsNumber="1" containsInteger="1" minValue="0" maxValue="30"/>
    </cacheField>
    <cacheField name="Region" numFmtId="0">
      <sharedItems count="4">
        <s v="Americas"/>
        <s v="Asia"/>
        <s v="Europe"/>
        <s v="Africa"/>
      </sharedItems>
    </cacheField>
    <cacheField name="Country" numFmtId="0">
      <sharedItems count="12">
        <s v="Brazil"/>
        <s v="Canada"/>
        <s v="China"/>
        <s v="France"/>
        <s v="Germany"/>
        <s v="India"/>
        <s v="Japan"/>
        <s v="Kenya"/>
        <s v="Nigeria"/>
        <s v="South Africa"/>
        <s v="United Kingdom"/>
        <s v="USA"/>
      </sharedItems>
    </cacheField>
    <cacheField name="City" numFmtId="0">
      <sharedItems/>
    </cacheField>
    <cacheField name="CustomerSegment" numFmtId="0">
      <sharedItems/>
    </cacheField>
    <cacheField name="Channel" numFmtId="0">
      <sharedItems containsBlank="1" count="6">
        <s v="Marketplace"/>
        <s v="Online"/>
        <s v="Direct"/>
        <s v="Distributor"/>
        <s v="Retail"/>
        <m/>
      </sharedItems>
    </cacheField>
    <cacheField name="Salesperson" numFmtId="0">
      <sharedItems count="16">
        <s v="D. Smith"/>
        <s v="N. Brown"/>
        <s v="G. Dubois"/>
        <s v="M. Rossi"/>
        <s v="A. Patel"/>
        <s v="C. Otieno"/>
        <s v="E. Garcia"/>
        <s v="B. Chen"/>
        <s v="F. Müller"/>
        <s v="J. Njeri"/>
        <s v="Unassigned"/>
        <s v="L. Okafor"/>
        <s v="K. Singh"/>
        <s v="O. Wang"/>
        <s v="I. Johnson"/>
        <s v="H. Kim"/>
      </sharedItems>
    </cacheField>
    <cacheField name="ProductCategory" numFmtId="0">
      <sharedItems count="7">
        <s v="Monitors"/>
        <s v="Components"/>
        <s v="Phones"/>
        <s v="Printers"/>
        <s v="Networking"/>
        <s v="Accessories"/>
        <s v="Laptops"/>
      </sharedItems>
    </cacheField>
    <cacheField name="SKU" numFmtId="0">
      <sharedItems count="630">
        <s v="MON-7207"/>
        <s v="CMP-2693"/>
        <s v="MON-2828"/>
        <s v="PHN-7132"/>
        <s v="PRN-1271"/>
        <s v="CMP-1223"/>
        <s v="NET-1228"/>
        <s v="PRN-6490"/>
        <s v="NET-2394"/>
        <s v="NET-1699"/>
        <s v="MON-7869"/>
        <s v="ACC-3951"/>
        <s v="NET-9125"/>
        <s v="NET-2894"/>
        <s v="LAP-4932"/>
        <s v="ACC-3567"/>
        <s v="ACC-2867"/>
        <s v="ACC-5260"/>
        <s v="NET-4104"/>
        <s v="PHN-4644"/>
        <s v="PHN-6506"/>
        <s v="PHN-7274"/>
        <s v="PHN-3014"/>
        <s v="LAP-7056"/>
        <s v="CMP-9801"/>
        <s v="PRN-5384"/>
        <s v="PHN-7852"/>
        <s v="NET-3850"/>
        <s v="PHN-5445"/>
        <s v="MON-4271"/>
        <s v="NET-1166"/>
        <s v="ACC-9162"/>
        <s v="ACC-8683"/>
        <s v="MON-6287"/>
        <s v="MON-2849"/>
        <s v="ACC-4490"/>
        <s v="CMP-3093"/>
        <s v="PRN-2749"/>
        <s v="MON-6341"/>
        <s v="NET-8561"/>
        <s v="PRN-9960"/>
        <s v="LAP-7353"/>
        <s v="CMP-8658"/>
        <s v="NET-5482"/>
        <s v="LAP-6989"/>
        <s v="MON-5179"/>
        <s v="CMP-3693"/>
        <s v="NET-6269"/>
        <s v="PRN-8763"/>
        <s v="MON-4925"/>
        <s v="LAP-4517"/>
        <s v="NET-8610"/>
        <s v="PHN-4566"/>
        <s v="PHN-2787"/>
        <s v="MON-2993"/>
        <s v="CMP-3731"/>
        <s v="ACC-8098"/>
        <s v="MON-4317"/>
        <s v="PRN-9490"/>
        <s v="ACC-1663"/>
        <s v="MON-9274"/>
        <s v="ACC-6777"/>
        <s v="LAP-8555"/>
        <s v="PHN-4854"/>
        <s v="LAP-6160"/>
        <s v="MON-5259"/>
        <s v="MON-6053"/>
        <s v="PRN-8008"/>
        <s v="ACC-2903"/>
        <s v="PHN-4677"/>
        <s v="MON-3307"/>
        <s v="NET-3689"/>
        <s v="PRN-9669"/>
        <s v="CMP-2136"/>
        <s v="PRN-9975"/>
        <s v="ACC-3415"/>
        <s v="LAP-9024"/>
        <s v="MON-6065"/>
        <s v="LAP-3581"/>
        <s v="LAP-2774"/>
        <s v="PRN-7976"/>
        <s v="MON-4361"/>
        <s v="CMP-5946"/>
        <s v="MON-5386"/>
        <s v="PRN-4453"/>
        <s v="ACC-6626"/>
        <s v="PRN-9793"/>
        <s v="PHN-4568"/>
        <s v="PRN-9557"/>
        <s v="CMP-2015"/>
        <s v="ACC-6348"/>
        <s v="PRN-1371"/>
        <s v="ACC-2386"/>
        <s v="ACC-8620"/>
        <s v="CMP-5065"/>
        <s v="PRN-6178"/>
        <s v="CMP-9307"/>
        <s v="PRN-2407"/>
        <s v="PRN-6429"/>
        <s v="PRN-3775"/>
        <s v="LAP-2218"/>
        <s v="MON-7868"/>
        <s v="CMP-8851"/>
        <s v="NET-3785"/>
        <s v="NET-1336"/>
        <s v="PRN-1276"/>
        <s v="PRN-1641"/>
        <s v="PRN-1060"/>
        <s v="MON-2073"/>
        <s v="LAP-1482"/>
        <s v="CMP-7371"/>
        <s v="MON-5086"/>
        <s v="NET-3255"/>
        <s v="PRN-1923"/>
        <s v="CMP-6925"/>
        <s v="MON-9194"/>
        <s v="NET-4735"/>
        <s v="MON-3773"/>
        <s v="CMP-6352"/>
        <s v="LAP-5763"/>
        <s v="PRN-6520"/>
        <s v="CMP-2096"/>
        <s v="PRN-4983"/>
        <s v="ACC-9644"/>
        <s v="LAP-5531"/>
        <s v="ACC-1021"/>
        <s v="PRN-6308"/>
        <s v="PHN-4915"/>
        <s v="MON-5749"/>
        <s v="CMP-8196"/>
        <s v="PRN-4097"/>
        <s v="MON-8688"/>
        <s v="CMP-6392"/>
        <s v="ACC-3721"/>
        <s v="PHN-7815"/>
        <s v="NET-7998"/>
        <s v="PRN-3014"/>
        <s v="LAP-5150"/>
        <s v="PHN-7488"/>
        <s v="PRN-5666"/>
        <s v="NET-3728"/>
        <s v="CMP-4610"/>
        <s v="ACC-7047"/>
        <s v="CMP-3720"/>
        <s v="NET-1846"/>
        <s v="LAP-8825"/>
        <s v="PHN-2875"/>
        <s v="PHN-8368"/>
        <s v="PRN-5815"/>
        <s v="NET-8329"/>
        <s v="PHN-3800"/>
        <s v="CMP-8390"/>
        <s v="NET-3535"/>
        <s v="CMP-1220"/>
        <s v="NET-1804"/>
        <s v="PHN-9234"/>
        <s v="PRN-8137"/>
        <s v="LAP-4551"/>
        <s v="NET-5195"/>
        <s v="ACC-4815"/>
        <s v="MON-3043"/>
        <s v="LAP-3565"/>
        <s v="CMP-4945"/>
        <s v="ACC-3385"/>
        <s v="NET-6533"/>
        <s v="PRN-1504"/>
        <s v="NET-5423"/>
        <s v="PRN-7079"/>
        <s v="PRN-4432"/>
        <s v="PHN-5938"/>
        <s v="MON-3745"/>
        <s v="LAP-2942"/>
        <s v="ACC-6594"/>
        <s v="PRN-6776"/>
        <s v="PRN-8392"/>
        <s v="NET-8761"/>
        <s v="MON-3350"/>
        <s v="CMP-8002"/>
        <s v="PRN-8758"/>
        <s v="PRN-1086"/>
        <s v="CMP-3313"/>
        <s v="PRN-1725"/>
        <s v="MON-2100"/>
        <s v="CMP-5825"/>
        <s v="MON-7622"/>
        <s v="LAP-9901"/>
        <s v="PRN-1183"/>
        <s v="CMP-5435"/>
        <s v="CMP-5006"/>
        <s v="MON-1118"/>
        <s v="PRN-4911"/>
        <s v="MON-7943"/>
        <s v="PRN-4170"/>
        <s v="CMP-2335"/>
        <s v="PRN-6791"/>
        <s v="MON-1593"/>
        <s v="LAP-3779"/>
        <s v="ACC-5422"/>
        <s v="ACC-1604"/>
        <s v="NET-9716"/>
        <s v="MON-5276"/>
        <s v="MON-9216"/>
        <s v="PHN-8350"/>
        <s v="CMP-2865"/>
        <s v="CMP-4093"/>
        <s v="ACC-1770"/>
        <s v="ACC-7906"/>
        <s v="NET-6218"/>
        <s v="PHN-9465"/>
        <s v="CMP-5311"/>
        <s v="LAP-3220"/>
        <s v="MON-2537"/>
        <s v="NET-8787"/>
        <s v="NET-3460"/>
        <s v="MON-6699"/>
        <s v="LAP-3679"/>
        <s v="PRN-9624"/>
        <s v="CMP-8675"/>
        <s v="PHN-8483"/>
        <s v="PRN-7019"/>
        <s v="ACC-1731"/>
        <s v="MON-1663"/>
        <s v="ACC-1882"/>
        <s v="PHN-1924"/>
        <s v="LAP-4666"/>
        <s v="NET-9989"/>
        <s v="LAP-4899"/>
        <s v="MON-4278"/>
        <s v="CMP-1940"/>
        <s v="LAP-9931"/>
        <s v="MON-4195"/>
        <s v="ACC-7938"/>
        <s v="CMP-9264"/>
        <s v="PRN-6911"/>
        <s v="CMP-7617"/>
        <s v="ACC-2761"/>
        <s v="MON-8651"/>
        <s v="ACC-6543"/>
        <s v="LAP-5009"/>
        <s v="NET-4228"/>
        <s v="PHN-9399"/>
        <s v="CMP-2040"/>
        <s v="PRN-4892"/>
        <s v="MON-9967"/>
        <s v="PRN-2409"/>
        <s v="PRN-5492"/>
        <s v="ACC-5780"/>
        <s v="PHN-8057"/>
        <s v="LAP-8214"/>
        <s v="ACC-3989"/>
        <s v="ACC-5150"/>
        <s v="PHN-3007"/>
        <s v="PRN-3159"/>
        <s v="PHN-3803"/>
        <s v="MON-2842"/>
        <s v="PHN-2462"/>
        <s v="PRN-9787"/>
        <s v="LAP-1619"/>
        <s v="CMP-4159"/>
        <s v="ACC-8094"/>
        <s v="MON-7626"/>
        <s v="MON-9662"/>
        <s v="ACC-4631"/>
        <s v="MON-9906"/>
        <s v="PRN-4506"/>
        <s v="NET-2062"/>
        <s v="MON-2266"/>
        <s v="MON-4830"/>
        <s v="ACC-9283"/>
        <s v="LAP-6499"/>
        <s v="MON-2465"/>
        <s v="LAP-2806"/>
        <s v="ACC-4587"/>
        <s v="PRN-2301"/>
        <s v="ACC-3068"/>
        <s v="CMP-1009"/>
        <s v="PRN-5005"/>
        <s v="ACC-1375"/>
        <s v="CMP-4807"/>
        <s v="MON-7602"/>
        <s v="LAP-2378"/>
        <s v="NET-2460"/>
        <s v="PHN-2447"/>
        <s v="NET-6014"/>
        <s v="MON-1572"/>
        <s v="CMP-1555"/>
        <s v="PRN-6585"/>
        <s v="CMP-5138"/>
        <s v="CMP-8141"/>
        <s v="MON-8973"/>
        <s v="PHN-1717"/>
        <s v="LAP-8469"/>
        <s v="PHN-4346"/>
        <s v="CMP-6811"/>
        <s v="ACC-7240"/>
        <s v="NET-6578"/>
        <s v="NET-4675"/>
        <s v="PHN-3077"/>
        <s v="CMP-3875"/>
        <s v="NET-9835"/>
        <s v="MON-4330"/>
        <s v="MON-5188"/>
        <s v="LAP-5078"/>
        <s v="ACC-1075"/>
        <s v="PRN-9378"/>
        <s v="NET-9832"/>
        <s v="CMP-6919"/>
        <s v="MON-8629"/>
        <s v="CMP-1156"/>
        <s v="MON-1436"/>
        <s v="LAP-8119"/>
        <s v="CMP-3259"/>
        <s v="PHN-4395"/>
        <s v="PHN-3854"/>
        <s v="PHN-5683"/>
        <s v="PRN-8850"/>
        <s v="LAP-9016"/>
        <s v="ACC-2902"/>
        <s v="PHN-3482"/>
        <s v="LAP-1990"/>
        <s v="MON-1822"/>
        <s v="LAP-3905"/>
        <s v="PHN-2859"/>
        <s v="NET-7349"/>
        <s v="MON-9227"/>
        <s v="CMP-8604"/>
        <s v="ACC-7713"/>
        <s v="PHN-6131"/>
        <s v="PHN-6818"/>
        <s v="MON-2990"/>
        <s v="CMP-6649"/>
        <s v="NET-1645"/>
        <s v="CMP-5211"/>
        <s v="PRN-1786"/>
        <s v="PHN-8478"/>
        <s v="PHN-9184"/>
        <s v="NET-3033"/>
        <s v="LAP-3604"/>
        <s v="PRN-8175"/>
        <s v="PRN-8041"/>
        <s v="LAP-1946"/>
        <s v="NET-1893"/>
        <s v="PRN-7816"/>
        <s v="NET-9569"/>
        <s v="NET-7588"/>
        <s v="MON-6870"/>
        <s v="PHN-9677"/>
        <s v="NET-9575"/>
        <s v="ACC-2735"/>
        <s v="MON-1564"/>
        <s v="NET-7924"/>
        <s v="NET-8957"/>
        <s v="LAP-7009"/>
        <s v="PHN-6111"/>
        <s v="PRN-3917"/>
        <s v="LAP-4483"/>
        <s v="MON-5249"/>
        <s v="NET-6387"/>
        <s v="PHN-9789"/>
        <s v="MON-8939"/>
        <s v="LAP-8347"/>
        <s v="PHN-7019"/>
        <s v="PRN-2991"/>
        <s v="ACC-9591"/>
        <s v="LAP-3017"/>
        <s v="PRN-9867"/>
        <s v="PRN-5264"/>
        <s v="NET-8430"/>
        <s v="CMP-7055"/>
        <s v="CMP-3743"/>
        <s v="CMP-6495"/>
        <s v="NET-1966"/>
        <s v="PHN-6480"/>
        <s v="PRN-6131"/>
        <s v="ACC-1249"/>
        <s v="PHN-5675"/>
        <s v="ACC-1596"/>
        <s v="CMP-5658"/>
        <s v="LAP-4828"/>
        <s v="PHN-1197"/>
        <s v="CMP-6971"/>
        <s v="MON-2998"/>
        <s v="NET-6036"/>
        <s v="NET-2499"/>
        <s v="NET-9666"/>
        <s v="PRN-7049"/>
        <s v="ACC-2988"/>
        <s v="PHN-8014"/>
        <s v="LAP-7819"/>
        <s v="PHN-1784"/>
        <s v="LAP-1698"/>
        <s v="PHN-8970"/>
        <s v="PRN-9488"/>
        <s v="PHN-2337"/>
        <s v="LAP-1989"/>
        <s v="ACC-1238"/>
        <s v="PHN-1234"/>
        <s v="ACC-4766"/>
        <s v="PHN-8891"/>
        <s v="ACC-4124"/>
        <s v="PHN-7924"/>
        <s v="MON-2462"/>
        <s v="CMP-5911"/>
        <s v="PHN-5082"/>
        <s v="PRN-7089"/>
        <s v="CMP-8270"/>
        <s v="PRN-2641"/>
        <s v="MON-6190"/>
        <s v="ACC-7354"/>
        <s v="PHN-6866"/>
        <s v="ACC-9820"/>
        <s v="LAP-1739"/>
        <s v="LAP-4607"/>
        <s v="NET-5987"/>
        <s v="LAP-6577"/>
        <s v="PHN-6854"/>
        <s v="LAP-9815"/>
        <s v="LAP-1969"/>
        <s v="PRN-6068"/>
        <s v="PHN-8804"/>
        <s v="PRN-3143"/>
        <s v="PRN-4893"/>
        <s v="NET-2628"/>
        <s v="CMP-3938"/>
        <s v="PRN-5569"/>
        <s v="PHN-1919"/>
        <s v="ACC-1659"/>
        <s v="PHN-1671"/>
        <s v="ACC-5144"/>
        <s v="LAP-7136"/>
        <s v="NET-3432"/>
        <s v="ACC-2252"/>
        <s v="PHN-7636"/>
        <s v="ACC-1028"/>
        <s v="CMP-2854"/>
        <s v="CMP-4970"/>
        <s v="PHN-6954"/>
        <s v="LAP-3278"/>
        <s v="PRN-6276"/>
        <s v="ACC-8242"/>
        <s v="MON-4373"/>
        <s v="CMP-5633"/>
        <s v="PHN-1670"/>
        <s v="CMP-9392"/>
        <s v="CMP-4630"/>
        <s v="PRN-2542"/>
        <s v="LAP-3904"/>
        <s v="ACC-5334"/>
        <s v="ACC-8178"/>
        <s v="MON-5517"/>
        <s v="PHN-3971"/>
        <s v="NET-8856"/>
        <s v="CMP-4792"/>
        <s v="PHN-4741"/>
        <s v="CMP-9001"/>
        <s v="CMP-6529"/>
        <s v="PRN-7303"/>
        <s v="ACC-2990"/>
        <s v="MON-6892"/>
        <s v="LAP-9100"/>
        <s v="ACC-5177"/>
        <s v="PHN-2436"/>
        <s v="ACC-7671"/>
        <s v="PRN-1141"/>
        <s v="ACC-9038"/>
        <s v="NET-5268"/>
        <s v="MON-8758"/>
        <s v="PRN-9322"/>
        <s v="MON-4789"/>
        <s v="PRN-1882"/>
        <s v="PHN-5887"/>
        <s v="ACC-4056"/>
        <s v="ACC-9533"/>
        <s v="PHN-4556"/>
        <s v="LAP-3490"/>
        <s v="ACC-3349"/>
        <s v="ACC-3961"/>
        <s v="LAP-7523"/>
        <s v="LAP-8910"/>
        <s v="ACC-8999"/>
        <s v="ACC-4483"/>
        <s v="LAP-7553"/>
        <s v="PRN-4787"/>
        <s v="NET-5018"/>
        <s v="LAP-3393"/>
        <s v="CMP-2574"/>
        <s v="CMP-8230"/>
        <s v="ACC-2364"/>
        <s v="ACC-5206"/>
        <s v="CMP-5208"/>
        <s v="LAP-6342"/>
        <s v="ACC-9445"/>
        <s v="MON-1018"/>
        <s v="CMP-8659"/>
        <s v="PHN-8072"/>
        <s v="MON-2296"/>
        <s v="PRN-4732"/>
        <s v="CMP-7063"/>
        <s v="LAP-7320"/>
        <s v="LAP-1525"/>
        <s v="CMP-4531"/>
        <s v="PRN-1654"/>
        <s v="NET-1412"/>
        <s v="PRN-6660"/>
        <s v="CMP-1470"/>
        <s v="ACC-6223"/>
        <s v="MON-8422"/>
        <s v="LAP-8489"/>
        <s v="CMP-8101"/>
        <s v="PRN-3785"/>
        <s v="MON-1389"/>
        <s v="PHN-6832"/>
        <s v="NET-4241"/>
        <s v="CMP-1559"/>
        <s v="MON-3504"/>
        <s v="CMP-3978"/>
        <s v="NET-7901"/>
        <s v="MON-7106"/>
        <s v="NET-5270"/>
        <s v="LAP-7099"/>
        <s v="MON-5891"/>
        <s v="PHN-7379"/>
        <s v="PHN-3819"/>
        <s v="LAP-1308"/>
        <s v="NET-1612"/>
        <s v="NET-7966"/>
        <s v="CMP-6898"/>
        <s v="ACC-3645"/>
        <s v="LAP-9782"/>
        <s v="PRN-7410"/>
        <s v="ACC-9150"/>
        <s v="PRN-8970"/>
        <s v="PRN-5067"/>
        <s v="NET-2439"/>
        <s v="LAP-9766"/>
        <s v="CMP-8545"/>
        <s v="PRN-3690"/>
        <s v="CMP-5820"/>
        <s v="ACC-3833"/>
        <s v="CMP-7256"/>
        <s v="LAP-1178"/>
        <s v="MON-7511"/>
        <s v="ACC-1492"/>
        <s v="PRN-5107"/>
        <s v="ACC-8557"/>
        <s v="MON-8697"/>
        <s v="ACC-1060"/>
        <s v="ACC-3103"/>
        <s v="LAP-5689"/>
        <s v="LAP-8633"/>
        <s v="LAP-9932"/>
        <s v="PHN-9107"/>
        <s v="LAP-1066"/>
        <s v="PRN-5813"/>
        <s v="NET-2365"/>
        <s v="LAP-9230"/>
        <s v="ACC-7838"/>
        <s v="PHN-2341"/>
        <s v="NET-1145"/>
        <s v="MON-9733"/>
        <s v="CMP-1072"/>
        <s v="CMP-8127"/>
        <s v="PRN-2293"/>
        <s v="NET-2932"/>
        <s v="NET-4491"/>
        <s v="MON-4215"/>
        <s v="MON-6310"/>
        <s v="MON-4959"/>
        <s v="NET-2502"/>
        <s v="NET-7166"/>
        <s v="PRN-8657"/>
        <s v="MON-6962"/>
        <s v="LAP-3385"/>
        <s v="NET-6370"/>
        <s v="PHN-5316"/>
        <s v="PHN-5383"/>
        <s v="PRN-5753"/>
        <s v="PRN-5876"/>
        <s v="CMP-6346"/>
        <s v="NET-9003"/>
        <s v="PHN-3159"/>
        <s v="NET-4155"/>
        <s v="PHN-2036"/>
        <s v="CMP-1632"/>
        <s v="NET-1282"/>
        <s v="NET-1816"/>
        <s v="PRN-9249"/>
        <s v="PHN-5366"/>
        <s v="NET-5941"/>
        <s v="MON-6882"/>
        <s v="MON-5424"/>
        <s v="PRN-6536"/>
        <s v="MON-4326"/>
        <s v="NET-3828"/>
        <s v="ACC-7078"/>
        <s v="PHN-2013"/>
        <s v="LAP-6750"/>
        <s v="ACC-3551"/>
        <s v="ACC-5079"/>
        <s v="NET-4554"/>
        <s v="PRN-8604"/>
        <s v="CMP-2410"/>
        <s v="PRN-4906"/>
        <s v="NET-9177"/>
        <s v="CMP-3223"/>
        <s v="PHN-3398"/>
        <s v="MON-7099"/>
        <s v="MON-5444"/>
        <s v="NET-5523"/>
        <s v="LAP-2846"/>
        <s v="PHN-7974"/>
        <s v="LAP-4987"/>
        <s v="PHN-4356"/>
        <s v="PRN-2829"/>
        <s v="MON-8867"/>
        <s v="LAP-7979"/>
        <s v="PRN-5591"/>
        <s v="CMP-7563"/>
        <s v="MON-8129"/>
        <s v="CMP-9498"/>
        <s v="PRN-4788"/>
        <s v="PHN-6307"/>
        <s v="ACC-4511"/>
        <s v="PHN-1044"/>
        <s v="MON-9319"/>
        <s v="MON-3371"/>
        <s v="PHN-8776"/>
        <s v="NET-3749"/>
        <s v="PRN-2098"/>
        <s v="NET-5196"/>
      </sharedItems>
    </cacheField>
    <cacheField name="UnitCost" numFmtId="2">
      <sharedItems containsSemiMixedTypes="0" containsString="0" containsNumber="1" minValue="5.34" maxValue="1495.79"/>
    </cacheField>
    <cacheField name="UnitPrice" numFmtId="2">
      <sharedItems containsSemiMixedTypes="0" containsString="0" containsNumber="1" minValue="-33.659999999999997" maxValue="3661.07"/>
    </cacheField>
    <cacheField name="Absolute Unit price" numFmtId="2">
      <sharedItems containsSemiMixedTypes="0" containsString="0" containsNumber="1" minValue="4.22" maxValue="3661.07"/>
    </cacheField>
    <cacheField name="DiscountPct" numFmtId="10">
      <sharedItems containsSemiMixedTypes="0" containsString="0" containsNumber="1" minValue="0" maxValue="0.56499999999999995"/>
    </cacheField>
    <cacheField name="Quantity" numFmtId="1">
      <sharedItems containsSemiMixedTypes="0" containsString="0" containsNumber="1" containsInteger="1" minValue="2" maxValue="61"/>
    </cacheField>
    <cacheField name="GrossRevenue" numFmtId="2">
      <sharedItems containsSemiMixedTypes="0" containsString="0" containsNumber="1" minValue="18.659839999999999" maxValue="139277.83032000001"/>
    </cacheField>
    <cacheField name="CostOfGoods" numFmtId="2">
      <sharedItems containsSemiMixedTypes="0" containsString="0" containsNumber="1" minValue="22" maxValue="83258.290000000008"/>
    </cacheField>
    <cacheField name="GrossProfit" numFmtId="2">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StandardizedO/Date" numFmtId="165">
      <sharedItems containsSemiMixedTypes="0" containsNonDate="0" containsDate="1" containsString="0" minDate="2023-01-02T00:00:00" maxDate="2025-09-16T00:00:00"/>
    </cacheField>
    <cacheField name="Quarter" numFmtId="14">
      <sharedItems/>
    </cacheField>
    <cacheField name="RegionHierarchy" numFmtId="0">
      <sharedItems/>
    </cacheField>
    <cacheField name="PriceBand" numFmtId="0">
      <sharedItems/>
    </cacheField>
    <cacheField name="OrderMonth" numFmtId="166">
      <sharedItems containsSemiMixedTypes="0" containsNonDate="0" containsDate="1" containsString="0" minDate="2023-01-01T00:00:00" maxDate="2025-09-02T00:00:00" count="33">
        <d v="2023-01-01T00:00:00"/>
        <d v="2023-02-01T00:00:00"/>
        <d v="2023-03-01T00:00:00"/>
        <d v="2023-04-01T00:00:00"/>
        <d v="2023-05-01T00:00:00"/>
        <d v="2023-06-01T00:00:00"/>
        <d v="2023-07-01T00:00:00"/>
        <d v="2023-08-01T00:00:00"/>
        <d v="2023-09-01T00:00:00"/>
        <d v="2023-10-01T00:00:00"/>
        <d v="2023-11-01T00:00:00"/>
        <d v="2023-12-01T00:00:00"/>
        <d v="2024-01-01T00:00:00"/>
        <d v="2024-02-01T00:00:00"/>
        <d v="2024-04-01T00:00:00"/>
        <d v="2024-05-01T00:00:00"/>
        <d v="2024-06-01T00:00:00"/>
        <d v="2024-07-01T00:00:00"/>
        <d v="2024-08-01T00:00:00"/>
        <d v="2024-09-01T00:00:00"/>
        <d v="2024-11-01T00:00:00"/>
        <d v="2025-01-01T00:00:00"/>
        <d v="2025-02-01T00:00:00"/>
        <d v="2025-03-01T00:00:00"/>
        <d v="2025-04-01T00:00:00"/>
        <d v="2025-05-01T00:00:00"/>
        <d v="2025-07-01T00:00:00"/>
        <d v="2025-08-01T00:00:00"/>
        <d v="2025-09-01T00:00:00"/>
        <d v="2024-03-01T00:00:00"/>
        <d v="2024-12-01T00:00:00"/>
        <d v="2025-06-01T00:00:00"/>
        <d v="2024-10-01T00:00:00"/>
      </sharedItems>
    </cacheField>
    <cacheField name="CohortStart" numFmtId="14">
      <sharedItems containsSemiMixedTypes="0" containsNonDate="0" containsDate="1" containsString="0" minDate="2023-01-01T00:00:00" maxDate="2023-03-02T00:00:00"/>
    </cacheField>
    <cacheField name="MonthNumber" numFmtId="0">
      <sharedItems containsSemiMixedTypes="0" containsString="0" containsNumber="1" containsInteger="1" minValue="0" maxValue="32"/>
    </cacheField>
    <cacheField name="ServiceLevel" numFmtId="0">
      <sharedItems containsSemiMixedTypes="0" containsString="0" containsNumber="1" containsInteger="1" minValue="0" maxValue="1"/>
    </cacheField>
    <cacheField name="HighDiscountFlag" numFmtId="0">
      <sharedItems containsSemiMixedTypes="0" containsString="0" containsNumber="1" containsInteger="1" minValue="0" maxValue="1"/>
    </cacheField>
    <cacheField name="Scenario control Panel" numFmtId="0">
      <sharedItems containsBlank="1"/>
    </cacheField>
    <cacheField name="Scenario Values" numFmtId="0">
      <sharedItems containsString="0" containsBlank="1" containsNumber="1" minValue="-631148.13044399582" maxValue="13158241.71585599"/>
    </cacheField>
    <cacheField name="Scenario Quantity" numFmtId="0">
      <sharedItems containsSemiMixedTypes="0" containsString="0" containsNumber="1" minValue="2.4" maxValue="73.2"/>
    </cacheField>
    <cacheField name="Scenario UnitCost" numFmtId="0">
      <sharedItems containsSemiMixedTypes="0" containsString="0" containsNumber="1" minValue="6.1409999999999991" maxValue="1720.1584999999998"/>
    </cacheField>
    <cacheField name="Scenario Discount" numFmtId="10">
      <sharedItems containsSemiMixedTypes="0" containsString="0" containsNumber="1" minValue="0" maxValue="0.25"/>
    </cacheField>
    <cacheField name="Scenario Revenue" numFmtId="0">
      <sharedItems containsSemiMixedTypes="0" containsString="0" containsNumber="1" minValue="22.391808000000001" maxValue="167133.39638400002"/>
    </cacheField>
    <cacheField name="ScenarioCost" numFmtId="0">
      <sharedItems containsSemiMixedTypes="0" containsString="0" containsNumber="1" minValue="30.359999999999996" maxValue="114896.4402"/>
    </cacheField>
    <cacheField name="Scenario Profit" numFmtId="0">
      <sharedItems containsSemiMixedTypes="0" containsString="0" containsNumber="1" minValue="-94379.056799999991" maxValue="70296.430800000002"/>
    </cacheField>
    <cacheField name="Years"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32">
  <r>
    <s v="ORD-2023-856322"/>
    <x v="0"/>
    <d v="2023-02-06T00:00:00"/>
    <n v="8"/>
    <s v="Americas"/>
    <x v="0"/>
    <s v="Brasília"/>
    <s v="Corporate"/>
    <s v="Marketplace"/>
    <x v="0"/>
    <x v="0"/>
    <x v="0"/>
    <n v="41.84"/>
    <n v="86.2"/>
    <n v="86.2"/>
    <n v="0.22600000000000001"/>
    <n v="27"/>
    <x v="0"/>
    <n v="1129.68"/>
    <n v="671.72760000000017"/>
    <n v="0.37289039970742882"/>
    <d v="2025-08-21T00:00:00"/>
    <s v="Q1-2023"/>
    <s v="Americas → Brazil → Brasília"/>
    <s v="Low"/>
    <x v="0"/>
    <x v="0"/>
    <x v="0"/>
  </r>
  <r>
    <s v="ORD-2023-271836"/>
    <x v="1"/>
    <d v="2023-02-12T00:00:00"/>
    <n v="5"/>
    <s v="Americas"/>
    <x v="0"/>
    <s v="São Paulo"/>
    <s v="Education"/>
    <s v="Online"/>
    <x v="1"/>
    <x v="1"/>
    <x v="1"/>
    <n v="948.55"/>
    <n v="2089.16"/>
    <n v="2089.16"/>
    <n v="7.0000000000000001E-3"/>
    <n v="12"/>
    <x v="1"/>
    <n v="11382.599999999999"/>
    <n v="13511.830559999999"/>
    <n v="0.54276519912492427"/>
    <d v="2025-08-14T00:00:00"/>
    <s v="Q1-2023"/>
    <s v="Americas → Brazil → São Paulo"/>
    <s v="High"/>
    <x v="1"/>
    <x v="0"/>
    <x v="1"/>
  </r>
  <r>
    <s v="ORD-2023-869884"/>
    <x v="2"/>
    <d v="2023-03-05T00:00:00"/>
    <n v="3"/>
    <s v="Americas"/>
    <x v="0"/>
    <s v="Brasília"/>
    <s v="Enterprise"/>
    <s v="Direct"/>
    <x v="2"/>
    <x v="0"/>
    <x v="2"/>
    <n v="1473.58"/>
    <n v="3436.52"/>
    <n v="3436.52"/>
    <n v="0.108"/>
    <n v="8"/>
    <x v="2"/>
    <n v="11788.64"/>
    <n v="12734.366720000002"/>
    <n v="0.51928243813652564"/>
    <d v="2025-08-03T00:00:00"/>
    <s v="Q1-2023"/>
    <s v="Americas → Brazil → Brasília"/>
    <s v="High"/>
    <x v="2"/>
    <x v="0"/>
    <x v="2"/>
  </r>
  <r>
    <s v="ORD-2023-747341"/>
    <x v="3"/>
    <d v="2023-04-28T00:00:00"/>
    <n v="9"/>
    <s v="Americas"/>
    <x v="0"/>
    <s v="Rio de Janeiro"/>
    <s v="Corporate"/>
    <s v="Distributor"/>
    <x v="3"/>
    <x v="2"/>
    <x v="3"/>
    <n v="1013.54"/>
    <n v="927.93"/>
    <n v="927.93"/>
    <n v="0.17499999999999999"/>
    <n v="16"/>
    <x v="3"/>
    <n v="16216.64"/>
    <n v="-3967.9639999999999"/>
    <n v="-0.32395044166406234"/>
    <d v="2025-06-15T00:00:00"/>
    <s v="Q2-2023"/>
    <s v="Americas → Brazil → Rio de Janeiro"/>
    <s v="Medium"/>
    <x v="3"/>
    <x v="0"/>
    <x v="3"/>
  </r>
  <r>
    <s v="ORD-2023-588455"/>
    <x v="4"/>
    <d v="2023-05-25T00:00:00"/>
    <n v="2"/>
    <s v="Americas"/>
    <x v="0"/>
    <s v="Rio de Janeiro"/>
    <s v="Enterprise"/>
    <s v="Retail"/>
    <x v="3"/>
    <x v="3"/>
    <x v="4"/>
    <n v="690.49"/>
    <n v="1290.29"/>
    <n v="1290.29"/>
    <n v="4.2000000000000003E-2"/>
    <n v="22"/>
    <x v="4"/>
    <n v="15190.78"/>
    <n v="12003.372039999997"/>
    <n v="0.44139534199647718"/>
    <d v="2025-04-16T00:00:00"/>
    <s v="Q2-2023"/>
    <s v="Americas → Brazil → Rio de Janeiro"/>
    <s v="Medium"/>
    <x v="4"/>
    <x v="0"/>
    <x v="4"/>
  </r>
  <r>
    <s v="ORD-2023-244375"/>
    <x v="5"/>
    <d v="2023-07-01T00:00:00"/>
    <n v="28"/>
    <s v="Americas"/>
    <x v="0"/>
    <s v="Brasília"/>
    <s v="Small Business"/>
    <s v="Marketplace"/>
    <x v="4"/>
    <x v="1"/>
    <x v="5"/>
    <n v="860.4"/>
    <n v="2066.6"/>
    <n v="2066.6"/>
    <n v="0.01"/>
    <n v="3"/>
    <x v="5"/>
    <n v="2581.1999999999998"/>
    <n v="3556.601999999999"/>
    <n v="0.57945857491004105"/>
    <d v="2025-04-09T00:00:00"/>
    <s v="Q2-2023"/>
    <s v="Americas → Brazil → Brasília"/>
    <s v="High"/>
    <x v="5"/>
    <x v="0"/>
    <x v="5"/>
  </r>
  <r>
    <s v="ORD-2023-434071"/>
    <x v="6"/>
    <d v="2023-07-04T00:00:00"/>
    <n v="14"/>
    <s v="Americas"/>
    <x v="0"/>
    <s v="Brasília"/>
    <s v="Non-Profit"/>
    <s v="Direct"/>
    <x v="5"/>
    <x v="4"/>
    <x v="6"/>
    <n v="1292.8599999999999"/>
    <n v="2981.01"/>
    <n v="2981.01"/>
    <n v="0.14199999999999999"/>
    <n v="12"/>
    <x v="6"/>
    <n v="15514.32"/>
    <n v="15178.158960000001"/>
    <n v="0.49452372288927687"/>
    <d v="2025-04-16T00:00:00"/>
    <s v="Q2-2023"/>
    <s v="Americas → Brazil → Brasília"/>
    <s v="High"/>
    <x v="5"/>
    <x v="0"/>
    <x v="5"/>
  </r>
  <r>
    <s v="ORD-2023-374486"/>
    <x v="7"/>
    <d v="2023-06-24T00:00:00"/>
    <n v="1"/>
    <s v="Americas"/>
    <x v="0"/>
    <s v="Rio de Janeiro"/>
    <s v="Non-Profit"/>
    <s v="Retail"/>
    <x v="6"/>
    <x v="3"/>
    <x v="7"/>
    <n v="804.01"/>
    <n v="1405.07"/>
    <n v="1405.07"/>
    <n v="9.6000000000000002E-2"/>
    <n v="8"/>
    <x v="7"/>
    <n v="6432.08"/>
    <n v="3729.3862399999998"/>
    <n v="0.36701260939287439"/>
    <d v="2025-04-13T00:00:00"/>
    <s v="Q2-2023"/>
    <s v="Americas → Brazil → Rio de Janeiro"/>
    <s v="Medium"/>
    <x v="5"/>
    <x v="0"/>
    <x v="5"/>
  </r>
  <r>
    <s v="ORD-2023-309373"/>
    <x v="8"/>
    <d v="2023-07-14T00:00:00"/>
    <n v="9"/>
    <s v="Americas"/>
    <x v="0"/>
    <s v="Brasília"/>
    <s v="Enterprise"/>
    <s v="Direct"/>
    <x v="7"/>
    <x v="4"/>
    <x v="8"/>
    <n v="578.85"/>
    <n v="998.76"/>
    <n v="998.76"/>
    <n v="8.2000000000000003E-2"/>
    <n v="28"/>
    <x v="8"/>
    <n v="16207.800000000001"/>
    <n v="9464.3270399999983"/>
    <n v="0.36866158480960831"/>
    <d v="2025-03-10T00:00:00"/>
    <s v="Q3-2023"/>
    <s v="Americas → Brazil → Brasília"/>
    <s v="Medium"/>
    <x v="6"/>
    <x v="0"/>
    <x v="6"/>
  </r>
  <r>
    <s v="ORD-2023-594700"/>
    <x v="9"/>
    <d v="2023-07-22T00:00:00"/>
    <n v="4"/>
    <s v="Americas"/>
    <x v="0"/>
    <s v="São Paulo"/>
    <s v="Consumer"/>
    <s v="Direct"/>
    <x v="8"/>
    <x v="4"/>
    <x v="9"/>
    <n v="1269.55"/>
    <n v="2071.1"/>
    <n v="2071.1"/>
    <n v="0.129"/>
    <n v="22"/>
    <x v="9"/>
    <n v="27930.1"/>
    <n v="11756.318200000002"/>
    <n v="0.29623026549672354"/>
    <d v="2025-03-25T00:00:00"/>
    <s v="Q3-2023"/>
    <s v="Americas → Brazil → São Paulo"/>
    <s v="High"/>
    <x v="6"/>
    <x v="0"/>
    <x v="6"/>
  </r>
  <r>
    <s v="ORD-2023-825836"/>
    <x v="10"/>
    <d v="2023-07-31T00:00:00"/>
    <n v="12"/>
    <s v="Americas"/>
    <x v="0"/>
    <s v="Rio de Janeiro"/>
    <s v="Corporate"/>
    <s v="Retail"/>
    <x v="5"/>
    <x v="0"/>
    <x v="10"/>
    <n v="1334.64"/>
    <n v="2273.42"/>
    <n v="2273.42"/>
    <n v="0.11799999999999999"/>
    <n v="14"/>
    <x v="10"/>
    <n v="18684.960000000003"/>
    <n v="9387.2301599999992"/>
    <n v="0.33439607335575267"/>
    <d v="2025-03-24T00:00:00"/>
    <s v="Q3-2023"/>
    <s v="Americas → Brazil → Rio de Janeiro"/>
    <s v="High"/>
    <x v="6"/>
    <x v="0"/>
    <x v="6"/>
  </r>
  <r>
    <s v="ORD-2023-253245"/>
    <x v="11"/>
    <d v="2023-08-14T00:00:00"/>
    <n v="11"/>
    <s v="Americas"/>
    <x v="0"/>
    <s v="Brasília"/>
    <s v="Corporate"/>
    <s v="Direct"/>
    <x v="9"/>
    <x v="5"/>
    <x v="11"/>
    <n v="232.73"/>
    <n v="334.19"/>
    <n v="334.19"/>
    <n v="0.13400000000000001"/>
    <n v="25"/>
    <x v="11"/>
    <n v="5818.25"/>
    <n v="1416.9634999999998"/>
    <n v="0.1958426658729559"/>
    <d v="2025-02-09T00:00:00"/>
    <s v="Q3-2023"/>
    <s v="Americas → Brazil → Brasília"/>
    <s v="Low"/>
    <x v="7"/>
    <x v="0"/>
    <x v="7"/>
  </r>
  <r>
    <s v="ORD-2023-630430"/>
    <x v="12"/>
    <d v="2023-08-24T00:00:00"/>
    <n v="20"/>
    <s v="Americas"/>
    <x v="0"/>
    <s v="Brasília"/>
    <s v="Non-Profit"/>
    <s v="Direct"/>
    <x v="10"/>
    <x v="4"/>
    <x v="12"/>
    <n v="582.88"/>
    <n v="1044.1400000000001"/>
    <n v="1044.1400000000001"/>
    <n v="0.216"/>
    <n v="10"/>
    <x v="12"/>
    <n v="5828.8"/>
    <n v="2357.2576000000008"/>
    <n v="0.28796005539956138"/>
    <d v="2025-02-15T00:00:00"/>
    <s v="Q3-2023"/>
    <s v="Americas → Brazil → Brasília"/>
    <s v="Medium"/>
    <x v="7"/>
    <x v="0"/>
    <x v="7"/>
  </r>
  <r>
    <s v="ORD-2023-867175"/>
    <x v="13"/>
    <d v="2023-08-15T00:00:00"/>
    <n v="5"/>
    <s v="Americas"/>
    <x v="0"/>
    <s v="São Paulo"/>
    <s v="Education"/>
    <s v="Direct"/>
    <x v="2"/>
    <x v="4"/>
    <x v="13"/>
    <n v="1307.52"/>
    <n v="1921.65"/>
    <n v="1921.65"/>
    <n v="0.123"/>
    <n v="13"/>
    <x v="13"/>
    <n v="16997.759999999998"/>
    <n v="4910.9716500000031"/>
    <n v="0.22415590863289445"/>
    <d v="2025-01-31T00:00:00"/>
    <s v="Q3-2023"/>
    <s v="Americas → Brazil → São Paulo"/>
    <s v="High"/>
    <x v="7"/>
    <x v="0"/>
    <x v="7"/>
  </r>
  <r>
    <s v="ORD-2023-552115"/>
    <x v="14"/>
    <d v="2023-10-02T00:00:00"/>
    <n v="15"/>
    <s v="Americas"/>
    <x v="0"/>
    <s v="Rio de Janeiro"/>
    <s v="Small Business"/>
    <s v="Retail"/>
    <x v="7"/>
    <x v="6"/>
    <x v="14"/>
    <n v="689.33"/>
    <n v="668.27"/>
    <n v="668.27"/>
    <n v="0.186"/>
    <n v="13"/>
    <x v="14"/>
    <n v="8961.2900000000009"/>
    <n v="-1889.6568600000001"/>
    <n v="-0.26721647214861033"/>
    <d v="2024-12-27T00:00:00"/>
    <s v="Q3-2023"/>
    <s v="Americas → Brazil → Rio de Janeiro"/>
    <s v="Low"/>
    <x v="8"/>
    <x v="0"/>
    <x v="8"/>
  </r>
  <r>
    <s v="ORD-2023-888140"/>
    <x v="15"/>
    <d v="2023-10-13T00:00:00"/>
    <n v="2"/>
    <s v="Americas"/>
    <x v="0"/>
    <s v="Brasília"/>
    <s v="Consumer"/>
    <s v="Distributor"/>
    <x v="10"/>
    <x v="5"/>
    <x v="15"/>
    <n v="715.94"/>
    <n v="550.07000000000005"/>
    <n v="550.07000000000005"/>
    <n v="0.14000000000000001"/>
    <n v="16"/>
    <x v="15"/>
    <n v="11455.04"/>
    <n v="-3886.0768000000007"/>
    <n v="-0.51342260456491595"/>
    <d v="2024-12-07T00:00:00"/>
    <s v="Q4-2023"/>
    <s v="Americas → Brazil → Brasília"/>
    <s v="Low"/>
    <x v="9"/>
    <x v="0"/>
    <x v="9"/>
  </r>
  <r>
    <s v="ORD-2023-406606"/>
    <x v="16"/>
    <d v="2023-10-28T00:00:00"/>
    <n v="3"/>
    <s v="Americas"/>
    <x v="0"/>
    <s v="Brasília"/>
    <s v="Corporate"/>
    <s v="Distributor"/>
    <x v="11"/>
    <x v="5"/>
    <x v="16"/>
    <n v="509.31"/>
    <n v="1145.9000000000001"/>
    <n v="1145.9000000000001"/>
    <n v="5.7000000000000002E-2"/>
    <n v="8"/>
    <x v="16"/>
    <n v="4074.48"/>
    <n v="4570.1896000000015"/>
    <n v="0.52867140231709964"/>
    <d v="2024-12-17T00:00:00"/>
    <s v="Q4-2023"/>
    <s v="Americas → Brazil → Brasília"/>
    <s v="Medium"/>
    <x v="9"/>
    <x v="0"/>
    <x v="9"/>
  </r>
  <r>
    <s v="ORD-2023-653343"/>
    <x v="17"/>
    <d v="2023-11-28T00:00:00"/>
    <n v="18"/>
    <s v="Americas"/>
    <x v="0"/>
    <s v="Brasília"/>
    <s v="Education"/>
    <s v="Marketplace"/>
    <x v="11"/>
    <x v="5"/>
    <x v="17"/>
    <n v="388.51"/>
    <n v="776.46"/>
    <n v="776.46"/>
    <n v="0.157"/>
    <n v="12"/>
    <x v="17"/>
    <n v="4662.12"/>
    <n v="3192.54936"/>
    <n v="0.40645241876864946"/>
    <d v="2024-12-08T00:00:00"/>
    <s v="Q4-2023"/>
    <s v="Americas → Brazil → Brasília"/>
    <s v="Low"/>
    <x v="10"/>
    <x v="0"/>
    <x v="10"/>
  </r>
  <r>
    <s v="ORD-2023-619570"/>
    <x v="18"/>
    <d v="2023-11-30T00:00:00"/>
    <n v="16"/>
    <s v="Americas"/>
    <x v="0"/>
    <s v="São Paulo"/>
    <s v="Enterprise"/>
    <s v="Direct"/>
    <x v="12"/>
    <x v="4"/>
    <x v="18"/>
    <n v="1017.92"/>
    <n v="1175.25"/>
    <n v="1175.25"/>
    <n v="7.4999999999999997E-2"/>
    <n v="15"/>
    <x v="18"/>
    <n v="15268.8"/>
    <n v="1037.7937500000007"/>
    <n v="6.3642583234159542E-2"/>
    <d v="2024-11-25T00:00:00"/>
    <s v="Q4-2023"/>
    <s v="Americas → Brazil → São Paulo"/>
    <s v="Medium"/>
    <x v="10"/>
    <x v="0"/>
    <x v="10"/>
  </r>
  <r>
    <s v="ORD-2023-239789"/>
    <x v="19"/>
    <d v="2023-12-26T00:00:00"/>
    <n v="23"/>
    <s v="Americas"/>
    <x v="0"/>
    <s v="Rio de Janeiro"/>
    <s v="Education"/>
    <s v="Retail"/>
    <x v="13"/>
    <x v="2"/>
    <x v="19"/>
    <n v="1303.1099999999999"/>
    <n v="1145.67"/>
    <n v="1145.67"/>
    <n v="0.184"/>
    <n v="13"/>
    <x v="19"/>
    <n v="16940.43"/>
    <n v="-4787.1626399999986"/>
    <n v="-0.39389922875851208"/>
    <d v="2024-10-23T00:00:00"/>
    <s v="Q4-2023"/>
    <s v="Americas → Brazil → Rio de Janeiro"/>
    <s v="Medium"/>
    <x v="11"/>
    <x v="0"/>
    <x v="11"/>
  </r>
  <r>
    <s v="ORD-2023-581799"/>
    <x v="20"/>
    <d v="2023-12-12T00:00:00"/>
    <n v="7"/>
    <s v="Americas"/>
    <x v="0"/>
    <s v="Brasília"/>
    <s v="Corporate"/>
    <s v="Direct"/>
    <x v="8"/>
    <x v="2"/>
    <x v="20"/>
    <n v="307.43"/>
    <n v="495.19"/>
    <n v="495.19"/>
    <n v="0"/>
    <n v="42"/>
    <x v="20"/>
    <n v="12912.06"/>
    <n v="7885.92"/>
    <n v="0.37916759223732305"/>
    <d v="2024-11-01T00:00:00"/>
    <s v="Q4-2023"/>
    <s v="Americas → Brazil → Brasília"/>
    <s v="Low"/>
    <x v="11"/>
    <x v="0"/>
    <x v="11"/>
  </r>
  <r>
    <s v="ORD-2023-195665"/>
    <x v="21"/>
    <d v="2023-12-20T00:00:00"/>
    <n v="1"/>
    <s v="Americas"/>
    <x v="0"/>
    <s v="Rio de Janeiro"/>
    <s v="Consumer"/>
    <s v="Distributor"/>
    <x v="9"/>
    <x v="2"/>
    <x v="21"/>
    <n v="1080.43"/>
    <n v="2529.15"/>
    <n v="2529.15"/>
    <n v="0.14699999999999999"/>
    <n v="10"/>
    <x v="21"/>
    <n v="10804.300000000001"/>
    <n v="10769.349499999998"/>
    <n v="0.49918997247081437"/>
    <d v="2024-10-09T00:00:00"/>
    <s v="Q4-2023"/>
    <s v="Americas → Brazil → Rio de Janeiro"/>
    <s v="High"/>
    <x v="11"/>
    <x v="0"/>
    <x v="11"/>
  </r>
  <r>
    <s v="ORD-2023-967239"/>
    <x v="22"/>
    <d v="2024-01-01T00:00:00"/>
    <n v="8"/>
    <s v="Americas"/>
    <x v="0"/>
    <s v="São Paulo"/>
    <s v="Education"/>
    <s v="Direct"/>
    <x v="5"/>
    <x v="2"/>
    <x v="22"/>
    <n v="526.49"/>
    <n v="496.2"/>
    <n v="496.2"/>
    <n v="0"/>
    <n v="14"/>
    <x v="22"/>
    <n v="7370.8600000000006"/>
    <n v="-424.0600000000004"/>
    <n v="-6.1043933897621985E-2"/>
    <d v="2024-10-29T00:00:00"/>
    <s v="Q4-2023"/>
    <s v="Americas → Brazil → São Paulo"/>
    <s v="Low"/>
    <x v="11"/>
    <x v="0"/>
    <x v="11"/>
  </r>
  <r>
    <s v="ORD-2024-499009"/>
    <x v="23"/>
    <d v="2024-01-27T00:00:00"/>
    <n v="2"/>
    <s v="Americas"/>
    <x v="0"/>
    <s v="São Paulo"/>
    <s v="Non-Profit"/>
    <s v="Marketplace"/>
    <x v="1"/>
    <x v="6"/>
    <x v="23"/>
    <n v="1410.97"/>
    <n v="1650.75"/>
    <n v="1650.75"/>
    <n v="0.13500000000000001"/>
    <n v="6"/>
    <x v="23"/>
    <n v="8465.82"/>
    <n v="101.57250000000022"/>
    <n v="1.1855707556295596E-2"/>
    <d v="2024-09-07T00:00:00"/>
    <s v="Q1-2024"/>
    <s v="Americas → Brazil → São Paulo"/>
    <s v="High"/>
    <x v="12"/>
    <x v="0"/>
    <x v="12"/>
  </r>
  <r>
    <s v="ORD-2024-206121"/>
    <x v="24"/>
    <d v="2024-03-11T00:00:00"/>
    <n v="22"/>
    <s v="Americas"/>
    <x v="0"/>
    <s v="São Paulo"/>
    <s v="Consumer"/>
    <s v="Online"/>
    <x v="4"/>
    <x v="1"/>
    <x v="24"/>
    <n v="80.48"/>
    <n v="65.650000000000006"/>
    <n v="65.650000000000006"/>
    <n v="0.17599999999999999"/>
    <n v="13"/>
    <x v="24"/>
    <n v="1046.24"/>
    <n v="-342.99719999999991"/>
    <n v="-0.48773652570634191"/>
    <d v="2024-08-19T00:00:00"/>
    <s v="Q1-2024"/>
    <s v="Americas → Brazil → São Paulo"/>
    <s v="Low"/>
    <x v="13"/>
    <x v="0"/>
    <x v="13"/>
  </r>
  <r>
    <s v="ORD-2024-129345"/>
    <x v="24"/>
    <d v="2024-03-03T00:00:00"/>
    <n v="14"/>
    <s v="Americas"/>
    <x v="0"/>
    <s v="Brasília"/>
    <s v="Enterprise"/>
    <s v="Distributor"/>
    <x v="4"/>
    <x v="3"/>
    <x v="25"/>
    <n v="624.23"/>
    <n v="1318.37"/>
    <n v="1318.37"/>
    <n v="0.21"/>
    <n v="37"/>
    <x v="25"/>
    <n v="23096.510000000002"/>
    <n v="15439.445099999997"/>
    <n v="0.40065038118128793"/>
    <d v="2024-08-16T00:00:00"/>
    <s v="Q1-2024"/>
    <s v="Americas → Brazil → Brasília"/>
    <s v="Medium"/>
    <x v="13"/>
    <x v="0"/>
    <x v="13"/>
  </r>
  <r>
    <s v="ORD-2024-516704"/>
    <x v="25"/>
    <d v="2024-03-01T00:00:00"/>
    <n v="1"/>
    <s v="Americas"/>
    <x v="0"/>
    <s v="São Paulo"/>
    <s v="Non-Profit"/>
    <s v="Direct"/>
    <x v="14"/>
    <x v="2"/>
    <x v="26"/>
    <n v="5.34"/>
    <n v="12.69"/>
    <n v="12.69"/>
    <n v="0.13200000000000001"/>
    <n v="10"/>
    <x v="26"/>
    <n v="53.4"/>
    <n v="56.749199999999995"/>
    <n v="0.51520301554618642"/>
    <d v="2024-08-15T00:00:00"/>
    <s v="Q1-2024"/>
    <s v="Americas → Brazil → São Paulo"/>
    <s v="Low"/>
    <x v="13"/>
    <x v="0"/>
    <x v="13"/>
  </r>
  <r>
    <s v="ORD-2024-510591"/>
    <x v="26"/>
    <d v="2024-04-21T00:00:00"/>
    <n v="18"/>
    <s v="Americas"/>
    <x v="0"/>
    <s v="Brasília"/>
    <s v="Small Business"/>
    <s v="Distributor"/>
    <x v="7"/>
    <x v="4"/>
    <x v="27"/>
    <n v="1176.69"/>
    <n v="2201.54"/>
    <n v="2201.54"/>
    <n v="0.17"/>
    <n v="27"/>
    <x v="27"/>
    <n v="31770.63"/>
    <n v="17565.881399999995"/>
    <n v="0.35604222717701106"/>
    <d v="2024-06-28T00:00:00"/>
    <s v="Q2-2024"/>
    <s v="Americas → Brazil → Brasília"/>
    <s v="High"/>
    <x v="14"/>
    <x v="0"/>
    <x v="14"/>
  </r>
  <r>
    <s v="ORD-2024-219735"/>
    <x v="26"/>
    <d v="2024-04-07T00:00:00"/>
    <n v="4"/>
    <s v="Americas"/>
    <x v="0"/>
    <s v="Brasília"/>
    <s v="Non-Profit"/>
    <s v="Direct"/>
    <x v="1"/>
    <x v="2"/>
    <x v="28"/>
    <n v="1023.27"/>
    <n v="1343.64"/>
    <n v="1343.64"/>
    <n v="0.13300000000000001"/>
    <n v="7"/>
    <x v="28"/>
    <n v="7162.8899999999994"/>
    <n v="991.66116000000147"/>
    <n v="0.12160830688810116"/>
    <d v="2024-06-23T00:00:00"/>
    <s v="Q2-2024"/>
    <s v="Americas → Brazil → Brasília"/>
    <s v="Medium"/>
    <x v="14"/>
    <x v="0"/>
    <x v="14"/>
  </r>
  <r>
    <s v="ORD-2024-503082"/>
    <x v="27"/>
    <d v="2024-06-08T00:00:00"/>
    <n v="20"/>
    <s v="Americas"/>
    <x v="0"/>
    <s v="Brasília"/>
    <s v="Small Business"/>
    <s v="Retail"/>
    <x v="6"/>
    <x v="0"/>
    <x v="29"/>
    <n v="1075.9000000000001"/>
    <n v="1242.1500000000001"/>
    <n v="1242.1500000000001"/>
    <n v="1.2E-2"/>
    <n v="7"/>
    <x v="29"/>
    <n v="7531.3000000000011"/>
    <n v="1059.4094000000005"/>
    <n v="0.12332036280961853"/>
    <d v="2024-05-21T00:00:00"/>
    <s v="Q2-2024"/>
    <s v="Americas → Brazil → Brasília"/>
    <s v="Medium"/>
    <x v="15"/>
    <x v="0"/>
    <x v="15"/>
  </r>
  <r>
    <s v="ORD-2024-403664"/>
    <x v="28"/>
    <d v="2024-06-06T00:00:00"/>
    <n v="14"/>
    <s v="Americas"/>
    <x v="0"/>
    <s v="Rio de Janeiro"/>
    <s v="Non-Profit"/>
    <s v="Online"/>
    <x v="14"/>
    <x v="4"/>
    <x v="30"/>
    <n v="51.13"/>
    <n v="57.53"/>
    <n v="57.53"/>
    <n v="4.4999999999999998E-2"/>
    <n v="16"/>
    <x v="30"/>
    <n v="818.08"/>
    <n v="60.978399999999965"/>
    <n v="6.9367859973808302E-2"/>
    <d v="2024-05-12T00:00:00"/>
    <s v="Q2-2024"/>
    <s v="Americas → Brazil → Rio de Janeiro"/>
    <s v="Low"/>
    <x v="15"/>
    <x v="0"/>
    <x v="15"/>
  </r>
  <r>
    <s v="ORD-2024-451005"/>
    <x v="29"/>
    <d v="2024-06-30T00:00:00"/>
    <n v="2"/>
    <s v="Americas"/>
    <x v="0"/>
    <s v="Rio de Janeiro"/>
    <s v="Small Business"/>
    <s v="Direct"/>
    <x v="11"/>
    <x v="5"/>
    <x v="31"/>
    <n v="1112.98"/>
    <n v="2095.73"/>
    <n v="2095.73"/>
    <n v="7.1999999999999995E-2"/>
    <n v="17"/>
    <x v="31"/>
    <n v="18920.66"/>
    <n v="14141.576480000007"/>
    <n v="0.42772594916724777"/>
    <d v="2024-03-10T00:00:00"/>
    <s v="Q2-2024"/>
    <s v="Americas → Brazil → Rio de Janeiro"/>
    <s v="High"/>
    <x v="16"/>
    <x v="0"/>
    <x v="16"/>
  </r>
  <r>
    <s v="ORD-2024-215294"/>
    <x v="30"/>
    <d v="2024-07-14T00:00:00"/>
    <n v="14"/>
    <s v="Americas"/>
    <x v="0"/>
    <s v="Brasília"/>
    <s v="Education"/>
    <s v="Retail"/>
    <x v="5"/>
    <x v="5"/>
    <x v="32"/>
    <n v="1491.85"/>
    <n v="2583.02"/>
    <n v="2583.02"/>
    <n v="0.16800000000000001"/>
    <n v="4"/>
    <x v="32"/>
    <n v="5967.4"/>
    <n v="2628.8905599999998"/>
    <n v="0.30581685689321325"/>
    <d v="2024-03-11T00:00:00"/>
    <s v="Q2-2024"/>
    <s v="Americas → Brazil → Brasília"/>
    <s v="High"/>
    <x v="16"/>
    <x v="0"/>
    <x v="16"/>
  </r>
  <r>
    <s v="ORD-2024-202877"/>
    <x v="31"/>
    <d v="2024-08-03T00:00:00"/>
    <n v="21"/>
    <s v="Americas"/>
    <x v="0"/>
    <s v="Rio de Janeiro"/>
    <s v="Corporate"/>
    <s v="Marketplace"/>
    <x v="3"/>
    <x v="0"/>
    <x v="33"/>
    <n v="702.98"/>
    <n v="1104.8"/>
    <n v="1104.8"/>
    <n v="0.17499999999999999"/>
    <n v="12"/>
    <x v="33"/>
    <n v="8435.76"/>
    <n v="2501.7599999999984"/>
    <n v="0.22873192460448061"/>
    <d v="2024-03-23T00:00:00"/>
    <s v="Q3-2024"/>
    <s v="Americas → Brazil → Rio de Janeiro"/>
    <s v="Medium"/>
    <x v="17"/>
    <x v="0"/>
    <x v="17"/>
  </r>
  <r>
    <s v="ORD-2024-585443"/>
    <x v="32"/>
    <d v="2024-08-17T00:00:00"/>
    <n v="2"/>
    <s v="Americas"/>
    <x v="0"/>
    <s v="Rio de Janeiro"/>
    <s v="Consumer"/>
    <s v="Direct"/>
    <x v="3"/>
    <x v="0"/>
    <x v="34"/>
    <n v="165.3"/>
    <n v="275.07"/>
    <n v="275.07"/>
    <n v="0.13300000000000001"/>
    <n v="25"/>
    <x v="34"/>
    <n v="4132.5"/>
    <n v="1829.6422499999999"/>
    <n v="0.30687665159280625"/>
    <d v="2024-02-18T00:00:00"/>
    <s v="Q3-2024"/>
    <s v="Americas → Brazil → Rio de Janeiro"/>
    <s v="Low"/>
    <x v="18"/>
    <x v="0"/>
    <x v="18"/>
  </r>
  <r>
    <s v="ORD-2024-446699"/>
    <x v="33"/>
    <d v="2024-09-25T00:00:00"/>
    <n v="28"/>
    <s v="Americas"/>
    <x v="0"/>
    <s v="Rio de Janeiro"/>
    <s v="Non-Profit"/>
    <s v="Online"/>
    <x v="10"/>
    <x v="5"/>
    <x v="35"/>
    <n v="1394.65"/>
    <n v="3144.1"/>
    <n v="3144.1"/>
    <n v="0.13400000000000001"/>
    <n v="13"/>
    <x v="35"/>
    <n v="18130.45"/>
    <n v="17265.827799999995"/>
    <n v="0.4877865378263021"/>
    <d v="2024-01-20T00:00:00"/>
    <s v="Q3-2024"/>
    <s v="Americas → Brazil → Rio de Janeiro"/>
    <s v="High"/>
    <x v="18"/>
    <x v="0"/>
    <x v="18"/>
  </r>
  <r>
    <s v="ORD-2024-500890"/>
    <x v="34"/>
    <d v="2024-10-08T00:00:00"/>
    <n v="29"/>
    <s v="Americas"/>
    <x v="0"/>
    <s v="São Paulo"/>
    <s v="Education"/>
    <s v="Direct"/>
    <x v="9"/>
    <x v="1"/>
    <x v="36"/>
    <n v="1010.33"/>
    <n v="2492.14"/>
    <n v="2492.14"/>
    <n v="5.0999999999999997E-2"/>
    <n v="11"/>
    <x v="36"/>
    <n v="11113.630000000001"/>
    <n v="14901.819459999995"/>
    <n v="0.57280653493656752"/>
    <d v="2024-01-12T00:00:00"/>
    <s v="Q3-2024"/>
    <s v="Americas → Brazil → São Paulo"/>
    <s v="High"/>
    <x v="19"/>
    <x v="0"/>
    <x v="19"/>
  </r>
  <r>
    <s v="ORD-2024-777623"/>
    <x v="35"/>
    <d v="2024-10-14T00:00:00"/>
    <n v="25"/>
    <s v="Americas"/>
    <x v="0"/>
    <s v="Rio de Janeiro"/>
    <s v="Small Business"/>
    <s v="Retail"/>
    <x v="12"/>
    <x v="3"/>
    <x v="37"/>
    <n v="386.96"/>
    <n v="937.46"/>
    <n v="937.46"/>
    <n v="0.26600000000000001"/>
    <n v="41"/>
    <x v="37"/>
    <n v="15865.359999999999"/>
    <n v="12346.561240000001"/>
    <n v="0.43763631462626335"/>
    <d v="2024-01-21T00:00:00"/>
    <s v="Q3-2024"/>
    <s v="Americas → Brazil → Rio de Janeiro"/>
    <s v="Medium"/>
    <x v="19"/>
    <x v="0"/>
    <x v="19"/>
  </r>
  <r>
    <s v="ORD-2024-444710"/>
    <x v="36"/>
    <d v="2024-10-01T00:00:00"/>
    <n v="9"/>
    <s v="Americas"/>
    <x v="0"/>
    <s v="São Paulo"/>
    <s v="Non-Profit"/>
    <s v="Online"/>
    <x v="12"/>
    <x v="0"/>
    <x v="38"/>
    <n v="1378.8"/>
    <n v="1952.04"/>
    <n v="1952.04"/>
    <n v="0.159"/>
    <n v="19"/>
    <x v="38"/>
    <n v="26197.200000000001"/>
    <n v="4994.4471599999997"/>
    <n v="0.16012130216723058"/>
    <d v="2024-01-10T00:00:00"/>
    <s v="Q3-2024"/>
    <s v="Americas → Brazil → São Paulo"/>
    <s v="High"/>
    <x v="19"/>
    <x v="0"/>
    <x v="19"/>
  </r>
  <r>
    <s v="ORD-2024-588972"/>
    <x v="37"/>
    <d v="2024-11-29T00:00:00"/>
    <n v="27"/>
    <s v="Americas"/>
    <x v="0"/>
    <s v="Brasília"/>
    <s v="Small Business"/>
    <s v="Direct"/>
    <x v="14"/>
    <x v="4"/>
    <x v="39"/>
    <n v="1363.51"/>
    <n v="1433.9"/>
    <n v="1433.9"/>
    <n v="5.7000000000000002E-2"/>
    <n v="8"/>
    <x v="39"/>
    <n v="10908.08"/>
    <n v="-90.738400000000183"/>
    <n v="-8.3882346842037592E-3"/>
    <d v="2023-12-02T00:00:00"/>
    <s v="Q4-2024"/>
    <s v="Americas → Brazil → Brasília"/>
    <s v="Medium"/>
    <x v="20"/>
    <x v="0"/>
    <x v="20"/>
  </r>
  <r>
    <s v="ORD-2024-225829"/>
    <x v="38"/>
    <d v="2024-11-26T00:00:00"/>
    <n v="19"/>
    <s v="Americas"/>
    <x v="0"/>
    <s v="Rio de Janeiro"/>
    <s v="Non-Profit"/>
    <s v="Distributor"/>
    <x v="9"/>
    <x v="3"/>
    <x v="40"/>
    <n v="55.35"/>
    <n v="128.68"/>
    <n v="128.68"/>
    <n v="0.128"/>
    <n v="10"/>
    <x v="40"/>
    <n v="553.5"/>
    <n v="568.58960000000025"/>
    <n v="0.50672388372550647"/>
    <d v="2023-11-28T00:00:00"/>
    <s v="Q4-2024"/>
    <s v="Americas → Brazil → Rio de Janeiro"/>
    <s v="Low"/>
    <x v="20"/>
    <x v="0"/>
    <x v="20"/>
  </r>
  <r>
    <s v="ORD-2025-149156"/>
    <x v="39"/>
    <d v="2025-02-06T00:00:00"/>
    <n v="27"/>
    <s v="Americas"/>
    <x v="0"/>
    <s v="Brasília"/>
    <s v="Non-Profit"/>
    <s v="Retail"/>
    <x v="7"/>
    <x v="6"/>
    <x v="41"/>
    <n v="725.62"/>
    <n v="1559.19"/>
    <n v="1559.19"/>
    <n v="0.19"/>
    <n v="12"/>
    <x v="41"/>
    <n v="8707.44"/>
    <n v="6447.8868000000002"/>
    <n v="0.42545349797405885"/>
    <d v="2023-09-14T00:00:00"/>
    <s v="Q1-2025"/>
    <s v="Americas → Brazil → Brasília"/>
    <s v="Medium"/>
    <x v="21"/>
    <x v="0"/>
    <x v="21"/>
  </r>
  <r>
    <s v="ORD-2025-909340"/>
    <x v="40"/>
    <d v="2025-02-03T00:00:00"/>
    <n v="14"/>
    <s v="Americas"/>
    <x v="0"/>
    <s v="Brasília"/>
    <s v="Enterprise"/>
    <s v="Marketplace"/>
    <x v="8"/>
    <x v="1"/>
    <x v="42"/>
    <n v="974.11"/>
    <n v="880.99"/>
    <n v="880.99"/>
    <n v="0.111"/>
    <n v="10"/>
    <x v="42"/>
    <n v="9741.1"/>
    <n v="-1909.0989000000009"/>
    <n v="-0.2437562093805121"/>
    <d v="2023-08-19T00:00:00"/>
    <s v="Q1-2025"/>
    <s v="Americas → Brazil → Brasília"/>
    <s v="Medium"/>
    <x v="21"/>
    <x v="0"/>
    <x v="21"/>
  </r>
  <r>
    <s v="ORD-2025-915869"/>
    <x v="41"/>
    <d v="2025-02-15T00:00:00"/>
    <n v="9"/>
    <s v="Americas"/>
    <x v="0"/>
    <s v="São Paulo"/>
    <s v="Non-Profit"/>
    <s v="Distributor"/>
    <x v="8"/>
    <x v="4"/>
    <x v="43"/>
    <n v="837.39"/>
    <n v="1905.42"/>
    <n v="1905.42"/>
    <n v="3.2000000000000001E-2"/>
    <n v="18"/>
    <x v="43"/>
    <n v="15073.02"/>
    <n v="18127.018079999998"/>
    <n v="0.54599389423350919"/>
    <d v="2023-08-15T00:00:00"/>
    <s v="Q1-2025"/>
    <s v="Americas → Brazil → São Paulo"/>
    <s v="High"/>
    <x v="22"/>
    <x v="0"/>
    <x v="22"/>
  </r>
  <r>
    <s v="ORD-2025-931538"/>
    <x v="42"/>
    <d v="2025-03-01T00:00:00"/>
    <n v="20"/>
    <s v="Americas"/>
    <x v="0"/>
    <s v="São Paulo"/>
    <s v="Corporate"/>
    <s v="Distributor"/>
    <x v="7"/>
    <x v="6"/>
    <x v="44"/>
    <n v="1154.6400000000001"/>
    <n v="2794.13"/>
    <n v="2794.13"/>
    <n v="3.5000000000000003E-2"/>
    <n v="11"/>
    <x v="44"/>
    <n v="12701.04"/>
    <n v="16958.649949999999"/>
    <n v="0.57177435025749479"/>
    <d v="2023-08-04T00:00:00"/>
    <s v="Q1-2025"/>
    <s v="Americas → Brazil → São Paulo"/>
    <s v="High"/>
    <x v="22"/>
    <x v="0"/>
    <x v="22"/>
  </r>
  <r>
    <s v="ORD-2025-650719"/>
    <x v="43"/>
    <d v="2025-02-28T00:00:00"/>
    <n v="16"/>
    <s v="Americas"/>
    <x v="0"/>
    <s v="São Paulo"/>
    <s v="Non-Profit"/>
    <s v="Direct"/>
    <x v="7"/>
    <x v="0"/>
    <x v="45"/>
    <n v="414.95"/>
    <n v="1027.73"/>
    <n v="1027.73"/>
    <n v="6.3E-2"/>
    <n v="8"/>
    <x v="45"/>
    <n v="3319.6"/>
    <n v="4384.2640800000008"/>
    <n v="0.56909935513815568"/>
    <d v="2023-08-19T00:00:00"/>
    <s v="Q1-2025"/>
    <s v="Americas → Brazil → São Paulo"/>
    <s v="Medium"/>
    <x v="22"/>
    <x v="0"/>
    <x v="22"/>
  </r>
  <r>
    <s v="ORD-2025-487261"/>
    <x v="44"/>
    <d v="2025-03-31T00:00:00"/>
    <n v="25"/>
    <s v="Americas"/>
    <x v="0"/>
    <s v="Brasília"/>
    <s v="Non-Profit"/>
    <s v="Online"/>
    <x v="9"/>
    <x v="1"/>
    <x v="46"/>
    <n v="331.57"/>
    <n v="548.4"/>
    <n v="548.4"/>
    <n v="9.4E-2"/>
    <n v="10"/>
    <x v="46"/>
    <n v="3315.7"/>
    <n v="1652.8040000000001"/>
    <n v="0.33265626836568918"/>
    <d v="2023-07-30T00:00:00"/>
    <s v="Q1-2025"/>
    <s v="Americas → Brazil → Brasília"/>
    <s v="Low"/>
    <x v="23"/>
    <x v="0"/>
    <x v="23"/>
  </r>
  <r>
    <s v="ORD-2025-680118"/>
    <x v="45"/>
    <d v="2025-03-27T00:00:00"/>
    <n v="17"/>
    <s v="Americas"/>
    <x v="0"/>
    <s v="Rio de Janeiro"/>
    <s v="Enterprise"/>
    <s v="Direct"/>
    <x v="8"/>
    <x v="4"/>
    <x v="47"/>
    <n v="996.73"/>
    <n v="1217.43"/>
    <n v="1217.43"/>
    <n v="7.0000000000000007E-2"/>
    <n v="9"/>
    <x v="47"/>
    <n v="8970.57"/>
    <n v="1219.3191000000006"/>
    <n v="0.11965970267527255"/>
    <d v="2023-07-02T00:00:00"/>
    <s v="Q1-2025"/>
    <s v="Americas → Brazil → Rio de Janeiro"/>
    <s v="Medium"/>
    <x v="23"/>
    <x v="0"/>
    <x v="23"/>
  </r>
  <r>
    <s v="ORD-2025-752845"/>
    <x v="46"/>
    <d v="2025-04-07T00:00:00"/>
    <n v="8"/>
    <s v="Americas"/>
    <x v="0"/>
    <s v="São Paulo"/>
    <s v="Non-Profit"/>
    <s v="Direct"/>
    <x v="11"/>
    <x v="3"/>
    <x v="48"/>
    <n v="71.62"/>
    <n v="118.37"/>
    <n v="118.37"/>
    <n v="0.156"/>
    <n v="11"/>
    <x v="48"/>
    <n v="787.82"/>
    <n v="311.12708000000009"/>
    <n v="0.28311379652603474"/>
    <d v="2023-07-01T00:00:00"/>
    <s v="Q1-2025"/>
    <s v="Americas → Brazil → São Paulo"/>
    <s v="Low"/>
    <x v="23"/>
    <x v="0"/>
    <x v="23"/>
  </r>
  <r>
    <s v="ORD-2025-765220"/>
    <x v="47"/>
    <d v="2025-04-30T00:00:00"/>
    <n v="24"/>
    <s v="Americas"/>
    <x v="0"/>
    <s v="Brasília"/>
    <s v="Education"/>
    <s v="Online"/>
    <x v="12"/>
    <x v="0"/>
    <x v="49"/>
    <n v="855.78"/>
    <n v="977.38"/>
    <n v="977.38"/>
    <n v="0.14699999999999999"/>
    <n v="38"/>
    <x v="49"/>
    <n v="32519.64"/>
    <n v="-838.84467999999833"/>
    <n v="-2.6478018355506307E-2"/>
    <d v="2023-06-20T00:00:00"/>
    <s v="Q2-2025"/>
    <s v="Americas → Brazil → Brasília"/>
    <s v="Medium"/>
    <x v="24"/>
    <x v="0"/>
    <x v="24"/>
  </r>
  <r>
    <s v="ORD-2025-640677"/>
    <x v="48"/>
    <d v="2025-05-06T00:00:00"/>
    <n v="27"/>
    <s v="Americas"/>
    <x v="0"/>
    <s v="Brasília"/>
    <s v="Enterprise"/>
    <s v="Marketplace"/>
    <x v="8"/>
    <x v="6"/>
    <x v="50"/>
    <n v="264.19"/>
    <n v="620.92999999999995"/>
    <n v="620.92999999999995"/>
    <n v="0.14199999999999999"/>
    <n v="12"/>
    <x v="50"/>
    <n v="3170.2799999999997"/>
    <n v="3222.8152799999998"/>
    <n v="0.50410875152794532"/>
    <d v="2023-06-29T00:00:00"/>
    <s v="Q2-2025"/>
    <s v="Americas → Brazil → Brasília"/>
    <s v="Low"/>
    <x v="24"/>
    <x v="0"/>
    <x v="24"/>
  </r>
  <r>
    <s v="ORD-2025-907040"/>
    <x v="49"/>
    <d v="2025-05-03T00:00:00"/>
    <n v="16"/>
    <s v="Americas"/>
    <x v="0"/>
    <s v="Rio de Janeiro"/>
    <s v="Consumer"/>
    <s v="Marketplace"/>
    <x v="9"/>
    <x v="4"/>
    <x v="51"/>
    <n v="168.68"/>
    <n v="413.34"/>
    <n v="413.34"/>
    <n v="0.186"/>
    <n v="7"/>
    <x v="51"/>
    <n v="1180.76"/>
    <n v="1174.4513199999999"/>
    <n v="0.49866069767361682"/>
    <d v="2023-05-24T00:00:00"/>
    <s v="Q2-2025"/>
    <s v="Americas → Brazil → Rio de Janeiro"/>
    <s v="Low"/>
    <x v="24"/>
    <x v="0"/>
    <x v="24"/>
  </r>
  <r>
    <s v="ORD-2025-246692"/>
    <x v="49"/>
    <d v="2025-04-17T00:00:00"/>
    <n v="0"/>
    <s v="Americas"/>
    <x v="0"/>
    <s v="São Paulo"/>
    <s v="Corporate"/>
    <s v="Distributor"/>
    <x v="11"/>
    <x v="2"/>
    <x v="52"/>
    <n v="719.41"/>
    <n v="1125.99"/>
    <n v="1125.99"/>
    <n v="4.1000000000000002E-2"/>
    <n v="21"/>
    <x v="52"/>
    <n v="15107.609999999999"/>
    <n v="7568.7026100000021"/>
    <n v="0.33377131194876403"/>
    <d v="2023-05-29T00:00:00"/>
    <s v="Q2-2025"/>
    <s v="Americas → Brazil → São Paulo"/>
    <s v="Medium"/>
    <x v="24"/>
    <x v="0"/>
    <x v="24"/>
  </r>
  <r>
    <s v="ORD-2025-757957"/>
    <x v="50"/>
    <d v="2025-05-06T00:00:00"/>
    <n v="12"/>
    <s v="Americas"/>
    <x v="0"/>
    <s v="Brasília"/>
    <s v="Consumer"/>
    <s v="Online"/>
    <x v="5"/>
    <x v="2"/>
    <x v="53"/>
    <n v="394.13"/>
    <n v="932.29"/>
    <n v="932.29"/>
    <n v="0.109"/>
    <n v="7"/>
    <x v="53"/>
    <n v="2758.91"/>
    <n v="3055.7827299999999"/>
    <n v="0.5255278089303268"/>
    <d v="2023-06-10T00:00:00"/>
    <s v="Q2-2025"/>
    <s v="Americas → Brazil → Brasília"/>
    <s v="Medium"/>
    <x v="24"/>
    <x v="0"/>
    <x v="24"/>
  </r>
  <r>
    <s v="ORD-2025-779530"/>
    <x v="51"/>
    <d v="2025-05-19T00:00:00"/>
    <n v="2"/>
    <s v="Americas"/>
    <x v="0"/>
    <s v="São Paulo"/>
    <s v="Small Business"/>
    <s v="Distributor"/>
    <x v="11"/>
    <x v="0"/>
    <x v="54"/>
    <n v="383.77"/>
    <n v="952.56"/>
    <n v="952.56"/>
    <n v="0.34599999999999997"/>
    <n v="10"/>
    <x v="54"/>
    <n v="3837.7"/>
    <n v="2392.0423999999994"/>
    <n v="0.38397131797937578"/>
    <d v="2023-05-18T00:00:00"/>
    <s v="Q2-2025"/>
    <s v="Americas → Brazil → São Paulo"/>
    <s v="Medium"/>
    <x v="25"/>
    <x v="0"/>
    <x v="25"/>
  </r>
  <r>
    <s v="ORD-2025-997421"/>
    <x v="52"/>
    <d v="2025-06-09T00:00:00"/>
    <n v="19"/>
    <s v="Americas"/>
    <x v="0"/>
    <s v="São Paulo"/>
    <s v="Non-Profit"/>
    <s v="Online"/>
    <x v="4"/>
    <x v="1"/>
    <x v="55"/>
    <n v="1331.38"/>
    <n v="2309.56"/>
    <n v="2309.56"/>
    <n v="0.14899999999999999"/>
    <n v="31"/>
    <x v="55"/>
    <n v="41272.780000000006"/>
    <n v="19655.722359999992"/>
    <n v="0.32260307735553528"/>
    <d v="2023-05-04T00:00:00"/>
    <s v="Q2-2025"/>
    <s v="Americas → Brazil → São Paulo"/>
    <s v="High"/>
    <x v="25"/>
    <x v="0"/>
    <x v="25"/>
  </r>
  <r>
    <s v="ORD-2025-843974"/>
    <x v="53"/>
    <d v="2025-08-05T00:00:00"/>
    <n v="16"/>
    <s v="Americas"/>
    <x v="0"/>
    <s v="Brasília"/>
    <s v="Enterprise"/>
    <s v="Marketplace"/>
    <x v="2"/>
    <x v="5"/>
    <x v="56"/>
    <n v="1068.17"/>
    <n v="2375.37"/>
    <n v="2375.37"/>
    <n v="0.109"/>
    <n v="18"/>
    <x v="56"/>
    <n v="19227.060000000001"/>
    <n v="18869.124059999998"/>
    <n v="0.49530220744108822"/>
    <d v="2023-03-06T00:00:00"/>
    <s v="Q3-2025"/>
    <s v="Americas → Brazil → Brasília"/>
    <s v="High"/>
    <x v="26"/>
    <x v="0"/>
    <x v="26"/>
  </r>
  <r>
    <s v="ORD-2025-419532"/>
    <x v="54"/>
    <d v="2025-08-23T00:00:00"/>
    <n v="17"/>
    <s v="Americas"/>
    <x v="0"/>
    <s v="Brasília"/>
    <s v="Consumer"/>
    <s v="Distributor"/>
    <x v="4"/>
    <x v="0"/>
    <x v="57"/>
    <n v="86.64"/>
    <n v="213.06"/>
    <n v="213.06"/>
    <n v="0.21199999999999999"/>
    <n v="11"/>
    <x v="57"/>
    <n v="953.04"/>
    <n v="893.76407999999992"/>
    <n v="0.48395175735154322"/>
    <d v="2023-02-24T00:00:00"/>
    <s v="Q3-2025"/>
    <s v="Americas → Brazil → Brasília"/>
    <s v="Low"/>
    <x v="27"/>
    <x v="0"/>
    <x v="27"/>
  </r>
  <r>
    <s v="ORD-2025-949776"/>
    <x v="55"/>
    <d v="2025-09-11T00:00:00"/>
    <n v="28"/>
    <s v="Americas"/>
    <x v="0"/>
    <s v="São Paulo"/>
    <s v="Non-Profit"/>
    <s v="Direct"/>
    <x v="8"/>
    <x v="3"/>
    <x v="58"/>
    <n v="1203.02"/>
    <n v="2439.33"/>
    <n v="2439.33"/>
    <n v="0"/>
    <n v="18"/>
    <x v="58"/>
    <n v="21654.36"/>
    <n v="22253.58"/>
    <n v="0.50682359500354612"/>
    <d v="2023-01-29T00:00:00"/>
    <s v="Q3-2025"/>
    <s v="Americas → Brazil → São Paulo"/>
    <s v="High"/>
    <x v="27"/>
    <x v="0"/>
    <x v="27"/>
  </r>
  <r>
    <s v="ORD-2025-840976"/>
    <x v="56"/>
    <d v="2025-09-30T00:00:00"/>
    <n v="29"/>
    <s v="Americas"/>
    <x v="0"/>
    <s v="Brasília"/>
    <s v="Education"/>
    <s v="Retail"/>
    <x v="12"/>
    <x v="5"/>
    <x v="59"/>
    <n v="780.59"/>
    <n v="631.57000000000005"/>
    <n v="631.57000000000005"/>
    <n v="0"/>
    <n v="12"/>
    <x v="59"/>
    <n v="9367.08"/>
    <n v="-1788.2399999999998"/>
    <n v="-0.23595167598207639"/>
    <d v="2023-01-29T00:00:00"/>
    <s v="Q3-2025"/>
    <s v="Americas → Brazil → Brasília"/>
    <s v="Low"/>
    <x v="28"/>
    <x v="0"/>
    <x v="28"/>
  </r>
  <r>
    <s v="ORD-2025-823055"/>
    <x v="57"/>
    <d v="2025-10-05T00:00:00"/>
    <n v="27"/>
    <s v="Americas"/>
    <x v="0"/>
    <s v="Rio de Janeiro"/>
    <s v="Education"/>
    <s v="Online"/>
    <x v="5"/>
    <x v="0"/>
    <x v="60"/>
    <n v="660.78"/>
    <n v="1630.39"/>
    <n v="1630.39"/>
    <n v="0.218"/>
    <n v="13"/>
    <x v="60"/>
    <n v="8590.14"/>
    <n v="7984.4047400000018"/>
    <n v="0.48172694123724097"/>
    <d v="2023-01-27T00:00:00"/>
    <s v="Q3-2025"/>
    <s v="Americas → Brazil → Rio de Janeiro"/>
    <s v="Medium"/>
    <x v="28"/>
    <x v="0"/>
    <x v="28"/>
  </r>
  <r>
    <s v="ORD-2025-667201"/>
    <x v="58"/>
    <d v="2025-09-18T00:00:00"/>
    <n v="3"/>
    <s v="Americas"/>
    <x v="0"/>
    <s v="Rio de Janeiro"/>
    <s v="Non-Profit"/>
    <s v="Direct"/>
    <x v="11"/>
    <x v="5"/>
    <x v="61"/>
    <n v="5.5"/>
    <n v="5.92"/>
    <n v="5.92"/>
    <n v="0.21199999999999999"/>
    <n v="4"/>
    <x v="61"/>
    <n v="22"/>
    <n v="-3.3401600000000009"/>
    <n v="-0.17900260666758133"/>
    <d v="2023-01-02T00:00:00"/>
    <s v="Q3-2025"/>
    <s v="Americas → Brazil → Rio de Janeiro"/>
    <s v="Low"/>
    <x v="28"/>
    <x v="0"/>
    <x v="28"/>
  </r>
  <r>
    <s v="ORD-2023-723587"/>
    <x v="59"/>
    <d v="2023-01-05T00:00:00"/>
    <n v="3"/>
    <s v="Americas"/>
    <x v="1"/>
    <s v="Toronto"/>
    <s v="Corporate"/>
    <s v="Distributor"/>
    <x v="7"/>
    <x v="6"/>
    <x v="62"/>
    <n v="315.87"/>
    <n v="591.67999999999995"/>
    <n v="591.67999999999995"/>
    <n v="0"/>
    <n v="7"/>
    <x v="62"/>
    <n v="2211.09"/>
    <n v="1930.6699999999992"/>
    <n v="0.46614724175229844"/>
    <d v="2025-09-08T00:00:00"/>
    <s v="Q1-2023"/>
    <s v="Americas → Canada → Toronto"/>
    <s v="Low"/>
    <x v="0"/>
    <x v="0"/>
    <x v="0"/>
  </r>
  <r>
    <s v="ORD-2023-562894"/>
    <x v="60"/>
    <d v="2023-03-25T00:00:00"/>
    <n v="30"/>
    <s v="Americas"/>
    <x v="1"/>
    <s v="Montreal"/>
    <s v="Enterprise"/>
    <s v="Online"/>
    <x v="0"/>
    <x v="2"/>
    <x v="63"/>
    <n v="1242.6600000000001"/>
    <n v="1794.07"/>
    <n v="1794.07"/>
    <n v="8.8999999999999996E-2"/>
    <n v="16"/>
    <x v="63"/>
    <n v="19882.560000000001"/>
    <n v="6267.8043199999993"/>
    <n v="0.23968325042440553"/>
    <d v="2025-08-05T00:00:00"/>
    <s v="Q1-2023"/>
    <s v="Americas → Canada → Montreal"/>
    <s v="High"/>
    <x v="1"/>
    <x v="0"/>
    <x v="1"/>
  </r>
  <r>
    <s v="ORD-2023-276806"/>
    <x v="61"/>
    <d v="2023-03-24T00:00:00"/>
    <n v="20"/>
    <s v="Americas"/>
    <x v="1"/>
    <s v="Montreal"/>
    <s v="Consumer"/>
    <s v="Distributor"/>
    <x v="14"/>
    <x v="6"/>
    <x v="64"/>
    <n v="481.71"/>
    <n v="912.45"/>
    <n v="912.45"/>
    <n v="0.20300000000000001"/>
    <n v="24"/>
    <x v="64"/>
    <n v="11561.039999999999"/>
    <n v="5892.3036000000011"/>
    <n v="0.33760313983619739"/>
    <d v="2025-07-27T00:00:00"/>
    <s v="Q1-2023"/>
    <s v="Americas → Canada → Montreal"/>
    <s v="Medium"/>
    <x v="2"/>
    <x v="0"/>
    <x v="2"/>
  </r>
  <r>
    <s v="ORD-2023-987700"/>
    <x v="62"/>
    <d v="2023-04-16T00:00:00"/>
    <n v="11"/>
    <s v="Americas"/>
    <x v="1"/>
    <s v="Vancouver"/>
    <s v="Non-Profit"/>
    <s v="Online"/>
    <x v="13"/>
    <x v="0"/>
    <x v="65"/>
    <n v="213.1"/>
    <n v="501.31"/>
    <n v="501.31"/>
    <n v="5.6000000000000001E-2"/>
    <n v="15"/>
    <x v="65"/>
    <n v="3196.5"/>
    <n v="3902.0495999999994"/>
    <n v="0.54969674368409005"/>
    <d v="2025-07-11T00:00:00"/>
    <s v="Q2-2023"/>
    <s v="Americas → Canada → Vancouver"/>
    <s v="Low"/>
    <x v="3"/>
    <x v="0"/>
    <x v="3"/>
  </r>
  <r>
    <s v="ORD-2023-356427"/>
    <x v="63"/>
    <d v="2023-05-02T00:00:00"/>
    <n v="19"/>
    <s v="Americas"/>
    <x v="1"/>
    <s v="Montreal"/>
    <s v="Consumer"/>
    <s v="Distributor"/>
    <x v="6"/>
    <x v="0"/>
    <x v="66"/>
    <n v="671.05"/>
    <n v="1645.48"/>
    <n v="1645.48"/>
    <n v="0.13700000000000001"/>
    <n v="6"/>
    <x v="66"/>
    <n v="4026.2999999999997"/>
    <n v="4493.9954400000006"/>
    <n v="0.52744596377517172"/>
    <d v="2025-06-26T00:00:00"/>
    <s v="Q2-2023"/>
    <s v="Americas → Canada → Montreal"/>
    <s v="High"/>
    <x v="3"/>
    <x v="0"/>
    <x v="3"/>
  </r>
  <r>
    <s v="ORD-2023-769774"/>
    <x v="64"/>
    <d v="2023-06-24T00:00:00"/>
    <n v="11"/>
    <s v="Americas"/>
    <x v="1"/>
    <s v="Toronto"/>
    <s v="Corporate"/>
    <s v="Online"/>
    <x v="5"/>
    <x v="3"/>
    <x v="67"/>
    <n v="247.07"/>
    <n v="495.19"/>
    <n v="495.19"/>
    <n v="2.8000000000000001E-2"/>
    <n v="4"/>
    <x v="67"/>
    <n v="988.28"/>
    <n v="937.01872000000003"/>
    <n v="0.48668744764968214"/>
    <d v="2025-04-22T00:00:00"/>
    <s v="Q2-2023"/>
    <s v="Americas → Canada → Toronto"/>
    <s v="Low"/>
    <x v="5"/>
    <x v="0"/>
    <x v="5"/>
  </r>
  <r>
    <s v="ORD-2023-890605"/>
    <x v="65"/>
    <d v="2023-06-24T00:00:00"/>
    <n v="2"/>
    <s v="Americas"/>
    <x v="1"/>
    <s v="Toronto"/>
    <s v="Non-Profit"/>
    <s v="Retail"/>
    <x v="3"/>
    <x v="5"/>
    <x v="68"/>
    <n v="471.42"/>
    <n v="824.81"/>
    <n v="824.81"/>
    <n v="8.7999999999999995E-2"/>
    <n v="15"/>
    <x v="68"/>
    <n v="7071.3"/>
    <n v="4212.1007999999993"/>
    <n v="0.37330064531608231"/>
    <d v="2025-03-25T00:00:00"/>
    <s v="Q2-2023"/>
    <s v="Americas → Canada → Toronto"/>
    <s v="Medium"/>
    <x v="5"/>
    <x v="0"/>
    <x v="5"/>
  </r>
  <r>
    <s v="ORD-2023-921939"/>
    <x v="7"/>
    <d v="2023-07-18T00:00:00"/>
    <n v="25"/>
    <s v="Americas"/>
    <x v="1"/>
    <s v="Vancouver"/>
    <s v="Enterprise"/>
    <s v="Online"/>
    <x v="1"/>
    <x v="2"/>
    <x v="69"/>
    <n v="807.02"/>
    <n v="1435.54"/>
    <n v="1435.54"/>
    <n v="0"/>
    <n v="23"/>
    <x v="69"/>
    <n v="18561.46"/>
    <n v="14455.96"/>
    <n v="0.43782827368098415"/>
    <d v="2025-04-04T00:00:00"/>
    <s v="Q2-2023"/>
    <s v="Americas → Canada → Vancouver"/>
    <s v="Medium"/>
    <x v="5"/>
    <x v="0"/>
    <x v="5"/>
  </r>
  <r>
    <s v="ORD-2023-369160"/>
    <x v="66"/>
    <d v="2023-08-13T00:00:00"/>
    <n v="20"/>
    <s v="Americas"/>
    <x v="1"/>
    <s v="Montreal"/>
    <s v="Education"/>
    <s v="Direct"/>
    <x v="5"/>
    <x v="0"/>
    <x v="70"/>
    <n v="1082.3800000000001"/>
    <n v="1766.55"/>
    <n v="1766.55"/>
    <n v="0.16400000000000001"/>
    <n v="20"/>
    <x v="70"/>
    <n v="21647.600000000002"/>
    <n v="7889.1159999999982"/>
    <n v="0.26709523157550752"/>
    <d v="2025-02-25T00:00:00"/>
    <s v="Q3-2023"/>
    <s v="Americas → Canada → Montreal"/>
    <s v="High"/>
    <x v="6"/>
    <x v="0"/>
    <x v="6"/>
  </r>
  <r>
    <s v="ORD-2023-713614"/>
    <x v="67"/>
    <d v="2023-08-19T00:00:00"/>
    <n v="17"/>
    <s v="Americas"/>
    <x v="1"/>
    <s v="Vancouver"/>
    <s v="Corporate"/>
    <s v="Online"/>
    <x v="8"/>
    <x v="4"/>
    <x v="71"/>
    <n v="175.38"/>
    <n v="347.9"/>
    <n v="347.9"/>
    <n v="7.1999999999999995E-2"/>
    <n v="43"/>
    <x v="71"/>
    <n v="7541.34"/>
    <n v="6341.2615999999998"/>
    <n v="0.45677761148169804"/>
    <d v="2025-02-02T00:00:00"/>
    <s v="Q3-2023"/>
    <s v="Americas → Canada → Vancouver"/>
    <s v="Low"/>
    <x v="7"/>
    <x v="0"/>
    <x v="7"/>
  </r>
  <r>
    <s v="ORD-2023-343322"/>
    <x v="68"/>
    <d v="2023-09-12T00:00:00"/>
    <n v="24"/>
    <s v="Americas"/>
    <x v="1"/>
    <s v="Vancouver"/>
    <s v="Enterprise"/>
    <s v="Retail"/>
    <x v="14"/>
    <x v="3"/>
    <x v="72"/>
    <n v="1183.95"/>
    <n v="1503.53"/>
    <n v="1503.53"/>
    <n v="0.24099999999999999"/>
    <n v="16"/>
    <x v="72"/>
    <n v="18943.2"/>
    <n v="-684.33167999999932"/>
    <n v="-3.7479413729623705E-2"/>
    <d v="2025-02-06T00:00:00"/>
    <s v="Q3-2023"/>
    <s v="Americas → Canada → Vancouver"/>
    <s v="Medium"/>
    <x v="7"/>
    <x v="0"/>
    <x v="7"/>
  </r>
  <r>
    <s v="ORD-2023-603238"/>
    <x v="69"/>
    <d v="2023-09-04T00:00:00"/>
    <n v="14"/>
    <s v="Americas"/>
    <x v="1"/>
    <s v="Montreal"/>
    <s v="Education"/>
    <s v="Distributor"/>
    <x v="8"/>
    <x v="1"/>
    <x v="73"/>
    <n v="178.19"/>
    <n v="284.43"/>
    <n v="284.43"/>
    <n v="8.8999999999999996E-2"/>
    <n v="8"/>
    <x v="73"/>
    <n v="1425.52"/>
    <n v="647.40584000000035"/>
    <n v="0.31231500302972742"/>
    <d v="2025-02-04T00:00:00"/>
    <s v="Q3-2023"/>
    <s v="Americas → Canada → Montreal"/>
    <s v="Low"/>
    <x v="7"/>
    <x v="0"/>
    <x v="7"/>
  </r>
  <r>
    <s v="ORD-2023-987081"/>
    <x v="70"/>
    <d v="2023-09-13T00:00:00"/>
    <n v="15"/>
    <s v="Americas"/>
    <x v="1"/>
    <s v="Vancouver"/>
    <s v="Small Business"/>
    <s v="Marketplace"/>
    <x v="13"/>
    <x v="3"/>
    <x v="74"/>
    <n v="1287.6400000000001"/>
    <n v="2717.15"/>
    <n v="2717.15"/>
    <n v="3.2000000000000001E-2"/>
    <n v="7"/>
    <x v="74"/>
    <n v="9013.4800000000014"/>
    <n v="9397.9283999999989"/>
    <n v="0.51044049405802105"/>
    <d v="2025-01-11T00:00:00"/>
    <s v="Q3-2023"/>
    <s v="Americas → Canada → Vancouver"/>
    <s v="High"/>
    <x v="7"/>
    <x v="0"/>
    <x v="7"/>
  </r>
  <r>
    <s v="ORD-2023-488227"/>
    <x v="71"/>
    <d v="2023-10-02T00:00:00"/>
    <n v="24"/>
    <s v="Americas"/>
    <x v="1"/>
    <s v="Toronto"/>
    <s v="Education"/>
    <s v="Direct"/>
    <x v="4"/>
    <x v="5"/>
    <x v="75"/>
    <n v="1299.03"/>
    <n v="2451.2199999999998"/>
    <n v="2451.2199999999998"/>
    <n v="0.20799999999999999"/>
    <n v="8"/>
    <x v="75"/>
    <n v="10392.24"/>
    <n v="5138.6899199999989"/>
    <n v="0.3308681416032041"/>
    <d v="2025-01-07T00:00:00"/>
    <s v="Q3-2023"/>
    <s v="Americas → Canada → Toronto"/>
    <s v="High"/>
    <x v="8"/>
    <x v="0"/>
    <x v="8"/>
  </r>
  <r>
    <s v="ORD-2023-163610"/>
    <x v="72"/>
    <d v="2023-11-16T00:00:00"/>
    <n v="25"/>
    <s v="Americas"/>
    <x v="1"/>
    <s v="Toronto"/>
    <s v="Small Business"/>
    <s v="Marketplace"/>
    <x v="14"/>
    <x v="6"/>
    <x v="76"/>
    <n v="1373.31"/>
    <n v="3154.14"/>
    <n v="3154.14"/>
    <n v="0.2"/>
    <n v="11"/>
    <x v="76"/>
    <n v="15106.41"/>
    <n v="12650.022000000001"/>
    <n v="0.45575101295440279"/>
    <d v="2024-11-30T00:00:00"/>
    <s v="Q4-2023"/>
    <s v="Americas → Canada → Toronto"/>
    <s v="High"/>
    <x v="9"/>
    <x v="0"/>
    <x v="9"/>
  </r>
  <r>
    <s v="ORD-2023-126505"/>
    <x v="21"/>
    <d v="2024-01-01T00:00:00"/>
    <n v="13"/>
    <s v="Americas"/>
    <x v="1"/>
    <s v="Toronto"/>
    <s v="Enterprise"/>
    <s v="Retail"/>
    <x v="12"/>
    <x v="0"/>
    <x v="77"/>
    <n v="856.1"/>
    <n v="901.48"/>
    <n v="901.48"/>
    <n v="5.6000000000000001E-2"/>
    <n v="17"/>
    <x v="77"/>
    <n v="14553.7"/>
    <n v="-86.748960000000807"/>
    <n v="-5.9963540182134192E-3"/>
    <d v="2024-11-04T00:00:00"/>
    <s v="Q4-2023"/>
    <s v="Americas → Canada → Toronto"/>
    <s v="Medium"/>
    <x v="11"/>
    <x v="0"/>
    <x v="11"/>
  </r>
  <r>
    <s v="ORD-2024-355095"/>
    <x v="73"/>
    <d v="2024-01-02T00:00:00"/>
    <n v="0"/>
    <s v="Americas"/>
    <x v="1"/>
    <s v="Vancouver"/>
    <s v="Education"/>
    <s v="Direct"/>
    <x v="4"/>
    <x v="6"/>
    <x v="78"/>
    <n v="444.41"/>
    <n v="754.24"/>
    <n v="754.24"/>
    <n v="0.20699999999999999"/>
    <n v="32"/>
    <x v="78"/>
    <n v="14221.12"/>
    <n v="4918.4742400000014"/>
    <n v="0.25697902360546598"/>
    <d v="2024-10-10T00:00:00"/>
    <s v="Q1-2024"/>
    <s v="Americas → Canada → Vancouver"/>
    <s v="Low"/>
    <x v="12"/>
    <x v="0"/>
    <x v="12"/>
  </r>
  <r>
    <s v="ORD-2024-544865"/>
    <x v="74"/>
    <d v="2024-03-04T00:00:00"/>
    <n v="17"/>
    <s v="Americas"/>
    <x v="1"/>
    <s v="Montreal"/>
    <s v="Non-Profit"/>
    <s v="Retail"/>
    <x v="0"/>
    <x v="6"/>
    <x v="79"/>
    <n v="1350.98"/>
    <n v="2210.4"/>
    <n v="2210.4"/>
    <n v="0.26300000000000001"/>
    <n v="6"/>
    <x v="79"/>
    <n v="8105.88"/>
    <n v="1668.5088000000005"/>
    <n v="0.17070211080615091"/>
    <d v="2024-08-14T00:00:00"/>
    <s v="Q1-2024"/>
    <s v="Americas → Canada → Montreal"/>
    <s v="High"/>
    <x v="13"/>
    <x v="0"/>
    <x v="13"/>
  </r>
  <r>
    <s v="ORD-2024-792137"/>
    <x v="75"/>
    <d v="2024-03-16T00:00:00"/>
    <n v="14"/>
    <s v="Americas"/>
    <x v="1"/>
    <s v="Vancouver"/>
    <s v="Non-Profit"/>
    <s v="Direct"/>
    <x v="13"/>
    <x v="3"/>
    <x v="80"/>
    <n v="248.24"/>
    <n v="464.05"/>
    <n v="464.05"/>
    <n v="0.16900000000000001"/>
    <n v="11"/>
    <x v="80"/>
    <n v="2730.6400000000003"/>
    <n v="1511.2410499999996"/>
    <n v="0.3562667203975462"/>
    <d v="2024-08-03T00:00:00"/>
    <s v="Q1-2024"/>
    <s v="Americas → Canada → Vancouver"/>
    <s v="Low"/>
    <x v="29"/>
    <x v="0"/>
    <x v="29"/>
  </r>
  <r>
    <s v="ORD-2024-220234"/>
    <x v="76"/>
    <d v="2024-04-09T00:00:00"/>
    <n v="25"/>
    <s v="Americas"/>
    <x v="1"/>
    <s v="Vancouver"/>
    <s v="Consumer"/>
    <s v="Online"/>
    <x v="8"/>
    <x v="0"/>
    <x v="81"/>
    <n v="648.64"/>
    <n v="815.19"/>
    <n v="815.19"/>
    <n v="0.22500000000000001"/>
    <n v="28"/>
    <x v="81"/>
    <n v="18161.919999999998"/>
    <n v="-472.29699999999866"/>
    <n v="-2.6699099240272032E-2"/>
    <d v="2024-06-30T00:00:00"/>
    <s v="Q1-2024"/>
    <s v="Americas → Canada → Vancouver"/>
    <s v="Low"/>
    <x v="29"/>
    <x v="0"/>
    <x v="29"/>
  </r>
  <r>
    <s v="ORD-2024-389336"/>
    <x v="77"/>
    <d v="2024-06-02T00:00:00"/>
    <n v="13"/>
    <s v="Americas"/>
    <x v="1"/>
    <s v="Vancouver"/>
    <s v="Enterprise"/>
    <s v="Marketplace"/>
    <x v="12"/>
    <x v="1"/>
    <x v="82"/>
    <n v="675.43"/>
    <n v="996.36"/>
    <n v="996.36"/>
    <n v="0.182"/>
    <n v="22"/>
    <x v="82"/>
    <n v="14859.46"/>
    <n v="3071.0345600000037"/>
    <n v="0.17127439233332575"/>
    <d v="2024-05-17T00:00:00"/>
    <s v="Q2-2024"/>
    <s v="Americas → Canada → Vancouver"/>
    <s v="Medium"/>
    <x v="15"/>
    <x v="0"/>
    <x v="15"/>
  </r>
  <r>
    <s v="ORD-2024-886939"/>
    <x v="78"/>
    <d v="2024-06-24T00:00:00"/>
    <n v="21"/>
    <s v="Americas"/>
    <x v="1"/>
    <s v="Toronto"/>
    <s v="Small Business"/>
    <s v="Direct"/>
    <x v="2"/>
    <x v="0"/>
    <x v="83"/>
    <n v="1205.5"/>
    <n v="2210.17"/>
    <n v="2210.17"/>
    <n v="0.104"/>
    <n v="23"/>
    <x v="83"/>
    <n v="27726.5"/>
    <n v="17820.683360000003"/>
    <n v="0.39125763758314652"/>
    <d v="2024-05-07T00:00:00"/>
    <s v="Q2-2024"/>
    <s v="Americas → Canada → Toronto"/>
    <s v="High"/>
    <x v="16"/>
    <x v="0"/>
    <x v="16"/>
  </r>
  <r>
    <s v="ORD-2024-389102"/>
    <x v="79"/>
    <d v="2024-07-06T00:00:00"/>
    <n v="21"/>
    <s v="Americas"/>
    <x v="1"/>
    <s v="Toronto"/>
    <s v="Enterprise"/>
    <s v="Distributor"/>
    <x v="11"/>
    <x v="3"/>
    <x v="84"/>
    <n v="817.23"/>
    <n v="1467.17"/>
    <n v="1467.17"/>
    <n v="0.245"/>
    <n v="9"/>
    <x v="84"/>
    <n v="7355.07"/>
    <n v="2614.3501500000002"/>
    <n v="0.26223693160328893"/>
    <d v="2024-04-03T00:00:00"/>
    <s v="Q2-2024"/>
    <s v="Americas → Canada → Toronto"/>
    <s v="Medium"/>
    <x v="16"/>
    <x v="0"/>
    <x v="16"/>
  </r>
  <r>
    <s v="ORD-2024-901115"/>
    <x v="80"/>
    <d v="2024-08-02T00:00:00"/>
    <n v="8"/>
    <s v="Americas"/>
    <x v="1"/>
    <s v="Montreal"/>
    <s v="Consumer"/>
    <s v="Direct"/>
    <x v="9"/>
    <x v="5"/>
    <x v="85"/>
    <n v="986.81"/>
    <n v="2050.31"/>
    <n v="2050.31"/>
    <n v="0.10299999999999999"/>
    <n v="43"/>
    <x v="85"/>
    <n v="42432.829999999994"/>
    <n v="36649.677010000007"/>
    <n v="0.46343595310358138"/>
    <d v="2024-03-02T00:00:00"/>
    <s v="Q3-2024"/>
    <s v="Americas → Canada → Montreal"/>
    <s v="High"/>
    <x v="17"/>
    <x v="0"/>
    <x v="17"/>
  </r>
  <r>
    <s v="ORD-2024-550400"/>
    <x v="81"/>
    <d v="2024-09-02T00:00:00"/>
    <n v="14"/>
    <s v="Americas"/>
    <x v="1"/>
    <s v="Toronto"/>
    <s v="Consumer"/>
    <s v="Distributor"/>
    <x v="5"/>
    <x v="3"/>
    <x v="86"/>
    <n v="1337.01"/>
    <n v="1269.78"/>
    <n v="1269.78"/>
    <n v="0.16"/>
    <n v="7"/>
    <x v="86"/>
    <n v="9359.07"/>
    <n v="-1892.7636000000011"/>
    <n v="-0.25350735672996244"/>
    <d v="2024-02-03T00:00:00"/>
    <s v="Q3-2024"/>
    <s v="Americas → Canada → Toronto"/>
    <s v="Medium"/>
    <x v="18"/>
    <x v="0"/>
    <x v="18"/>
  </r>
  <r>
    <s v="ORD-2024-438404"/>
    <x v="82"/>
    <d v="2024-10-18T00:00:00"/>
    <n v="25"/>
    <s v="Americas"/>
    <x v="1"/>
    <s v="Vancouver"/>
    <s v="Small Business"/>
    <s v="Online"/>
    <x v="1"/>
    <x v="2"/>
    <x v="87"/>
    <n v="1297"/>
    <n v="2411.52"/>
    <n v="2411.52"/>
    <n v="2.1000000000000001E-2"/>
    <n v="18"/>
    <x v="87"/>
    <n v="23346"/>
    <n v="19149.805439999996"/>
    <n v="0.45062813239385913"/>
    <d v="2024-01-13T00:00:00"/>
    <s v="Q3-2024"/>
    <s v="Americas → Canada → Vancouver"/>
    <s v="High"/>
    <x v="19"/>
    <x v="0"/>
    <x v="19"/>
  </r>
  <r>
    <s v="ORD-2024-510520"/>
    <x v="83"/>
    <d v="2024-10-03T00:00:00"/>
    <n v="8"/>
    <s v="Americas"/>
    <x v="1"/>
    <s v="Toronto"/>
    <s v="Consumer"/>
    <s v="Online"/>
    <x v="6"/>
    <x v="3"/>
    <x v="88"/>
    <n v="558.19000000000005"/>
    <n v="1031.6400000000001"/>
    <n v="1031.6400000000001"/>
    <n v="0"/>
    <n v="21"/>
    <x v="88"/>
    <n v="11721.990000000002"/>
    <n v="9942.4500000000007"/>
    <n v="0.45892947152107322"/>
    <d v="2023-12-29T00:00:00"/>
    <s v="Q3-2024"/>
    <s v="Americas → Canada → Toronto"/>
    <s v="Medium"/>
    <x v="19"/>
    <x v="0"/>
    <x v="19"/>
  </r>
  <r>
    <s v="ORD-2024-170021"/>
    <x v="84"/>
    <d v="2024-11-08T00:00:00"/>
    <n v="3"/>
    <s v="Americas"/>
    <x v="1"/>
    <s v="Toronto"/>
    <s v="Education"/>
    <s v="Marketplace"/>
    <x v="13"/>
    <x v="1"/>
    <x v="89"/>
    <n v="1020.4"/>
    <n v="1184.71"/>
    <n v="1184.71"/>
    <n v="0.106"/>
    <n v="16"/>
    <x v="89"/>
    <n v="16326.4"/>
    <n v="619.69184000000132"/>
    <n v="3.6568422138328345E-2"/>
    <d v="2023-11-19T00:00:00"/>
    <s v="Q4-2024"/>
    <s v="Americas → Canada → Toronto"/>
    <s v="Medium"/>
    <x v="20"/>
    <x v="0"/>
    <x v="20"/>
  </r>
  <r>
    <s v="ORD-2024-468501"/>
    <x v="85"/>
    <d v="2024-11-22T00:00:00"/>
    <n v="16"/>
    <s v="Americas"/>
    <x v="1"/>
    <s v="Toronto"/>
    <s v="Non-Profit"/>
    <s v="Distributor"/>
    <x v="0"/>
    <x v="5"/>
    <x v="90"/>
    <n v="1454.11"/>
    <n v="2629.75"/>
    <n v="2629.75"/>
    <n v="0.29199999999999998"/>
    <n v="8"/>
    <x v="90"/>
    <n v="11632.88"/>
    <n v="3262.0239999999994"/>
    <n v="0.21900268709351867"/>
    <d v="2023-11-30T00:00:00"/>
    <s v="Q4-2024"/>
    <s v="Americas → Canada → Toronto"/>
    <s v="High"/>
    <x v="20"/>
    <x v="0"/>
    <x v="20"/>
  </r>
  <r>
    <s v="ORD-2024-371409"/>
    <x v="86"/>
    <d v="2024-11-28T00:00:00"/>
    <n v="11"/>
    <s v="Americas"/>
    <x v="1"/>
    <s v="Vancouver"/>
    <s v="Consumer"/>
    <s v="Distributor"/>
    <x v="4"/>
    <x v="3"/>
    <x v="91"/>
    <n v="1008.16"/>
    <n v="2077.5"/>
    <n v="2077.5"/>
    <n v="7.3999999999999996E-2"/>
    <n v="15"/>
    <x v="91"/>
    <n v="15122.4"/>
    <n v="13734.075000000003"/>
    <n v="0.47594430712691005"/>
    <d v="2023-11-14T00:00:00"/>
    <s v="Q4-2024"/>
    <s v="Americas → Canada → Vancouver"/>
    <s v="High"/>
    <x v="20"/>
    <x v="0"/>
    <x v="20"/>
  </r>
  <r>
    <s v="ORD-2024-478165"/>
    <x v="87"/>
    <d v="2024-12-28T00:00:00"/>
    <n v="23"/>
    <s v="Americas"/>
    <x v="1"/>
    <s v="Vancouver"/>
    <s v="Corporate"/>
    <s v="Direct"/>
    <x v="8"/>
    <x v="5"/>
    <x v="92"/>
    <n v="107.03"/>
    <n v="242.29"/>
    <n v="242.29"/>
    <n v="0.18"/>
    <n v="30"/>
    <x v="92"/>
    <n v="3210.9"/>
    <n v="2749.4340000000007"/>
    <n v="0.46128857879440988"/>
    <d v="2023-10-05T00:00:00"/>
    <s v="Q4-2024"/>
    <s v="Americas → Canada → Vancouver"/>
    <s v="Low"/>
    <x v="30"/>
    <x v="0"/>
    <x v="30"/>
  </r>
  <r>
    <s v="ORD-2024-257550"/>
    <x v="88"/>
    <d v="2024-12-29T00:00:00"/>
    <n v="2"/>
    <s v="Americas"/>
    <x v="1"/>
    <s v="Vancouver"/>
    <s v="Enterprise"/>
    <s v="Marketplace"/>
    <x v="5"/>
    <x v="5"/>
    <x v="93"/>
    <n v="1146.72"/>
    <n v="2074.34"/>
    <n v="2074.34"/>
    <n v="0.111"/>
    <n v="8"/>
    <x v="93"/>
    <n v="9173.76"/>
    <n v="5578.9460800000015"/>
    <n v="0.37816425337472737"/>
    <d v="2023-09-25T00:00:00"/>
    <s v="Q4-2024"/>
    <s v="Americas → Canada → Vancouver"/>
    <s v="High"/>
    <x v="30"/>
    <x v="0"/>
    <x v="30"/>
  </r>
  <r>
    <s v="ORD-2025-705398"/>
    <x v="89"/>
    <d v="2025-02-17T00:00:00"/>
    <n v="2"/>
    <s v="Americas"/>
    <x v="1"/>
    <s v="Toronto"/>
    <s v="Small Business"/>
    <s v="Retail"/>
    <x v="0"/>
    <x v="1"/>
    <x v="94"/>
    <n v="1133.47"/>
    <n v="1698.75"/>
    <n v="1698.75"/>
    <n v="4.2999999999999997E-2"/>
    <n v="5"/>
    <x v="94"/>
    <n v="5667.35"/>
    <n v="2461.1687499999989"/>
    <n v="0.30278194904821976"/>
    <d v="2023-07-30T00:00:00"/>
    <s v="Q1-2025"/>
    <s v="Americas → Canada → Toronto"/>
    <s v="High"/>
    <x v="22"/>
    <x v="0"/>
    <x v="22"/>
  </r>
  <r>
    <s v="ORD-2025-246470"/>
    <x v="90"/>
    <d v="2025-05-16T00:00:00"/>
    <n v="30"/>
    <s v="Americas"/>
    <x v="1"/>
    <s v="Montreal"/>
    <s v="Enterprise"/>
    <s v="Distributor"/>
    <x v="12"/>
    <x v="3"/>
    <x v="95"/>
    <n v="763.32"/>
    <n v="568.29"/>
    <n v="568.29"/>
    <n v="0.13100000000000001"/>
    <n v="16"/>
    <x v="95"/>
    <n v="12213.12"/>
    <n v="-4311.6158400000013"/>
    <n v="-0.54567026134426555"/>
    <d v="2023-06-15T00:00:00"/>
    <s v="Q2-2025"/>
    <s v="Americas → Canada → Montreal"/>
    <s v="Low"/>
    <x v="24"/>
    <x v="0"/>
    <x v="24"/>
  </r>
  <r>
    <s v="ORD-2025-191328"/>
    <x v="91"/>
    <d v="2025-05-27T00:00:00"/>
    <n v="17"/>
    <s v="Americas"/>
    <x v="1"/>
    <s v="Vancouver"/>
    <s v="Education"/>
    <s v="Direct"/>
    <x v="5"/>
    <x v="1"/>
    <x v="96"/>
    <n v="862.89"/>
    <n v="1426.03"/>
    <n v="1426.03"/>
    <n v="5.6000000000000001E-2"/>
    <n v="19"/>
    <x v="96"/>
    <n v="16394.91"/>
    <n v="9182.3640799999994"/>
    <n v="0.35900479665188778"/>
    <d v="2023-06-01T00:00:00"/>
    <s v="Q2-2025"/>
    <s v="Americas → Canada → Vancouver"/>
    <s v="Medium"/>
    <x v="25"/>
    <x v="0"/>
    <x v="25"/>
  </r>
  <r>
    <s v="ORD-2025-874124"/>
    <x v="92"/>
    <d v="2025-05-14T00:00:00"/>
    <n v="2"/>
    <s v="Americas"/>
    <x v="1"/>
    <s v="Vancouver"/>
    <s v="Non-Profit"/>
    <s v="Distributor"/>
    <x v="8"/>
    <x v="3"/>
    <x v="97"/>
    <n v="883.5"/>
    <n v="1978.91"/>
    <n v="1978.91"/>
    <n v="5.3999999999999999E-2"/>
    <n v="27"/>
    <x v="97"/>
    <n v="23854.5"/>
    <n v="26690.819219999998"/>
    <n v="0.52805718970390547"/>
    <d v="2023-05-11T00:00:00"/>
    <s v="Q2-2025"/>
    <s v="Americas → Canada → Vancouver"/>
    <s v="High"/>
    <x v="25"/>
    <x v="0"/>
    <x v="25"/>
  </r>
  <r>
    <s v="ORD-2025-698069"/>
    <x v="93"/>
    <d v="2025-06-10T00:00:00"/>
    <n v="7"/>
    <s v="Americas"/>
    <x v="1"/>
    <s v="Toronto"/>
    <s v="Consumer"/>
    <s v="Distributor"/>
    <x v="13"/>
    <x v="3"/>
    <x v="98"/>
    <n v="75.180000000000007"/>
    <n v="53.45"/>
    <n v="53.45"/>
    <n v="0.157"/>
    <n v="17"/>
    <x v="98"/>
    <n v="1278.0600000000002"/>
    <n v="-512.06805000000008"/>
    <n v="-0.66850317421743144"/>
    <d v="2023-04-14T00:00:00"/>
    <s v="Q2-2025"/>
    <s v="Americas → Canada → Toronto"/>
    <s v="Low"/>
    <x v="31"/>
    <x v="0"/>
    <x v="31"/>
  </r>
  <r>
    <s v="ORD-2025-306903"/>
    <x v="94"/>
    <d v="2025-07-23T00:00:00"/>
    <n v="29"/>
    <s v="Americas"/>
    <x v="1"/>
    <s v="Vancouver"/>
    <s v="Non-Profit"/>
    <s v="Marketplace"/>
    <x v="14"/>
    <x v="3"/>
    <x v="99"/>
    <n v="255.4"/>
    <n v="322.70999999999998"/>
    <n v="322.70999999999998"/>
    <n v="0.115"/>
    <n v="16"/>
    <x v="99"/>
    <n v="4086.4"/>
    <n v="483.17359999999962"/>
    <n v="0.10573713048412212"/>
    <d v="2023-04-16T00:00:00"/>
    <s v="Q2-2025"/>
    <s v="Americas → Canada → Vancouver"/>
    <s v="Low"/>
    <x v="31"/>
    <x v="0"/>
    <x v="31"/>
  </r>
  <r>
    <s v="ORD-2025-956101"/>
    <x v="95"/>
    <d v="2025-07-18T00:00:00"/>
    <n v="9"/>
    <s v="Americas"/>
    <x v="1"/>
    <s v="Vancouver"/>
    <s v="Education"/>
    <s v="Distributor"/>
    <x v="14"/>
    <x v="6"/>
    <x v="100"/>
    <n v="57.96"/>
    <n v="88.51"/>
    <n v="88.51"/>
    <n v="4.2999999999999997E-2"/>
    <n v="7"/>
    <x v="100"/>
    <n v="405.72"/>
    <n v="187.20848999999998"/>
    <n v="0.3157353595877978"/>
    <d v="2023-03-31T00:00:00"/>
    <s v="Q3-2025"/>
    <s v="Americas → Canada → Vancouver"/>
    <s v="Low"/>
    <x v="26"/>
    <x v="0"/>
    <x v="26"/>
  </r>
  <r>
    <s v="ORD-2025-586799"/>
    <x v="96"/>
    <d v="2025-08-04T00:00:00"/>
    <n v="21"/>
    <s v="Americas"/>
    <x v="1"/>
    <s v="Montreal"/>
    <s v="Consumer"/>
    <s v="Online"/>
    <x v="15"/>
    <x v="0"/>
    <x v="101"/>
    <n v="90.3"/>
    <n v="131.76"/>
    <n v="131.76"/>
    <n v="0.10199999999999999"/>
    <n v="15"/>
    <x v="101"/>
    <n v="1354.5"/>
    <n v="420.30719999999997"/>
    <n v="0.23681851189244668"/>
    <d v="2023-04-06T00:00:00"/>
    <s v="Q3-2025"/>
    <s v="Americas → Canada → Montreal"/>
    <s v="Low"/>
    <x v="26"/>
    <x v="0"/>
    <x v="26"/>
  </r>
  <r>
    <s v="ORD-2025-132174"/>
    <x v="97"/>
    <d v="2025-07-23T00:00:00"/>
    <n v="6"/>
    <s v="Americas"/>
    <x v="1"/>
    <s v="Vancouver"/>
    <s v="Consumer"/>
    <s v="Online"/>
    <x v="15"/>
    <x v="1"/>
    <x v="102"/>
    <n v="1364.89"/>
    <n v="2757.54"/>
    <n v="2757.54"/>
    <n v="0.17199999999999999"/>
    <n v="61"/>
    <x v="102"/>
    <n v="83258.290000000008"/>
    <n v="56019.54032"/>
    <n v="0.4022143379983118"/>
    <d v="2023-03-31T00:00:00"/>
    <s v="Q3-2025"/>
    <s v="Americas → Canada → Vancouver"/>
    <s v="High"/>
    <x v="26"/>
    <x v="0"/>
    <x v="26"/>
  </r>
  <r>
    <s v="ORD-2025-281413"/>
    <x v="98"/>
    <d v="2025-08-16T00:00:00"/>
    <n v="13"/>
    <s v="Americas"/>
    <x v="1"/>
    <s v="Montreal"/>
    <s v="Enterprise"/>
    <s v="Distributor"/>
    <x v="13"/>
    <x v="4"/>
    <x v="103"/>
    <n v="698.66"/>
    <n v="868.62"/>
    <n v="868.62"/>
    <n v="7.1999999999999995E-2"/>
    <n v="15"/>
    <x v="103"/>
    <n v="10479.9"/>
    <n v="1611.2903999999999"/>
    <n v="0.13326151906432637"/>
    <d v="2023-02-23T00:00:00"/>
    <s v="Q3-2025"/>
    <s v="Americas → Canada → Montreal"/>
    <s v="Medium"/>
    <x v="27"/>
    <x v="0"/>
    <x v="27"/>
  </r>
  <r>
    <s v="ORD-2025-822030"/>
    <x v="99"/>
    <d v="2025-09-06T00:00:00"/>
    <n v="30"/>
    <s v="Americas"/>
    <x v="1"/>
    <s v="Montreal"/>
    <s v="Education"/>
    <s v="Direct"/>
    <x v="3"/>
    <x v="4"/>
    <x v="104"/>
    <n v="833.73"/>
    <n v="1116.5999999999999"/>
    <n v="1116.5999999999999"/>
    <n v="0.17599999999999999"/>
    <n v="14"/>
    <x v="104"/>
    <n v="11672.220000000001"/>
    <n v="1208.877599999998"/>
    <n v="9.3848958958279924E-2"/>
    <d v="2023-02-23T00:00:00"/>
    <s v="Q3-2025"/>
    <s v="Americas → Canada → Montreal"/>
    <s v="Medium"/>
    <x v="27"/>
    <x v="0"/>
    <x v="27"/>
  </r>
  <r>
    <s v="ORD-2025-898022"/>
    <x v="100"/>
    <d v="2025-09-11T00:00:00"/>
    <n v="9"/>
    <s v="Americas"/>
    <x v="1"/>
    <s v="Toronto"/>
    <s v="Corporate"/>
    <s v="Distributor"/>
    <x v="3"/>
    <x v="3"/>
    <x v="105"/>
    <n v="1207.6300000000001"/>
    <n v="921.68"/>
    <n v="921.68"/>
    <n v="0.19600000000000001"/>
    <n v="17"/>
    <x v="105"/>
    <n v="20529.710000000003"/>
    <n v="-7932.1877600000025"/>
    <n v="-0.62966253274897988"/>
    <d v="2023-01-20T00:00:00"/>
    <s v="Q3-2025"/>
    <s v="Americas → Canada → Toronto"/>
    <s v="Medium"/>
    <x v="28"/>
    <x v="0"/>
    <x v="28"/>
  </r>
  <r>
    <s v="ORD-2023-700699"/>
    <x v="101"/>
    <d v="2023-01-26T00:00:00"/>
    <n v="14"/>
    <s v="Asia"/>
    <x v="2"/>
    <s v="Shenzhen"/>
    <s v="Non-Profit"/>
    <s v="Retail"/>
    <x v="3"/>
    <x v="3"/>
    <x v="106"/>
    <n v="1083.0899999999999"/>
    <n v="1425.87"/>
    <n v="1425.87"/>
    <n v="0"/>
    <n v="8"/>
    <x v="106"/>
    <n v="8664.7199999999993"/>
    <n v="2742.24"/>
    <n v="0.24040059752992909"/>
    <d v="2025-09-01T00:00:00"/>
    <s v="Q1-2023"/>
    <s v="Asia → China → Shenzhen"/>
    <s v="Medium"/>
    <x v="0"/>
    <x v="0"/>
    <x v="0"/>
  </r>
  <r>
    <s v="ORD-2023-744942"/>
    <x v="60"/>
    <d v="2023-03-18T00:00:00"/>
    <n v="23"/>
    <s v="Asia"/>
    <x v="2"/>
    <s v="Beijing"/>
    <s v="Education"/>
    <s v="Distributor"/>
    <x v="12"/>
    <x v="3"/>
    <x v="107"/>
    <n v="770.11"/>
    <n v="1667.82"/>
    <n v="1667.82"/>
    <n v="6.9000000000000006E-2"/>
    <n v="7"/>
    <x v="107"/>
    <n v="5390.77"/>
    <n v="5478.4129400000002"/>
    <n v="0.50403171703355287"/>
    <d v="2025-08-26T00:00:00"/>
    <s v="Q1-2023"/>
    <s v="Asia → China → Beijing"/>
    <s v="High"/>
    <x v="1"/>
    <x v="0"/>
    <x v="1"/>
  </r>
  <r>
    <s v="ORD-2023-854471"/>
    <x v="102"/>
    <d v="2023-04-04T00:00:00"/>
    <n v="29"/>
    <s v="Asia"/>
    <x v="2"/>
    <s v="Beijing"/>
    <s v="Small Business"/>
    <s v="Direct"/>
    <x v="5"/>
    <x v="0"/>
    <x v="108"/>
    <n v="1126.29"/>
    <n v="2050.87"/>
    <n v="2050.87"/>
    <n v="6.4000000000000001E-2"/>
    <n v="7"/>
    <x v="108"/>
    <n v="7884.03"/>
    <n v="5553.2702399999989"/>
    <n v="0.41327276616690373"/>
    <d v="2025-08-05T00:00:00"/>
    <s v="Q1-2023"/>
    <s v="Asia → China → Beijing"/>
    <s v="High"/>
    <x v="2"/>
    <x v="0"/>
    <x v="2"/>
  </r>
  <r>
    <s v="ORD-2023-157993"/>
    <x v="103"/>
    <d v="2023-05-18T00:00:00"/>
    <n v="30"/>
    <s v="Asia"/>
    <x v="2"/>
    <s v="Shenzhen"/>
    <s v="Non-Profit"/>
    <s v="Retail"/>
    <x v="15"/>
    <x v="6"/>
    <x v="109"/>
    <n v="329.03"/>
    <n v="391.15"/>
    <n v="391.15"/>
    <n v="0.19700000000000001"/>
    <n v="46"/>
    <x v="109"/>
    <n v="15135.38"/>
    <n v="-687.08130000000165"/>
    <n v="-4.7554477815440081E-2"/>
    <d v="2025-06-17T00:00:00"/>
    <s v="Q2-2023"/>
    <s v="Asia → China → Shenzhen"/>
    <s v="Low"/>
    <x v="3"/>
    <x v="0"/>
    <x v="3"/>
  </r>
  <r>
    <s v="ORD-2023-809913"/>
    <x v="104"/>
    <d v="2023-05-10T00:00:00"/>
    <n v="19"/>
    <s v="Asia"/>
    <x v="2"/>
    <s v="Shanghai"/>
    <s v="Corporate"/>
    <s v="Retail"/>
    <x v="4"/>
    <x v="1"/>
    <x v="110"/>
    <n v="882.33"/>
    <n v="1880.15"/>
    <n v="1880.15"/>
    <n v="0.05"/>
    <n v="5"/>
    <x v="110"/>
    <n v="4411.6500000000005"/>
    <n v="4519.0624999999991"/>
    <n v="0.50601365792482955"/>
    <d v="2025-06-19T00:00:00"/>
    <s v="Q2-2023"/>
    <s v="Asia → China → Shanghai"/>
    <s v="High"/>
    <x v="3"/>
    <x v="0"/>
    <x v="3"/>
  </r>
  <r>
    <s v="ORD-2023-880296"/>
    <x v="105"/>
    <d v="2023-05-19T00:00:00"/>
    <n v="17"/>
    <s v="Asia"/>
    <x v="2"/>
    <s v="Shanghai"/>
    <s v="Non-Profit"/>
    <s v="Direct"/>
    <x v="9"/>
    <x v="0"/>
    <x v="111"/>
    <n v="714.28"/>
    <n v="757.59"/>
    <n v="757.59"/>
    <n v="0.13600000000000001"/>
    <n v="12"/>
    <x v="111"/>
    <n v="8571.36"/>
    <n v="-716.66688000000067"/>
    <n v="-9.1240595787910383E-2"/>
    <d v="2025-05-21T00:00:00"/>
    <s v="Q2-2023"/>
    <s v="Asia → China → Shanghai"/>
    <s v="Low"/>
    <x v="4"/>
    <x v="0"/>
    <x v="4"/>
  </r>
  <r>
    <s v="ORD-2023-867836"/>
    <x v="106"/>
    <d v="2023-05-28T00:00:00"/>
    <n v="17"/>
    <s v="Asia"/>
    <x v="2"/>
    <s v="Shenzhen"/>
    <s v="Enterprise"/>
    <s v="Marketplace"/>
    <x v="6"/>
    <x v="4"/>
    <x v="112"/>
    <n v="1331.19"/>
    <n v="2903.09"/>
    <n v="2903.09"/>
    <n v="0.14299999999999999"/>
    <n v="8"/>
    <x v="112"/>
    <n v="10649.52"/>
    <n v="9254.0650400000013"/>
    <n v="0.46494463290920784"/>
    <d v="2025-05-14T00:00:00"/>
    <s v="Q2-2023"/>
    <s v="Asia → China → Shenzhen"/>
    <s v="High"/>
    <x v="4"/>
    <x v="0"/>
    <x v="4"/>
  </r>
  <r>
    <s v="ORD-2023-184577"/>
    <x v="107"/>
    <d v="2023-06-03T00:00:00"/>
    <n v="17"/>
    <s v="Asia"/>
    <x v="2"/>
    <s v="Beijing"/>
    <s v="Non-Profit"/>
    <s v="Distributor"/>
    <x v="3"/>
    <x v="3"/>
    <x v="113"/>
    <n v="979.59"/>
    <n v="2210.94"/>
    <n v="2210.94"/>
    <n v="0.15"/>
    <n v="11"/>
    <x v="113"/>
    <n v="10775.49"/>
    <n v="9896.7990000000009"/>
    <n v="0.47874712858358359"/>
    <d v="2025-04-28T00:00:00"/>
    <s v="Q2-2023"/>
    <s v="Asia → China → Beijing"/>
    <s v="High"/>
    <x v="4"/>
    <x v="0"/>
    <x v="4"/>
  </r>
  <r>
    <s v="ORD-2023-603650"/>
    <x v="4"/>
    <d v="2023-06-10T00:00:00"/>
    <n v="18"/>
    <s v="Asia"/>
    <x v="2"/>
    <s v="Shanghai"/>
    <s v="Corporate"/>
    <s v="Distributor"/>
    <x v="6"/>
    <x v="1"/>
    <x v="114"/>
    <n v="54.62"/>
    <n v="48.94"/>
    <n v="48.94"/>
    <n v="0.14799999999999999"/>
    <n v="16"/>
    <x v="114"/>
    <n v="873.92"/>
    <n v="-206.76991999999996"/>
    <n v="-0.3099301434543783"/>
    <d v="2025-04-28T00:00:00"/>
    <s v="Q2-2023"/>
    <s v="Asia → China → Shanghai"/>
    <s v="Low"/>
    <x v="4"/>
    <x v="0"/>
    <x v="4"/>
  </r>
  <r>
    <s v="ORD-2023-427304"/>
    <x v="108"/>
    <d v="2023-06-19T00:00:00"/>
    <n v="10"/>
    <s v="Asia"/>
    <x v="2"/>
    <s v="Beijing"/>
    <s v="Enterprise"/>
    <s v="Retail"/>
    <x v="8"/>
    <x v="0"/>
    <x v="115"/>
    <n v="339.61"/>
    <n v="621.02"/>
    <n v="621.02"/>
    <n v="7.0999999999999994E-2"/>
    <n v="10"/>
    <x v="115"/>
    <n v="3396.1000000000004"/>
    <n v="2373.1758"/>
    <n v="0.41134726129750981"/>
    <d v="2025-04-11T00:00:00"/>
    <s v="Q2-2023"/>
    <s v="Asia → China → Beijing"/>
    <s v="Low"/>
    <x v="5"/>
    <x v="0"/>
    <x v="5"/>
  </r>
  <r>
    <s v="ORD-2023-885216"/>
    <x v="67"/>
    <d v="2023-08-03T00:00:00"/>
    <n v="1"/>
    <s v="Asia"/>
    <x v="2"/>
    <s v="Shanghai"/>
    <s v="Non-Profit"/>
    <s v="Direct"/>
    <x v="9"/>
    <x v="4"/>
    <x v="116"/>
    <n v="1021.97"/>
    <n v="2296.25"/>
    <n v="2296.25"/>
    <n v="0.161"/>
    <n v="26"/>
    <x v="116"/>
    <n v="26571.22"/>
    <n v="23519.177499999998"/>
    <n v="0.46953465482081669"/>
    <d v="2025-02-15T00:00:00"/>
    <s v="Q3-2023"/>
    <s v="Asia → China → Shanghai"/>
    <s v="High"/>
    <x v="7"/>
    <x v="0"/>
    <x v="7"/>
  </r>
  <r>
    <s v="ORD-2023-548934"/>
    <x v="11"/>
    <d v="2023-08-30T00:00:00"/>
    <n v="27"/>
    <s v="Asia"/>
    <x v="2"/>
    <s v="Shanghai"/>
    <s v="Consumer"/>
    <s v="Distributor"/>
    <x v="1"/>
    <x v="0"/>
    <x v="117"/>
    <n v="226.04"/>
    <n v="545.72"/>
    <n v="545.72"/>
    <n v="0.151"/>
    <n v="11"/>
    <x v="117"/>
    <n v="2486.44"/>
    <n v="2610.03908"/>
    <n v="0.51212592831834014"/>
    <d v="2025-02-12T00:00:00"/>
    <s v="Q3-2023"/>
    <s v="Asia → China → Shanghai"/>
    <s v="Low"/>
    <x v="7"/>
    <x v="0"/>
    <x v="7"/>
  </r>
  <r>
    <s v="ORD-2023-883066"/>
    <x v="109"/>
    <d v="2023-09-06T00:00:00"/>
    <n v="25"/>
    <s v="Asia"/>
    <x v="2"/>
    <s v="Shanghai"/>
    <s v="Small Business"/>
    <s v="Retail"/>
    <x v="7"/>
    <x v="1"/>
    <x v="118"/>
    <n v="950.77"/>
    <n v="694.78"/>
    <n v="694.78"/>
    <n v="8.4000000000000005E-2"/>
    <n v="14"/>
    <x v="118"/>
    <n v="13310.779999999999"/>
    <n v="-4400.9212799999987"/>
    <n v="-0.49393839097821279"/>
    <d v="2025-02-07T00:00:00"/>
    <s v="Q3-2023"/>
    <s v="Asia → China → Shanghai"/>
    <s v="Low"/>
    <x v="7"/>
    <x v="0"/>
    <x v="7"/>
  </r>
  <r>
    <s v="ORD-2023-619385"/>
    <x v="110"/>
    <d v="2023-10-03T00:00:00"/>
    <n v="3"/>
    <s v="Asia"/>
    <x v="2"/>
    <s v="Beijing"/>
    <s v="Non-Profit"/>
    <s v="Retail"/>
    <x v="9"/>
    <x v="6"/>
    <x v="119"/>
    <n v="1019.36"/>
    <n v="972.91"/>
    <n v="972.91"/>
    <n v="0.14699999999999999"/>
    <n v="17"/>
    <x v="119"/>
    <n v="17329.12"/>
    <n v="-3220.9520899999989"/>
    <n v="-0.22830406545678819"/>
    <d v="2024-12-10T00:00:00"/>
    <s v="Q3-2023"/>
    <s v="Asia → China → Beijing"/>
    <s v="Medium"/>
    <x v="8"/>
    <x v="0"/>
    <x v="8"/>
  </r>
  <r>
    <s v="ORD-2023-166668"/>
    <x v="111"/>
    <d v="2023-10-31T00:00:00"/>
    <n v="26"/>
    <s v="Asia"/>
    <x v="2"/>
    <s v="Shanghai"/>
    <s v="Consumer"/>
    <m/>
    <x v="9"/>
    <x v="3"/>
    <x v="120"/>
    <n v="649.91"/>
    <n v="1360.12"/>
    <n v="1360.12"/>
    <n v="0.19400000000000001"/>
    <n v="9"/>
    <x v="120"/>
    <n v="5849.19"/>
    <n v="4017.1204799999987"/>
    <n v="0.40715528749506769"/>
    <d v="2024-12-27T00:00:00"/>
    <s v="Q4-2023"/>
    <s v="Asia → China → Shanghai"/>
    <s v="Medium"/>
    <x v="9"/>
    <x v="0"/>
    <x v="9"/>
  </r>
  <r>
    <s v="ORD-2023-368449"/>
    <x v="112"/>
    <d v="2023-10-26T00:00:00"/>
    <n v="17"/>
    <s v="Asia"/>
    <x v="2"/>
    <s v="Shanghai"/>
    <s v="Consumer"/>
    <s v="Marketplace"/>
    <x v="5"/>
    <x v="1"/>
    <x v="121"/>
    <n v="1132.03"/>
    <n v="2137.21"/>
    <n v="2137.21"/>
    <n v="0.35699999999999998"/>
    <n v="35"/>
    <x v="121"/>
    <n v="39621.049999999996"/>
    <n v="8476.8610500000068"/>
    <n v="0.17624177152284051"/>
    <d v="2024-12-05T00:00:00"/>
    <s v="Q4-2023"/>
    <s v="Asia → China → Shanghai"/>
    <s v="High"/>
    <x v="9"/>
    <x v="0"/>
    <x v="9"/>
  </r>
  <r>
    <s v="ORD-2023-925146"/>
    <x v="113"/>
    <d v="2023-11-13T00:00:00"/>
    <n v="29"/>
    <s v="Asia"/>
    <x v="2"/>
    <s v="Shenzhen"/>
    <s v="Non-Profit"/>
    <s v="Distributor"/>
    <x v="9"/>
    <x v="3"/>
    <x v="122"/>
    <n v="986.44"/>
    <n v="790.61"/>
    <n v="790.61"/>
    <n v="7.1999999999999995E-2"/>
    <n v="6"/>
    <x v="122"/>
    <n v="5918.64"/>
    <n v="-1516.5235200000006"/>
    <n v="-0.34449872621271499"/>
    <d v="2024-11-21T00:00:00"/>
    <s v="Q4-2023"/>
    <s v="Asia → China → Shenzhen"/>
    <s v="Low"/>
    <x v="9"/>
    <x v="0"/>
    <x v="9"/>
  </r>
  <r>
    <s v="ORD-2023-674887"/>
    <x v="114"/>
    <d v="2023-12-19T00:00:00"/>
    <n v="3"/>
    <s v="Asia"/>
    <x v="2"/>
    <s v="Beijing"/>
    <s v="Education"/>
    <s v="Retail"/>
    <x v="4"/>
    <x v="5"/>
    <x v="123"/>
    <n v="1415.05"/>
    <n v="1972.38"/>
    <n v="1972.38"/>
    <n v="0"/>
    <n v="12"/>
    <x v="123"/>
    <n v="16980.599999999999"/>
    <n v="6687.9600000000028"/>
    <n v="0.28256725377462771"/>
    <d v="2024-10-16T00:00:00"/>
    <s v="Q4-2023"/>
    <s v="Asia → China → Beijing"/>
    <s v="High"/>
    <x v="11"/>
    <x v="0"/>
    <x v="11"/>
  </r>
  <r>
    <s v="ORD-2024-760799"/>
    <x v="115"/>
    <d v="2024-02-19T00:00:00"/>
    <n v="16"/>
    <s v="Asia"/>
    <x v="2"/>
    <s v="Shenzhen"/>
    <s v="Small Business"/>
    <s v="Online"/>
    <x v="15"/>
    <x v="6"/>
    <x v="124"/>
    <n v="993.75"/>
    <n v="1310.29"/>
    <n v="1310.29"/>
    <n v="0.215"/>
    <n v="19"/>
    <x v="124"/>
    <n v="18881.25"/>
    <n v="661.72535000000062"/>
    <n v="3.3860010471742245E-2"/>
    <d v="2024-08-19T00:00:00"/>
    <s v="Q1-2024"/>
    <s v="Asia → China → Shenzhen"/>
    <s v="Medium"/>
    <x v="13"/>
    <x v="0"/>
    <x v="13"/>
  </r>
  <r>
    <s v="ORD-2024-232632"/>
    <x v="116"/>
    <d v="2024-02-14T00:00:00"/>
    <n v="0"/>
    <s v="Asia"/>
    <x v="2"/>
    <s v="Beijing"/>
    <s v="Corporate"/>
    <s v="Distributor"/>
    <x v="11"/>
    <x v="5"/>
    <x v="125"/>
    <n v="65.930000000000007"/>
    <n v="84.9"/>
    <n v="84.9"/>
    <n v="0.25900000000000001"/>
    <n v="23"/>
    <x v="125"/>
    <n v="1516.39"/>
    <n v="-69.439300000000003"/>
    <n v="-4.7990093926489688E-2"/>
    <d v="2024-08-22T00:00:00"/>
    <s v="Q1-2024"/>
    <s v="Asia → China → Beijing"/>
    <s v="Low"/>
    <x v="13"/>
    <x v="0"/>
    <x v="13"/>
  </r>
  <r>
    <s v="ORD-2024-468655"/>
    <x v="117"/>
    <d v="2024-03-06T00:00:00"/>
    <n v="16"/>
    <s v="Asia"/>
    <x v="2"/>
    <s v="Beijing"/>
    <s v="Education"/>
    <s v="Marketplace"/>
    <x v="13"/>
    <x v="3"/>
    <x v="126"/>
    <n v="1477.84"/>
    <n v="3197.47"/>
    <n v="3197.47"/>
    <n v="0.24299999999999999"/>
    <n v="24"/>
    <x v="126"/>
    <n v="35468.159999999996"/>
    <n v="22623.474960000007"/>
    <n v="0.38944462443823091"/>
    <d v="2024-08-21T00:00:00"/>
    <s v="Q1-2024"/>
    <s v="Asia → China → Beijing"/>
    <s v="High"/>
    <x v="13"/>
    <x v="0"/>
    <x v="13"/>
  </r>
  <r>
    <s v="ORD-2024-868223"/>
    <x v="118"/>
    <d v="2024-03-19T00:00:00"/>
    <n v="16"/>
    <s v="Asia"/>
    <x v="2"/>
    <s v="Beijing"/>
    <s v="Consumer"/>
    <s v="Distributor"/>
    <x v="2"/>
    <x v="2"/>
    <x v="127"/>
    <n v="988.83"/>
    <n v="1206.04"/>
    <n v="1206.04"/>
    <n v="6.3E-2"/>
    <n v="34"/>
    <x v="127"/>
    <n v="33620.22"/>
    <n v="4801.8023200000025"/>
    <n v="0.12497526236406606"/>
    <d v="2024-07-24T00:00:00"/>
    <s v="Q1-2024"/>
    <s v="Asia → China → Beijing"/>
    <s v="Medium"/>
    <x v="29"/>
    <x v="0"/>
    <x v="29"/>
  </r>
  <r>
    <s v="ORD-2024-343877"/>
    <x v="119"/>
    <d v="2024-03-26T00:00:00"/>
    <n v="17"/>
    <s v="Asia"/>
    <x v="2"/>
    <s v="Shenzhen"/>
    <s v="Enterprise"/>
    <s v="Online"/>
    <x v="12"/>
    <x v="0"/>
    <x v="128"/>
    <n v="1029.67"/>
    <n v="1118.43"/>
    <n v="1118.43"/>
    <n v="0.27200000000000002"/>
    <n v="9"/>
    <x v="128"/>
    <n v="9267.0300000000007"/>
    <n v="-1939.0766400000002"/>
    <n v="-0.26461367106736061"/>
    <d v="2024-07-29T00:00:00"/>
    <s v="Q1-2024"/>
    <s v="Asia → China → Shenzhen"/>
    <s v="Medium"/>
    <x v="29"/>
    <x v="0"/>
    <x v="29"/>
  </r>
  <r>
    <s v="ORD-2024-594592"/>
    <x v="120"/>
    <d v="2024-04-25T00:00:00"/>
    <n v="19"/>
    <s v="Asia"/>
    <x v="2"/>
    <s v="Shanghai"/>
    <s v="Corporate"/>
    <s v="Retail"/>
    <x v="12"/>
    <x v="1"/>
    <x v="129"/>
    <n v="1366.48"/>
    <n v="1678.14"/>
    <n v="1678.14"/>
    <n v="0.154"/>
    <n v="10"/>
    <x v="129"/>
    <n v="13664.8"/>
    <n v="532.26440000000184"/>
    <n v="3.7491159087790132E-2"/>
    <d v="2024-06-08T00:00:00"/>
    <s v="Q2-2024"/>
    <s v="Asia → China → Shanghai"/>
    <s v="High"/>
    <x v="14"/>
    <x v="0"/>
    <x v="14"/>
  </r>
  <r>
    <s v="ORD-2024-134084"/>
    <x v="121"/>
    <d v="2024-06-16T00:00:00"/>
    <n v="12"/>
    <s v="Asia"/>
    <x v="2"/>
    <s v="Shanghai"/>
    <s v="Corporate"/>
    <s v="Retail"/>
    <x v="9"/>
    <x v="3"/>
    <x v="130"/>
    <n v="918.42"/>
    <n v="1511.71"/>
    <n v="1511.71"/>
    <n v="0.02"/>
    <n v="8"/>
    <x v="130"/>
    <n v="7347.36"/>
    <n v="4504.4463999999998"/>
    <n v="0.38006412254590999"/>
    <d v="2024-04-24T00:00:00"/>
    <s v="Q2-2024"/>
    <s v="Asia → China → Shanghai"/>
    <s v="Medium"/>
    <x v="16"/>
    <x v="0"/>
    <x v="16"/>
  </r>
  <r>
    <s v="ORD-2024-626925"/>
    <x v="122"/>
    <d v="2024-06-09T00:00:00"/>
    <n v="2"/>
    <s v="Asia"/>
    <x v="2"/>
    <s v="Shanghai"/>
    <s v="Corporate"/>
    <s v="Retail"/>
    <x v="13"/>
    <x v="0"/>
    <x v="131"/>
    <n v="1370.28"/>
    <n v="2209.66"/>
    <n v="2209.66"/>
    <n v="0.13300000000000001"/>
    <n v="16"/>
    <x v="131"/>
    <n v="21924.48"/>
    <n v="8727.9235199999966"/>
    <n v="0.28473863442079589"/>
    <d v="2024-04-16T00:00:00"/>
    <s v="Q2-2024"/>
    <s v="Asia → China → Shanghai"/>
    <s v="High"/>
    <x v="16"/>
    <x v="0"/>
    <x v="16"/>
  </r>
  <r>
    <s v="ORD-2024-909942"/>
    <x v="123"/>
    <d v="2024-07-07T00:00:00"/>
    <n v="28"/>
    <s v="Asia"/>
    <x v="2"/>
    <s v="Shenzhen"/>
    <s v="Corporate"/>
    <s v="Online"/>
    <x v="9"/>
    <x v="1"/>
    <x v="132"/>
    <n v="550.22"/>
    <n v="1025.05"/>
    <n v="1025.05"/>
    <n v="0"/>
    <n v="27"/>
    <x v="132"/>
    <n v="14855.94"/>
    <n v="12820.409999999998"/>
    <n v="0.46322618408858102"/>
    <d v="2024-04-24T00:00:00"/>
    <s v="Q2-2024"/>
    <s v="Asia → China → Shenzhen"/>
    <s v="Medium"/>
    <x v="16"/>
    <x v="0"/>
    <x v="16"/>
  </r>
  <r>
    <s v="ORD-2024-468615"/>
    <x v="124"/>
    <d v="2024-07-12T00:00:00"/>
    <n v="3"/>
    <s v="Asia"/>
    <x v="2"/>
    <s v="Shanghai"/>
    <s v="Small Business"/>
    <s v="Retail"/>
    <x v="0"/>
    <x v="5"/>
    <x v="133"/>
    <n v="748.39"/>
    <n v="979.42"/>
    <n v="979.42"/>
    <n v="0"/>
    <n v="23"/>
    <x v="133"/>
    <n v="17212.97"/>
    <n v="5313.6899999999987"/>
    <n v="0.23588450307324738"/>
    <d v="2024-03-07T00:00:00"/>
    <s v="Q3-2024"/>
    <s v="Asia → China → Shanghai"/>
    <s v="Medium"/>
    <x v="17"/>
    <x v="0"/>
    <x v="17"/>
  </r>
  <r>
    <s v="ORD-2024-571797"/>
    <x v="125"/>
    <d v="2024-07-31T00:00:00"/>
    <n v="20"/>
    <s v="Asia"/>
    <x v="2"/>
    <s v="Shenzhen"/>
    <s v="Consumer"/>
    <s v="Online"/>
    <x v="2"/>
    <x v="2"/>
    <x v="134"/>
    <n v="647.26"/>
    <n v="1374.72"/>
    <n v="1374.72"/>
    <n v="6.6000000000000003E-2"/>
    <n v="22"/>
    <x v="134"/>
    <n v="14239.72"/>
    <n v="14008.02656"/>
    <n v="0.49589890401508901"/>
    <d v="2024-02-29T00:00:00"/>
    <s v="Q3-2024"/>
    <s v="Asia → China → Shenzhen"/>
    <s v="Medium"/>
    <x v="17"/>
    <x v="0"/>
    <x v="17"/>
  </r>
  <r>
    <s v="ORD-2024-581530"/>
    <x v="126"/>
    <d v="2024-09-18T00:00:00"/>
    <n v="11"/>
    <s v="Asia"/>
    <x v="2"/>
    <s v="Beijing"/>
    <s v="Consumer"/>
    <s v="Distributor"/>
    <x v="13"/>
    <x v="4"/>
    <x v="135"/>
    <n v="181.74"/>
    <n v="190.84"/>
    <n v="190.84"/>
    <n v="0.214"/>
    <n v="13"/>
    <x v="135"/>
    <n v="2362.62"/>
    <n v="-412.61687999999981"/>
    <n v="-0.21159806144310159"/>
    <d v="2024-01-11T00:00:00"/>
    <s v="Q3-2024"/>
    <s v="Asia → China → Beijing"/>
    <s v="Low"/>
    <x v="19"/>
    <x v="0"/>
    <x v="19"/>
  </r>
  <r>
    <s v="ORD-2024-988736"/>
    <x v="34"/>
    <d v="2024-10-01T00:00:00"/>
    <n v="22"/>
    <s v="Asia"/>
    <x v="2"/>
    <s v="Shenzhen"/>
    <s v="Consumer"/>
    <s v="Direct"/>
    <x v="11"/>
    <x v="3"/>
    <x v="136"/>
    <n v="1166.18"/>
    <n v="1335.02"/>
    <n v="1335.02"/>
    <n v="0.128"/>
    <n v="6"/>
    <x v="136"/>
    <n v="6997.08"/>
    <n v="-12.25536000000011"/>
    <n v="-1.7545694604582242E-3"/>
    <d v="2024-01-28T00:00:00"/>
    <s v="Q3-2024"/>
    <s v="Asia → China → Shenzhen"/>
    <s v="Medium"/>
    <x v="19"/>
    <x v="0"/>
    <x v="19"/>
  </r>
  <r>
    <s v="ORD-2024-771210"/>
    <x v="127"/>
    <d v="2024-10-05T00:00:00"/>
    <n v="21"/>
    <s v="Asia"/>
    <x v="2"/>
    <s v="Shanghai"/>
    <s v="Small Business"/>
    <s v="Online"/>
    <x v="15"/>
    <x v="6"/>
    <x v="137"/>
    <n v="1405.56"/>
    <n v="2968.87"/>
    <n v="2968.87"/>
    <n v="0.16900000000000001"/>
    <n v="5"/>
    <x v="137"/>
    <n v="7027.7999999999993"/>
    <n v="5307.8548499999997"/>
    <n v="0.4302856163327235"/>
    <d v="2024-01-01T00:00:00"/>
    <s v="Q3-2024"/>
    <s v="Asia → China → Shanghai"/>
    <s v="High"/>
    <x v="19"/>
    <x v="0"/>
    <x v="19"/>
  </r>
  <r>
    <s v="ORD-2024-237478"/>
    <x v="128"/>
    <d v="2024-10-11T00:00:00"/>
    <n v="8"/>
    <s v="Asia"/>
    <x v="2"/>
    <s v="Beijing"/>
    <s v="Enterprise"/>
    <s v="Direct"/>
    <x v="7"/>
    <x v="2"/>
    <x v="138"/>
    <n v="1132.6099999999999"/>
    <n v="2206.63"/>
    <n v="2206.63"/>
    <n v="6.3E-2"/>
    <n v="20"/>
    <x v="138"/>
    <n v="22652.199999999997"/>
    <n v="18700.046200000012"/>
    <n v="0.45221355351671338"/>
    <d v="2024-01-13T00:00:00"/>
    <s v="Q4-2024"/>
    <s v="Asia → China → Beijing"/>
    <s v="High"/>
    <x v="32"/>
    <x v="0"/>
    <x v="32"/>
  </r>
  <r>
    <s v="ORD-2024-720756"/>
    <x v="129"/>
    <d v="2024-11-09T00:00:00"/>
    <n v="29"/>
    <s v="Asia"/>
    <x v="2"/>
    <s v="Shanghai"/>
    <s v="Non-Profit"/>
    <s v="Online"/>
    <x v="8"/>
    <x v="3"/>
    <x v="139"/>
    <n v="391.64"/>
    <n v="504.76"/>
    <n v="504.76"/>
    <n v="4.0000000000000001E-3"/>
    <n v="13"/>
    <x v="139"/>
    <n v="5091.32"/>
    <n v="1444.3124800000005"/>
    <n v="0.22099046793402319"/>
    <d v="2024-01-08T00:00:00"/>
    <s v="Q4-2024"/>
    <s v="Asia → China → Shanghai"/>
    <s v="Low"/>
    <x v="32"/>
    <x v="0"/>
    <x v="32"/>
  </r>
  <r>
    <s v="ORD-2024-732543"/>
    <x v="130"/>
    <d v="2024-10-28T00:00:00"/>
    <n v="4"/>
    <s v="Asia"/>
    <x v="2"/>
    <s v="Shanghai"/>
    <s v="Small Business"/>
    <s v="Distributor"/>
    <x v="14"/>
    <x v="4"/>
    <x v="140"/>
    <n v="1331.77"/>
    <n v="2606.11"/>
    <n v="2606.11"/>
    <n v="0.02"/>
    <n v="6"/>
    <x v="140"/>
    <n v="7990.62"/>
    <n v="7333.3067999999994"/>
    <n v="0.47855271665745619"/>
    <d v="2023-12-19T00:00:00"/>
    <s v="Q4-2024"/>
    <s v="Asia → China → Shanghai"/>
    <s v="High"/>
    <x v="32"/>
    <x v="0"/>
    <x v="32"/>
  </r>
  <r>
    <s v="ORD-2024-357368"/>
    <x v="131"/>
    <d v="2024-11-24T00:00:00"/>
    <n v="25"/>
    <s v="Asia"/>
    <x v="2"/>
    <s v="Shenzhen"/>
    <s v="Small Business"/>
    <s v="Online"/>
    <x v="6"/>
    <x v="1"/>
    <x v="141"/>
    <n v="811.05"/>
    <n v="1217.71"/>
    <n v="1217.71"/>
    <n v="7.1999999999999995E-2"/>
    <n v="5"/>
    <x v="141"/>
    <n v="4055.25"/>
    <n v="1594.9244000000008"/>
    <n v="0.28227879125288602"/>
    <d v="2023-12-16T00:00:00"/>
    <s v="Q4-2024"/>
    <s v="Asia → China → Shenzhen"/>
    <s v="Medium"/>
    <x v="32"/>
    <x v="0"/>
    <x v="32"/>
  </r>
  <r>
    <s v="ORD-2024-961756"/>
    <x v="132"/>
    <d v="2024-12-07T00:00:00"/>
    <n v="12"/>
    <s v="Asia"/>
    <x v="2"/>
    <s v="Shanghai"/>
    <s v="Corporate"/>
    <s v="Distributor"/>
    <x v="4"/>
    <x v="5"/>
    <x v="142"/>
    <n v="769.9"/>
    <n v="814.36"/>
    <n v="814.36"/>
    <n v="0"/>
    <n v="5"/>
    <x v="142"/>
    <n v="3849.5"/>
    <n v="222.30000000000018"/>
    <n v="5.4595019401738831E-2"/>
    <d v="2023-10-22T00:00:00"/>
    <s v="Q4-2024"/>
    <s v="Asia → China → Shanghai"/>
    <s v="Low"/>
    <x v="20"/>
    <x v="0"/>
    <x v="20"/>
  </r>
  <r>
    <s v="ORD-2024-836421"/>
    <x v="133"/>
    <d v="2025-01-12T00:00:00"/>
    <n v="29"/>
    <s v="Asia"/>
    <x v="2"/>
    <s v="Shenzhen"/>
    <s v="Education"/>
    <s v="Online"/>
    <x v="9"/>
    <x v="1"/>
    <x v="143"/>
    <n v="1412.15"/>
    <n v="1631.04"/>
    <n v="1631.04"/>
    <n v="8.9999999999999993E-3"/>
    <n v="6"/>
    <x v="143"/>
    <n v="8472.9000000000015"/>
    <n v="1225.2638399999978"/>
    <n v="0.12633977526203535"/>
    <d v="2023-10-07T00:00:00"/>
    <s v="Q4-2024"/>
    <s v="Asia → China → Shenzhen"/>
    <s v="Medium"/>
    <x v="30"/>
    <x v="0"/>
    <x v="30"/>
  </r>
  <r>
    <s v="ORD-2024-800947"/>
    <x v="134"/>
    <d v="2024-12-20T00:00:00"/>
    <n v="5"/>
    <s v="Asia"/>
    <x v="2"/>
    <s v="Shenzhen"/>
    <s v="Small Business"/>
    <s v="Direct"/>
    <x v="9"/>
    <x v="4"/>
    <x v="144"/>
    <n v="717.55"/>
    <n v="546.42999999999995"/>
    <n v="546.42999999999995"/>
    <n v="4.7E-2"/>
    <n v="18"/>
    <x v="144"/>
    <n v="12915.9"/>
    <n v="-3542.4397800000006"/>
    <n v="-0.37792231437026369"/>
    <d v="2023-10-21T00:00:00"/>
    <s v="Q4-2024"/>
    <s v="Asia → China → Shenzhen"/>
    <s v="Low"/>
    <x v="30"/>
    <x v="0"/>
    <x v="30"/>
  </r>
  <r>
    <s v="ORD-2024-651852"/>
    <x v="135"/>
    <d v="2025-01-08T00:00:00"/>
    <n v="11"/>
    <s v="Asia"/>
    <x v="2"/>
    <s v="Shenzhen"/>
    <s v="Enterprise"/>
    <s v="Online"/>
    <x v="12"/>
    <x v="6"/>
    <x v="145"/>
    <n v="1201.31"/>
    <n v="2764.65"/>
    <n v="2764.65"/>
    <n v="0"/>
    <n v="21"/>
    <x v="145"/>
    <n v="25227.51"/>
    <n v="32830.14"/>
    <n v="0.56547483406579491"/>
    <d v="2023-09-17T00:00:00"/>
    <s v="Q4-2024"/>
    <s v="Asia → China → Shenzhen"/>
    <s v="High"/>
    <x v="30"/>
    <x v="0"/>
    <x v="30"/>
  </r>
  <r>
    <s v="ORD-2025-354346"/>
    <x v="136"/>
    <d v="2025-01-15T00:00:00"/>
    <n v="6"/>
    <s v="Asia"/>
    <x v="2"/>
    <s v="Beijing"/>
    <s v="Education"/>
    <s v="Online"/>
    <x v="5"/>
    <x v="2"/>
    <x v="146"/>
    <n v="304.77999999999997"/>
    <n v="537.27"/>
    <n v="537.27"/>
    <n v="0.187"/>
    <n v="8"/>
    <x v="146"/>
    <n v="2438.2399999999998"/>
    <n v="1056.16408"/>
    <n v="0.3022444044307549"/>
    <d v="2023-08-29T00:00:00"/>
    <s v="Q1-2025"/>
    <s v="Asia → China → Beijing"/>
    <s v="Low"/>
    <x v="21"/>
    <x v="0"/>
    <x v="21"/>
  </r>
  <r>
    <s v="ORD-2025-328504"/>
    <x v="137"/>
    <d v="2025-02-15T00:00:00"/>
    <n v="19"/>
    <s v="Asia"/>
    <x v="2"/>
    <s v="Shenzhen"/>
    <s v="Non-Profit"/>
    <s v="Direct"/>
    <x v="11"/>
    <x v="2"/>
    <x v="147"/>
    <n v="1253.22"/>
    <n v="3104.71"/>
    <n v="3104.71"/>
    <n v="0"/>
    <n v="17"/>
    <x v="147"/>
    <n v="21304.74"/>
    <n v="31475.329999999998"/>
    <n v="0.59634877331538205"/>
    <d v="2023-08-12T00:00:00"/>
    <s v="Q1-2025"/>
    <s v="Asia → China → Shenzhen"/>
    <s v="High"/>
    <x v="21"/>
    <x v="0"/>
    <x v="21"/>
  </r>
  <r>
    <s v="ORD-2025-222035"/>
    <x v="138"/>
    <d v="2025-04-08T00:00:00"/>
    <n v="25"/>
    <s v="Asia"/>
    <x v="2"/>
    <s v="Shanghai"/>
    <s v="Corporate"/>
    <s v="Distributor"/>
    <x v="0"/>
    <x v="3"/>
    <x v="148"/>
    <n v="80.59"/>
    <n v="157.82"/>
    <n v="157.82"/>
    <n v="0.217"/>
    <n v="6"/>
    <x v="148"/>
    <n v="483.54"/>
    <n v="257.89835999999997"/>
    <n v="0.34783519967863541"/>
    <d v="2023-07-18T00:00:00"/>
    <s v="Q1-2025"/>
    <s v="Asia → China → Shanghai"/>
    <s v="Low"/>
    <x v="23"/>
    <x v="0"/>
    <x v="23"/>
  </r>
  <r>
    <s v="ORD-2025-331237"/>
    <x v="139"/>
    <d v="2025-03-25T00:00:00"/>
    <n v="1"/>
    <s v="Asia"/>
    <x v="2"/>
    <s v="Beijing"/>
    <s v="Non-Profit"/>
    <s v="Online"/>
    <x v="2"/>
    <x v="4"/>
    <x v="149"/>
    <n v="1133.03"/>
    <n v="1921.51"/>
    <n v="1921.51"/>
    <n v="0.10100000000000001"/>
    <n v="5"/>
    <x v="149"/>
    <n v="5665.15"/>
    <n v="2972.0374499999998"/>
    <n v="0.3440978289755654"/>
    <d v="2023-06-23T00:00:00"/>
    <s v="Q1-2025"/>
    <s v="Asia → China → Beijing"/>
    <s v="High"/>
    <x v="23"/>
    <x v="0"/>
    <x v="23"/>
  </r>
  <r>
    <s v="ORD-2025-509940"/>
    <x v="140"/>
    <d v="2025-05-27T00:00:00"/>
    <n v="11"/>
    <s v="Asia"/>
    <x v="2"/>
    <s v="Beijing"/>
    <s v="Enterprise"/>
    <s v="Online"/>
    <x v="8"/>
    <x v="2"/>
    <x v="150"/>
    <n v="918.12"/>
    <n v="1337.69"/>
    <n v="1337.69"/>
    <n v="9.5000000000000001E-2"/>
    <n v="8"/>
    <x v="150"/>
    <n v="7344.96"/>
    <n v="2339.9156000000012"/>
    <n v="0.24160512707050164"/>
    <d v="2023-05-23T00:00:00"/>
    <s v="Q2-2025"/>
    <s v="Asia → China → Beijing"/>
    <s v="Medium"/>
    <x v="25"/>
    <x v="0"/>
    <x v="25"/>
  </r>
  <r>
    <s v="ORD-2025-718992"/>
    <x v="94"/>
    <d v="2025-07-10T00:00:00"/>
    <n v="16"/>
    <s v="Asia"/>
    <x v="2"/>
    <s v="Shanghai"/>
    <s v="Enterprise"/>
    <s v="Direct"/>
    <x v="1"/>
    <x v="1"/>
    <x v="151"/>
    <n v="757.19"/>
    <n v="1735.41"/>
    <n v="1735.41"/>
    <n v="0.13600000000000001"/>
    <n v="8"/>
    <x v="151"/>
    <n v="6057.52"/>
    <n v="5937.6339200000002"/>
    <n v="0.4950027285685718"/>
    <d v="2023-04-13T00:00:00"/>
    <s v="Q2-2025"/>
    <s v="Asia → China → Shanghai"/>
    <s v="High"/>
    <x v="31"/>
    <x v="0"/>
    <x v="31"/>
  </r>
  <r>
    <s v="ORD-2025-188059"/>
    <x v="141"/>
    <d v="2025-07-11T00:00:00"/>
    <n v="14"/>
    <s v="Asia"/>
    <x v="2"/>
    <s v="Shanghai"/>
    <s v="Small Business"/>
    <s v="Marketplace"/>
    <x v="11"/>
    <x v="4"/>
    <x v="152"/>
    <n v="1227.7"/>
    <n v="2197.23"/>
    <n v="2197.23"/>
    <n v="9.9000000000000005E-2"/>
    <n v="22"/>
    <x v="152"/>
    <n v="27009.4"/>
    <n v="16544.093059999999"/>
    <n v="0.37985685871873898"/>
    <d v="2023-04-12T00:00:00"/>
    <s v="Q2-2025"/>
    <s v="Asia → China → Shanghai"/>
    <s v="High"/>
    <x v="31"/>
    <x v="0"/>
    <x v="31"/>
  </r>
  <r>
    <s v="ORD-2025-779659"/>
    <x v="142"/>
    <d v="2025-07-23T00:00:00"/>
    <n v="20"/>
    <s v="Asia"/>
    <x v="2"/>
    <s v="Beijing"/>
    <s v="Small Business"/>
    <s v="Online"/>
    <x v="3"/>
    <x v="1"/>
    <x v="153"/>
    <n v="647.36"/>
    <n v="1383.6"/>
    <n v="1383.6"/>
    <n v="7.3999999999999996E-2"/>
    <n v="12"/>
    <x v="153"/>
    <n v="7768.32"/>
    <n v="7606.243199999999"/>
    <n v="0.49472906000997802"/>
    <d v="2023-04-03T00:00:00"/>
    <s v="Q3-2025"/>
    <s v="Asia → China → Beijing"/>
    <s v="Medium"/>
    <x v="26"/>
    <x v="0"/>
    <x v="26"/>
  </r>
  <r>
    <s v="ORD-2025-541501"/>
    <x v="143"/>
    <d v="2025-08-18T00:00:00"/>
    <n v="27"/>
    <s v="Asia"/>
    <x v="2"/>
    <s v="Shenzhen"/>
    <s v="Non-Profit"/>
    <s v="Marketplace"/>
    <x v="3"/>
    <x v="4"/>
    <x v="154"/>
    <n v="547.32000000000005"/>
    <n v="419.17"/>
    <n v="419.17"/>
    <n v="9.1999999999999998E-2"/>
    <n v="14"/>
    <x v="154"/>
    <n v="7662.4800000000005"/>
    <n v="-2333.9909600000001"/>
    <n v="-0.43802116181137907"/>
    <d v="2023-03-14T00:00:00"/>
    <s v="Q3-2025"/>
    <s v="Asia → China → Shenzhen"/>
    <s v="Low"/>
    <x v="26"/>
    <x v="0"/>
    <x v="26"/>
  </r>
  <r>
    <s v="ORD-2025-418232"/>
    <x v="144"/>
    <d v="2025-08-21T00:00:00"/>
    <n v="20"/>
    <s v="Asia"/>
    <x v="2"/>
    <s v="Shanghai"/>
    <s v="Corporate"/>
    <s v="Direct"/>
    <x v="14"/>
    <x v="2"/>
    <x v="155"/>
    <n v="1220.4100000000001"/>
    <n v="2552.2199999999998"/>
    <n v="2552.2199999999998"/>
    <n v="0.18099999999999999"/>
    <n v="14"/>
    <x v="155"/>
    <n v="17085.740000000002"/>
    <n v="12178.014519999993"/>
    <n v="0.41614668793360271"/>
    <d v="2023-03-03T00:00:00"/>
    <s v="Q3-2025"/>
    <s v="Asia → China → Shanghai"/>
    <s v="High"/>
    <x v="27"/>
    <x v="0"/>
    <x v="27"/>
  </r>
  <r>
    <s v="ORD-2025-652467"/>
    <x v="145"/>
    <d v="2025-09-12T00:00:00"/>
    <n v="22"/>
    <s v="Asia"/>
    <x v="2"/>
    <s v="Shenzhen"/>
    <s v="Education"/>
    <s v="Retail"/>
    <x v="7"/>
    <x v="3"/>
    <x v="156"/>
    <n v="352.66"/>
    <n v="411.18"/>
    <n v="411.18"/>
    <n v="0.17299999999999999"/>
    <n v="13"/>
    <x v="156"/>
    <n v="4584.58"/>
    <n v="-163.98382000000038"/>
    <n v="-3.7095408248758066E-2"/>
    <d v="2023-02-15T00:00:00"/>
    <s v="Q3-2025"/>
    <s v="Asia → China → Shenzhen"/>
    <s v="Low"/>
    <x v="27"/>
    <x v="0"/>
    <x v="27"/>
  </r>
  <r>
    <s v="ORD-2023-884192"/>
    <x v="146"/>
    <d v="2023-01-29T00:00:00"/>
    <n v="19"/>
    <s v="Europe"/>
    <x v="3"/>
    <s v="Lyon"/>
    <s v="Non-Profit"/>
    <s v="Direct"/>
    <x v="0"/>
    <x v="6"/>
    <x v="157"/>
    <n v="401.66"/>
    <n v="772.09"/>
    <n v="772.09"/>
    <n v="8.8999999999999996E-2"/>
    <n v="14"/>
    <x v="157"/>
    <n v="5623.2400000000007"/>
    <n v="4223.99586"/>
    <n v="0.42895244107619046"/>
    <d v="2025-09-10T00:00:00"/>
    <s v="Q1-2023"/>
    <s v="Europe → France → Lyon"/>
    <s v="Low"/>
    <x v="0"/>
    <x v="0"/>
    <x v="0"/>
  </r>
  <r>
    <s v="ORD-2023-888245"/>
    <x v="147"/>
    <d v="2023-02-28T00:00:00"/>
    <n v="1"/>
    <s v="Europe"/>
    <x v="3"/>
    <s v="Marseille"/>
    <s v="Corporate"/>
    <s v="Retail"/>
    <x v="12"/>
    <x v="4"/>
    <x v="158"/>
    <n v="1299.81"/>
    <n v="3149.13"/>
    <n v="3149.13"/>
    <n v="0.10299999999999999"/>
    <n v="14"/>
    <x v="158"/>
    <n v="18197.34"/>
    <n v="21349.434539999998"/>
    <n v="0.53985273864511729"/>
    <d v="2025-08-07T00:00:00"/>
    <s v="Q1-2023"/>
    <s v="Europe → France → Marseille"/>
    <s v="High"/>
    <x v="1"/>
    <x v="0"/>
    <x v="1"/>
  </r>
  <r>
    <s v="ORD-2023-727290"/>
    <x v="148"/>
    <d v="2023-04-16T00:00:00"/>
    <n v="13"/>
    <s v="Europe"/>
    <x v="3"/>
    <s v="Marseille"/>
    <s v="Non-Profit"/>
    <s v="Marketplace"/>
    <x v="3"/>
    <x v="5"/>
    <x v="159"/>
    <n v="790.54"/>
    <n v="601.49"/>
    <n v="601.49"/>
    <n v="0"/>
    <n v="15"/>
    <x v="159"/>
    <n v="11858.099999999999"/>
    <n v="-2835.7499999999982"/>
    <n v="-0.31430281467688553"/>
    <d v="2025-07-16T00:00:00"/>
    <s v="Q2-2023"/>
    <s v="Europe → France → Marseille"/>
    <s v="Low"/>
    <x v="3"/>
    <x v="0"/>
    <x v="3"/>
  </r>
  <r>
    <s v="ORD-2023-867285"/>
    <x v="149"/>
    <d v="2023-04-17T00:00:00"/>
    <n v="5"/>
    <s v="Europe"/>
    <x v="3"/>
    <s v="Lyon"/>
    <s v="Enterprise"/>
    <s v="Direct"/>
    <x v="6"/>
    <x v="0"/>
    <x v="160"/>
    <n v="1087.81"/>
    <n v="2323.87"/>
    <n v="2323.87"/>
    <n v="9.4E-2"/>
    <n v="13"/>
    <x v="160"/>
    <n v="14141.529999999999"/>
    <n v="13229.010859999999"/>
    <n v="0.48333026839572651"/>
    <d v="2025-06-27T00:00:00"/>
    <s v="Q2-2023"/>
    <s v="Europe → France → Lyon"/>
    <s v="High"/>
    <x v="3"/>
    <x v="0"/>
    <x v="3"/>
  </r>
  <r>
    <s v="ORD-2023-867166"/>
    <x v="63"/>
    <d v="2023-04-20T00:00:00"/>
    <n v="7"/>
    <s v="Europe"/>
    <x v="3"/>
    <s v="Lyon"/>
    <s v="Small Business"/>
    <s v="Online"/>
    <x v="4"/>
    <x v="6"/>
    <x v="161"/>
    <n v="227.02"/>
    <n v="434.72"/>
    <n v="434.72"/>
    <n v="9.8000000000000004E-2"/>
    <n v="10"/>
    <x v="161"/>
    <n v="2270.2000000000003"/>
    <n v="1650.9744000000005"/>
    <n v="0.42104079838938052"/>
    <d v="2025-06-25T00:00:00"/>
    <s v="Q2-2023"/>
    <s v="Europe → France → Lyon"/>
    <s v="Low"/>
    <x v="3"/>
    <x v="0"/>
    <x v="3"/>
  </r>
  <r>
    <s v="ORD-2023-340056"/>
    <x v="150"/>
    <d v="2023-04-26T00:00:00"/>
    <n v="0"/>
    <s v="Europe"/>
    <x v="3"/>
    <s v="Marseille"/>
    <s v="Consumer"/>
    <s v="Direct"/>
    <x v="3"/>
    <x v="1"/>
    <x v="162"/>
    <n v="81.489999999999995"/>
    <n v="113.08"/>
    <n v="113.08"/>
    <n v="0.121"/>
    <n v="5"/>
    <x v="162"/>
    <n v="407.45"/>
    <n v="89.536600000000021"/>
    <n v="0.18015898215364362"/>
    <d v="2025-06-05T00:00:00"/>
    <s v="Q2-2023"/>
    <s v="Europe → France → Marseille"/>
    <s v="Low"/>
    <x v="3"/>
    <x v="0"/>
    <x v="3"/>
  </r>
  <r>
    <s v="ORD-2023-399631"/>
    <x v="65"/>
    <d v="2023-07-21T00:00:00"/>
    <n v="29"/>
    <s v="Europe"/>
    <x v="3"/>
    <s v="Lyon"/>
    <s v="Corporate"/>
    <s v="Retail"/>
    <x v="9"/>
    <x v="5"/>
    <x v="163"/>
    <n v="734.34"/>
    <n v="887.9"/>
    <n v="887.9"/>
    <n v="2.5000000000000001E-2"/>
    <n v="12"/>
    <x v="163"/>
    <n v="8812.08"/>
    <n v="1576.3499999999985"/>
    <n v="0.15174092716608753"/>
    <d v="2025-04-17T00:00:00"/>
    <s v="Q2-2023"/>
    <s v="Europe → France → Lyon"/>
    <s v="Medium"/>
    <x v="5"/>
    <x v="0"/>
    <x v="5"/>
  </r>
  <r>
    <s v="ORD-2023-215819"/>
    <x v="151"/>
    <d v="2023-07-11T00:00:00"/>
    <n v="10"/>
    <s v="Europe"/>
    <x v="3"/>
    <s v="Paris"/>
    <s v="Corporate"/>
    <s v="Direct"/>
    <x v="8"/>
    <x v="4"/>
    <x v="164"/>
    <n v="479.5"/>
    <n v="656.66"/>
    <n v="656.66"/>
    <n v="0.14899999999999999"/>
    <n v="14"/>
    <x v="164"/>
    <n v="6713"/>
    <n v="1110.4472399999995"/>
    <n v="0.14193835606412289"/>
    <d v="2025-03-21T00:00:00"/>
    <s v="Q3-2023"/>
    <s v="Europe → France → Paris"/>
    <s v="Low"/>
    <x v="6"/>
    <x v="0"/>
    <x v="6"/>
  </r>
  <r>
    <s v="ORD-2023-292714"/>
    <x v="152"/>
    <d v="2023-08-01T00:00:00"/>
    <n v="22"/>
    <s v="Europe"/>
    <x v="3"/>
    <s v="Marseille"/>
    <s v="Consumer"/>
    <s v="Marketplace"/>
    <x v="7"/>
    <x v="3"/>
    <x v="165"/>
    <n v="1303.56"/>
    <n v="1791.37"/>
    <n v="1791.37"/>
    <n v="0.126"/>
    <n v="22"/>
    <x v="165"/>
    <n v="28678.32"/>
    <n v="5766.142359999998"/>
    <n v="0.16740404596055358"/>
    <d v="2025-03-15T00:00:00"/>
    <s v="Q3-2023"/>
    <s v="Europe → France → Marseille"/>
    <s v="High"/>
    <x v="6"/>
    <x v="0"/>
    <x v="6"/>
  </r>
  <r>
    <s v="ORD-2023-451931"/>
    <x v="153"/>
    <d v="2023-08-19T00:00:00"/>
    <n v="20"/>
    <s v="Europe"/>
    <x v="3"/>
    <s v="Paris"/>
    <s v="Enterprise"/>
    <s v="Marketplace"/>
    <x v="2"/>
    <x v="4"/>
    <x v="166"/>
    <n v="1418.51"/>
    <n v="2789.61"/>
    <n v="2789.61"/>
    <n v="0.17100000000000001"/>
    <n v="8"/>
    <x v="166"/>
    <n v="11348.08"/>
    <n v="7152.6135200000008"/>
    <n v="0.38661326464695689"/>
    <d v="2025-02-28T00:00:00"/>
    <s v="Q3-2023"/>
    <s v="Europe → France → Paris"/>
    <s v="High"/>
    <x v="6"/>
    <x v="0"/>
    <x v="6"/>
  </r>
  <r>
    <s v="ORD-2023-243704"/>
    <x v="70"/>
    <d v="2023-09-19T00:00:00"/>
    <n v="21"/>
    <s v="Europe"/>
    <x v="3"/>
    <s v="Lyon"/>
    <s v="Small Business"/>
    <s v="Direct"/>
    <x v="7"/>
    <x v="3"/>
    <x v="167"/>
    <n v="784.46"/>
    <n v="1843.51"/>
    <n v="1843.51"/>
    <n v="0.13800000000000001"/>
    <n v="23"/>
    <x v="167"/>
    <n v="18042.580000000002"/>
    <n v="18506.849260000003"/>
    <n v="0.50635125184441798"/>
    <d v="2025-01-17T00:00:00"/>
    <s v="Q3-2023"/>
    <s v="Europe → France → Lyon"/>
    <s v="High"/>
    <x v="7"/>
    <x v="0"/>
    <x v="7"/>
  </r>
  <r>
    <s v="ORD-2023-192324"/>
    <x v="154"/>
    <d v="2023-09-16T00:00:00"/>
    <n v="2"/>
    <s v="Europe"/>
    <x v="3"/>
    <s v="Lyon"/>
    <s v="Non-Profit"/>
    <s v="Direct"/>
    <x v="7"/>
    <x v="3"/>
    <x v="168"/>
    <n v="376.83"/>
    <n v="732.88"/>
    <n v="732.88"/>
    <n v="0.188"/>
    <n v="25"/>
    <x v="168"/>
    <n v="9420.75"/>
    <n v="5456.7140000000018"/>
    <n v="0.36677716040852132"/>
    <d v="2025-01-09T00:00:00"/>
    <s v="Q3-2023"/>
    <s v="Europe → France → Lyon"/>
    <s v="Low"/>
    <x v="8"/>
    <x v="0"/>
    <x v="8"/>
  </r>
  <r>
    <s v="ORD-2023-597666"/>
    <x v="16"/>
    <d v="2023-11-24T00:00:00"/>
    <n v="30"/>
    <s v="Europe"/>
    <x v="3"/>
    <s v="Paris"/>
    <s v="Enterprise"/>
    <s v="Distributor"/>
    <x v="5"/>
    <x v="2"/>
    <x v="169"/>
    <n v="287.85000000000002"/>
    <n v="602.91999999999996"/>
    <n v="602.91999999999996"/>
    <n v="0.222"/>
    <n v="11"/>
    <x v="169"/>
    <n v="3166.3500000000004"/>
    <n v="1993.4393599999994"/>
    <n v="0.38634122847216373"/>
    <d v="2024-11-22T00:00:00"/>
    <s v="Q4-2023"/>
    <s v="Europe → France → Paris"/>
    <s v="Low"/>
    <x v="9"/>
    <x v="0"/>
    <x v="9"/>
  </r>
  <r>
    <s v="ORD-2023-576840"/>
    <x v="155"/>
    <d v="2023-12-13T00:00:00"/>
    <n v="24"/>
    <s v="Europe"/>
    <x v="3"/>
    <s v="Lyon"/>
    <s v="Non-Profit"/>
    <s v="Direct"/>
    <x v="15"/>
    <x v="0"/>
    <x v="170"/>
    <n v="1297.42"/>
    <n v="2742.97"/>
    <n v="2742.97"/>
    <n v="6.9000000000000006E-2"/>
    <n v="9"/>
    <x v="170"/>
    <n v="11676.78"/>
    <n v="11306.565629999999"/>
    <n v="0.49194602961727291"/>
    <d v="2024-11-07T00:00:00"/>
    <s v="Q4-2023"/>
    <s v="Europe → France → Lyon"/>
    <s v="High"/>
    <x v="10"/>
    <x v="0"/>
    <x v="10"/>
  </r>
  <r>
    <s v="ORD-2023-813340"/>
    <x v="156"/>
    <d v="2024-01-03T00:00:00"/>
    <n v="8"/>
    <s v="Europe"/>
    <x v="3"/>
    <s v="Lyon"/>
    <s v="Small Business"/>
    <s v="Retail"/>
    <x v="3"/>
    <x v="6"/>
    <x v="171"/>
    <n v="492.75"/>
    <n v="731.29"/>
    <n v="731.29"/>
    <n v="5.8000000000000003E-2"/>
    <n v="6"/>
    <x v="171"/>
    <n v="2956.5"/>
    <n v="1176.75108"/>
    <n v="0.28470350753528384"/>
    <d v="2024-10-22T00:00:00"/>
    <s v="Q4-2023"/>
    <s v="Europe → France → Lyon"/>
    <s v="Low"/>
    <x v="11"/>
    <x v="0"/>
    <x v="11"/>
  </r>
  <r>
    <s v="ORD-2023-808024"/>
    <x v="157"/>
    <d v="2024-01-08T00:00:00"/>
    <n v="9"/>
    <s v="Europe"/>
    <x v="3"/>
    <s v="Marseille"/>
    <s v="Consumer"/>
    <s v="Marketplace"/>
    <x v="11"/>
    <x v="5"/>
    <x v="172"/>
    <n v="861.1"/>
    <n v="1224.72"/>
    <n v="1224.72"/>
    <n v="0.17399999999999999"/>
    <n v="24"/>
    <x v="172"/>
    <n v="20666.400000000001"/>
    <n v="3612.4492800000007"/>
    <n v="0.14878997098827909"/>
    <d v="2024-10-02T00:00:00"/>
    <s v="Q4-2023"/>
    <s v="Europe → France → Marseille"/>
    <s v="Medium"/>
    <x v="11"/>
    <x v="0"/>
    <x v="11"/>
  </r>
  <r>
    <s v="ORD-2024-885858"/>
    <x v="158"/>
    <d v="2024-01-23T00:00:00"/>
    <n v="13"/>
    <s v="Europe"/>
    <x v="3"/>
    <s v="Marseille"/>
    <s v="Corporate"/>
    <s v="Direct"/>
    <x v="4"/>
    <x v="3"/>
    <x v="173"/>
    <n v="720"/>
    <n v="907.59"/>
    <n v="907.59"/>
    <n v="0.154"/>
    <n v="10"/>
    <x v="173"/>
    <n v="7200"/>
    <n v="478.21139999999923"/>
    <n v="6.2281614179052078E-2"/>
    <d v="2024-10-08T00:00:00"/>
    <s v="Q1-2024"/>
    <s v="Europe → France → Marseille"/>
    <s v="Medium"/>
    <x v="12"/>
    <x v="0"/>
    <x v="12"/>
  </r>
  <r>
    <s v="ORD-2024-890180"/>
    <x v="159"/>
    <d v="2024-02-13T00:00:00"/>
    <n v="24"/>
    <s v="Europe"/>
    <x v="3"/>
    <s v="Marseille"/>
    <s v="Corporate"/>
    <s v="Retail"/>
    <x v="15"/>
    <x v="3"/>
    <x v="174"/>
    <n v="643.53"/>
    <n v="1439.01"/>
    <n v="1439.01"/>
    <n v="0"/>
    <n v="15"/>
    <x v="174"/>
    <n v="9652.9499999999989"/>
    <n v="11932.200000000003"/>
    <n v="0.55279671440782208"/>
    <d v="2024-09-05T00:00:00"/>
    <s v="Q1-2024"/>
    <s v="Europe → France → Marseille"/>
    <s v="Medium"/>
    <x v="12"/>
    <x v="0"/>
    <x v="12"/>
  </r>
  <r>
    <s v="ORD-2024-764468"/>
    <x v="160"/>
    <d v="2024-02-21T00:00:00"/>
    <n v="20"/>
    <s v="Europe"/>
    <x v="3"/>
    <s v="Paris"/>
    <s v="Small Business"/>
    <s v="Marketplace"/>
    <x v="4"/>
    <x v="4"/>
    <x v="175"/>
    <n v="656.2"/>
    <n v="1467.17"/>
    <n v="1467.17"/>
    <n v="1.7999999999999999E-2"/>
    <n v="5"/>
    <x v="175"/>
    <n v="3281"/>
    <n v="3922.8047000000006"/>
    <n v="0.54454623124360946"/>
    <d v="2024-09-02T00:00:00"/>
    <s v="Q1-2024"/>
    <s v="Europe → France → Paris"/>
    <s v="Medium"/>
    <x v="13"/>
    <x v="0"/>
    <x v="13"/>
  </r>
  <r>
    <s v="ORD-2024-811752"/>
    <x v="161"/>
    <d v="2024-03-09T00:00:00"/>
    <n v="13"/>
    <s v="Europe"/>
    <x v="3"/>
    <s v="Marseille"/>
    <s v="Small Business"/>
    <s v="Distributor"/>
    <x v="6"/>
    <x v="0"/>
    <x v="176"/>
    <n v="322.44"/>
    <n v="395.61"/>
    <n v="395.61"/>
    <n v="0"/>
    <n v="34"/>
    <x v="176"/>
    <n v="10962.96"/>
    <n v="2487.7800000000007"/>
    <n v="0.18495487980586947"/>
    <d v="2024-08-07T00:00:00"/>
    <s v="Q1-2024"/>
    <s v="Europe → France → Marseille"/>
    <s v="Low"/>
    <x v="13"/>
    <x v="0"/>
    <x v="13"/>
  </r>
  <r>
    <s v="ORD-2024-906395"/>
    <x v="162"/>
    <d v="2024-04-09T00:00:00"/>
    <n v="30"/>
    <s v="Europe"/>
    <x v="3"/>
    <s v="Lyon"/>
    <s v="Corporate"/>
    <s v="Direct"/>
    <x v="14"/>
    <x v="1"/>
    <x v="177"/>
    <n v="1176.56"/>
    <n v="1911.89"/>
    <n v="1911.89"/>
    <n v="0.11899999999999999"/>
    <n v="20"/>
    <x v="177"/>
    <n v="23531.199999999997"/>
    <n v="10156.301800000008"/>
    <n v="0.30148575160892477"/>
    <d v="2024-07-24T00:00:00"/>
    <s v="Q1-2024"/>
    <s v="Europe → France → Lyon"/>
    <s v="High"/>
    <x v="29"/>
    <x v="0"/>
    <x v="29"/>
  </r>
  <r>
    <s v="ORD-2024-834983"/>
    <x v="163"/>
    <d v="2024-04-13T00:00:00"/>
    <n v="28"/>
    <s v="Europe"/>
    <x v="3"/>
    <s v="Paris"/>
    <s v="Small Business"/>
    <s v="Online"/>
    <x v="12"/>
    <x v="3"/>
    <x v="178"/>
    <n v="287.61"/>
    <n v="628.54"/>
    <n v="628.54"/>
    <n v="0.13500000000000001"/>
    <n v="21"/>
    <x v="178"/>
    <n v="6039.81"/>
    <n v="5377.619099999999"/>
    <n v="0.47100087531964613"/>
    <d v="2024-07-12T00:00:00"/>
    <s v="Q1-2024"/>
    <s v="Europe → France → Paris"/>
    <s v="Low"/>
    <x v="29"/>
    <x v="0"/>
    <x v="29"/>
  </r>
  <r>
    <s v="ORD-2024-332076"/>
    <x v="164"/>
    <d v="2024-04-18T00:00:00"/>
    <n v="9"/>
    <s v="Europe"/>
    <x v="3"/>
    <s v="Lyon"/>
    <s v="Consumer"/>
    <s v="Online"/>
    <x v="6"/>
    <x v="3"/>
    <x v="179"/>
    <n v="1288.8499999999999"/>
    <n v="2751.84"/>
    <n v="2751.84"/>
    <n v="0.158"/>
    <n v="7"/>
    <x v="179"/>
    <n v="9021.9499999999989"/>
    <n v="7197.3949600000014"/>
    <n v="0.44375373837538756"/>
    <d v="2024-06-06T00:00:00"/>
    <s v="Q2-2024"/>
    <s v="Europe → France → Lyon"/>
    <s v="High"/>
    <x v="14"/>
    <x v="0"/>
    <x v="14"/>
  </r>
  <r>
    <s v="ORD-2024-202166"/>
    <x v="165"/>
    <d v="2024-05-18T00:00:00"/>
    <n v="13"/>
    <s v="Europe"/>
    <x v="3"/>
    <s v="Marseille"/>
    <s v="Corporate"/>
    <s v="Marketplace"/>
    <x v="4"/>
    <x v="1"/>
    <x v="180"/>
    <n v="1264.04"/>
    <n v="1870.89"/>
    <n v="1870.89"/>
    <n v="0"/>
    <n v="13"/>
    <x v="180"/>
    <n v="16432.52"/>
    <n v="7889.0499999999993"/>
    <n v="0.32436433996653996"/>
    <d v="2024-06-07T00:00:00"/>
    <s v="Q2-2024"/>
    <s v="Europe → France → Marseille"/>
    <s v="High"/>
    <x v="15"/>
    <x v="0"/>
    <x v="15"/>
  </r>
  <r>
    <s v="ORD-2024-375848"/>
    <x v="166"/>
    <d v="2024-05-21T00:00:00"/>
    <n v="3"/>
    <s v="Europe"/>
    <x v="3"/>
    <s v="Marseille"/>
    <s v="Non-Profit"/>
    <s v="Marketplace"/>
    <x v="0"/>
    <x v="3"/>
    <x v="181"/>
    <n v="663.66"/>
    <n v="824.26"/>
    <n v="824.26"/>
    <n v="0.23899999999999999"/>
    <n v="11"/>
    <x v="181"/>
    <n v="7300.2599999999993"/>
    <n v="-400.379539999999"/>
    <n v="-5.8027025587048933E-2"/>
    <d v="2024-05-14T00:00:00"/>
    <s v="Q2-2024"/>
    <s v="Europe → France → Marseille"/>
    <s v="Medium"/>
    <x v="15"/>
    <x v="0"/>
    <x v="15"/>
  </r>
  <r>
    <s v="ORD-2024-329104"/>
    <x v="28"/>
    <d v="2024-06-14T00:00:00"/>
    <n v="22"/>
    <s v="Europe"/>
    <x v="3"/>
    <s v="Marseille"/>
    <s v="Small Business"/>
    <s v="Online"/>
    <x v="1"/>
    <x v="0"/>
    <x v="182"/>
    <n v="1481.74"/>
    <n v="1848.97"/>
    <n v="1848.97"/>
    <n v="0.254"/>
    <n v="9"/>
    <x v="182"/>
    <n v="13335.66"/>
    <n v="-921.67541999999958"/>
    <n v="-7.4244930309072407E-2"/>
    <d v="2024-05-18T00:00:00"/>
    <s v="Q2-2024"/>
    <s v="Europe → France → Marseille"/>
    <s v="High"/>
    <x v="15"/>
    <x v="0"/>
    <x v="15"/>
  </r>
  <r>
    <s v="ORD-2024-892879"/>
    <x v="124"/>
    <d v="2024-08-08T00:00:00"/>
    <n v="30"/>
    <s v="Europe"/>
    <x v="3"/>
    <s v="Marseille"/>
    <s v="Corporate"/>
    <s v="Direct"/>
    <x v="9"/>
    <x v="1"/>
    <x v="183"/>
    <n v="1062.3800000000001"/>
    <n v="1503.96"/>
    <n v="1503.96"/>
    <n v="0.18"/>
    <n v="6"/>
    <x v="183"/>
    <n v="6374.2800000000007"/>
    <n v="1025.2031999999999"/>
    <n v="0.13855064905073369"/>
    <d v="2024-03-26T00:00:00"/>
    <s v="Q3-2024"/>
    <s v="Europe → France → Marseille"/>
    <s v="Medium"/>
    <x v="17"/>
    <x v="0"/>
    <x v="17"/>
  </r>
  <r>
    <s v="ORD-2024-398783"/>
    <x v="167"/>
    <d v="2024-08-07T00:00:00"/>
    <n v="20"/>
    <s v="Europe"/>
    <x v="3"/>
    <s v="Marseille"/>
    <s v="Corporate"/>
    <s v="Retail"/>
    <x v="8"/>
    <x v="0"/>
    <x v="184"/>
    <n v="941.35"/>
    <n v="899.83"/>
    <n v="899.83"/>
    <n v="5.8000000000000003E-2"/>
    <n v="18"/>
    <x v="184"/>
    <n v="16944.3"/>
    <n v="-1686.7825199999988"/>
    <n v="-0.11055419220139073"/>
    <d v="2024-03-09T00:00:00"/>
    <s v="Q3-2024"/>
    <s v="Europe → France → Marseille"/>
    <s v="Medium"/>
    <x v="17"/>
    <x v="0"/>
    <x v="17"/>
  </r>
  <r>
    <s v="ORD-2024-678110"/>
    <x v="168"/>
    <d v="2024-08-08T00:00:00"/>
    <n v="15"/>
    <s v="Europe"/>
    <x v="3"/>
    <s v="Marseille"/>
    <s v="Enterprise"/>
    <s v="Marketplace"/>
    <x v="15"/>
    <x v="6"/>
    <x v="185"/>
    <n v="501.5"/>
    <n v="1201.47"/>
    <n v="1201.47"/>
    <n v="0.126"/>
    <n v="5"/>
    <x v="185"/>
    <n v="2507.5"/>
    <n v="2742.9239000000007"/>
    <n v="0.52241951359394057"/>
    <d v="2024-02-27T00:00:00"/>
    <s v="Q3-2024"/>
    <s v="Europe → France → Marseille"/>
    <s v="Medium"/>
    <x v="17"/>
    <x v="0"/>
    <x v="17"/>
  </r>
  <r>
    <s v="ORD-2024-307849"/>
    <x v="169"/>
    <d v="2024-09-07T00:00:00"/>
    <n v="28"/>
    <s v="Europe"/>
    <x v="3"/>
    <s v="Marseille"/>
    <s v="Non-Profit"/>
    <s v="Direct"/>
    <x v="8"/>
    <x v="3"/>
    <x v="186"/>
    <n v="229.96"/>
    <n v="564.26"/>
    <n v="564.26"/>
    <n v="0.105"/>
    <n v="5"/>
    <x v="186"/>
    <n v="1149.8"/>
    <n v="1375.2635000000002"/>
    <n v="0.54464511486542821"/>
    <d v="2024-02-19T00:00:00"/>
    <s v="Q3-2024"/>
    <s v="Europe → France → Marseille"/>
    <s v="Low"/>
    <x v="18"/>
    <x v="0"/>
    <x v="18"/>
  </r>
  <r>
    <s v="ORD-2024-792353"/>
    <x v="81"/>
    <d v="2024-09-07T00:00:00"/>
    <n v="19"/>
    <s v="Europe"/>
    <x v="3"/>
    <s v="Lyon"/>
    <s v="Corporate"/>
    <s v="Direct"/>
    <x v="9"/>
    <x v="1"/>
    <x v="187"/>
    <n v="297.58999999999997"/>
    <n v="666.41"/>
    <n v="666.41"/>
    <n v="0"/>
    <n v="10"/>
    <x v="187"/>
    <n v="2975.8999999999996"/>
    <n v="3688.2"/>
    <n v="0.55344307558409989"/>
    <d v="2024-02-06T00:00:00"/>
    <s v="Q3-2024"/>
    <s v="Europe → France → Lyon"/>
    <s v="Low"/>
    <x v="18"/>
    <x v="0"/>
    <x v="18"/>
  </r>
  <r>
    <s v="ORD-2024-756884"/>
    <x v="170"/>
    <d v="2024-10-24T00:00:00"/>
    <n v="11"/>
    <s v="Europe"/>
    <x v="3"/>
    <s v="Paris"/>
    <s v="Education"/>
    <s v="Distributor"/>
    <x v="8"/>
    <x v="1"/>
    <x v="188"/>
    <n v="816.7"/>
    <n v="1010.75"/>
    <n v="1010.75"/>
    <n v="4.7E-2"/>
    <n v="43"/>
    <x v="188"/>
    <n v="35118.1"/>
    <n v="6301.4242499999964"/>
    <n v="0.15213656757537472"/>
    <d v="2023-12-30T00:00:00"/>
    <s v="Q4-2024"/>
    <s v="Europe → France → Paris"/>
    <s v="Medium"/>
    <x v="32"/>
    <x v="0"/>
    <x v="32"/>
  </r>
  <r>
    <s v="ORD-2024-766980"/>
    <x v="171"/>
    <d v="2024-11-07T00:00:00"/>
    <n v="3"/>
    <s v="Europe"/>
    <x v="3"/>
    <s v="Lyon"/>
    <s v="Corporate"/>
    <s v="Online"/>
    <x v="13"/>
    <x v="0"/>
    <x v="189"/>
    <n v="740.68"/>
    <n v="1837.19"/>
    <n v="1837.19"/>
    <n v="0.19700000000000001"/>
    <n v="17"/>
    <x v="189"/>
    <n v="12591.56"/>
    <n v="12487.920689999997"/>
    <n v="0.4979337827748298"/>
    <d v="2023-11-19T00:00:00"/>
    <s v="Q4-2024"/>
    <s v="Europe → France → Lyon"/>
    <s v="High"/>
    <x v="20"/>
    <x v="0"/>
    <x v="20"/>
  </r>
  <r>
    <s v="ORD-2024-783321"/>
    <x v="172"/>
    <d v="2024-12-15T00:00:00"/>
    <n v="25"/>
    <s v="Europe"/>
    <x v="3"/>
    <s v="Paris"/>
    <s v="Corporate"/>
    <s v="Online"/>
    <x v="2"/>
    <x v="3"/>
    <x v="190"/>
    <n v="1203.58"/>
    <n v="1856.16"/>
    <n v="1856.16"/>
    <n v="0.129"/>
    <n v="22"/>
    <x v="190"/>
    <n v="26478.76"/>
    <n v="9088.9779200000085"/>
    <n v="0.25553994860295032"/>
    <d v="2023-11-29T00:00:00"/>
    <s v="Q4-2024"/>
    <s v="Europe → France → Paris"/>
    <s v="High"/>
    <x v="20"/>
    <x v="0"/>
    <x v="20"/>
  </r>
  <r>
    <s v="ORD-2024-192263"/>
    <x v="173"/>
    <d v="2024-12-21T00:00:00"/>
    <n v="30"/>
    <s v="Europe"/>
    <x v="3"/>
    <s v="Marseille"/>
    <s v="Small Business"/>
    <s v="Direct"/>
    <x v="14"/>
    <x v="0"/>
    <x v="191"/>
    <n v="1122.68"/>
    <n v="1997.19"/>
    <n v="1997.19"/>
    <n v="0.186"/>
    <n v="3"/>
    <x v="191"/>
    <n v="3368.04"/>
    <n v="1509.0979800000005"/>
    <n v="0.30942285951073306"/>
    <d v="2023-11-10T00:00:00"/>
    <s v="Q4-2024"/>
    <s v="Europe → France → Marseille"/>
    <s v="High"/>
    <x v="20"/>
    <x v="0"/>
    <x v="20"/>
  </r>
  <r>
    <s v="ORD-2024-788105"/>
    <x v="174"/>
    <d v="2024-12-30T00:00:00"/>
    <n v="30"/>
    <s v="Europe"/>
    <x v="3"/>
    <s v="Marseille"/>
    <s v="Consumer"/>
    <s v="Marketplace"/>
    <x v="8"/>
    <x v="3"/>
    <x v="192"/>
    <n v="117.64"/>
    <n v="175.67"/>
    <n v="175.67"/>
    <n v="0"/>
    <n v="10"/>
    <x v="192"/>
    <n v="1176.4000000000001"/>
    <n v="580.29999999999973"/>
    <n v="0.33033528775545046"/>
    <d v="2023-10-15T00:00:00"/>
    <s v="Q4-2024"/>
    <s v="Europe → France → Marseille"/>
    <s v="Low"/>
    <x v="20"/>
    <x v="0"/>
    <x v="20"/>
  </r>
  <r>
    <s v="ORD-2024-382152"/>
    <x v="175"/>
    <d v="2024-12-08T00:00:00"/>
    <n v="0"/>
    <s v="Europe"/>
    <x v="3"/>
    <s v="Lyon"/>
    <s v="Enterprise"/>
    <s v="Retail"/>
    <x v="15"/>
    <x v="1"/>
    <x v="193"/>
    <n v="257.44"/>
    <n v="290.33"/>
    <n v="290.33"/>
    <n v="9.1999999999999998E-2"/>
    <n v="23"/>
    <x v="193"/>
    <n v="5921.12"/>
    <n v="142.1317199999994"/>
    <n v="2.3441500792581216E-2"/>
    <d v="2023-10-12T00:00:00"/>
    <s v="Q4-2024"/>
    <s v="Europe → France → Lyon"/>
    <s v="Low"/>
    <x v="30"/>
    <x v="0"/>
    <x v="30"/>
  </r>
  <r>
    <s v="ORD-2024-206081"/>
    <x v="176"/>
    <d v="2025-01-08T00:00:00"/>
    <n v="29"/>
    <s v="Europe"/>
    <x v="3"/>
    <s v="Marseille"/>
    <s v="Small Business"/>
    <s v="Retail"/>
    <x v="12"/>
    <x v="3"/>
    <x v="194"/>
    <n v="891.08"/>
    <n v="1040.0999999999999"/>
    <n v="1040.0999999999999"/>
    <n v="0.109"/>
    <n v="28"/>
    <x v="194"/>
    <n v="24950.240000000002"/>
    <n v="998.17479999999341"/>
    <n v="3.8467660074556598E-2"/>
    <d v="2023-10-04T00:00:00"/>
    <s v="Q4-2024"/>
    <s v="Europe → France → Marseille"/>
    <s v="Medium"/>
    <x v="30"/>
    <x v="0"/>
    <x v="30"/>
  </r>
  <r>
    <s v="ORD-2025-542939"/>
    <x v="177"/>
    <d v="2025-02-08T00:00:00"/>
    <n v="26"/>
    <s v="Europe"/>
    <x v="3"/>
    <s v="Paris"/>
    <s v="Non-Profit"/>
    <m/>
    <x v="6"/>
    <x v="0"/>
    <x v="195"/>
    <n v="594.74"/>
    <n v="1020.69"/>
    <n v="1020.69"/>
    <n v="0.21099999999999999"/>
    <n v="6"/>
    <x v="195"/>
    <n v="3568.44"/>
    <n v="1263.5064600000001"/>
    <n v="0.26149016146176424"/>
    <d v="2023-09-08T00:00:00"/>
    <s v="Q1-2025"/>
    <s v="Europe → France → Paris"/>
    <s v="Medium"/>
    <x v="21"/>
    <x v="0"/>
    <x v="21"/>
  </r>
  <r>
    <s v="ORD-2025-578007"/>
    <x v="178"/>
    <d v="2025-02-16T00:00:00"/>
    <n v="26"/>
    <s v="Europe"/>
    <x v="3"/>
    <s v="Lyon"/>
    <s v="Corporate"/>
    <s v="Distributor"/>
    <x v="13"/>
    <x v="6"/>
    <x v="196"/>
    <n v="204.11"/>
    <n v="236.87"/>
    <n v="236.87"/>
    <n v="0.182"/>
    <n v="13"/>
    <x v="196"/>
    <n v="2653.4300000000003"/>
    <n v="-134.55441999999994"/>
    <n v="-5.3418446337075494E-2"/>
    <d v="2023-08-27T00:00:00"/>
    <s v="Q1-2025"/>
    <s v="Europe → France → Lyon"/>
    <s v="Low"/>
    <x v="21"/>
    <x v="0"/>
    <x v="21"/>
  </r>
  <r>
    <s v="ORD-2025-939953"/>
    <x v="179"/>
    <d v="2025-01-22T00:00:00"/>
    <n v="0"/>
    <s v="Europe"/>
    <x v="3"/>
    <s v="Lyon"/>
    <s v="Small Business"/>
    <s v="Online"/>
    <x v="7"/>
    <x v="5"/>
    <x v="197"/>
    <n v="591.72"/>
    <n v="577.24"/>
    <n v="577.24"/>
    <n v="0"/>
    <n v="22"/>
    <x v="197"/>
    <n v="13017.84"/>
    <n v="-318.55999999999949"/>
    <n v="-2.5084886702238195E-2"/>
    <d v="2023-08-15T00:00:00"/>
    <s v="Q1-2025"/>
    <s v="Europe → France → Lyon"/>
    <s v="Low"/>
    <x v="21"/>
    <x v="0"/>
    <x v="21"/>
  </r>
  <r>
    <s v="ORD-2025-281062"/>
    <x v="89"/>
    <d v="2025-02-27T00:00:00"/>
    <n v="12"/>
    <s v="Europe"/>
    <x v="3"/>
    <s v="Lyon"/>
    <s v="Non-Profit"/>
    <s v="Direct"/>
    <x v="12"/>
    <x v="5"/>
    <x v="198"/>
    <n v="1027.26"/>
    <n v="2200.41"/>
    <n v="2200.41"/>
    <n v="8.7999999999999995E-2"/>
    <n v="6"/>
    <x v="198"/>
    <n v="6163.5599999999995"/>
    <n v="5877.0835200000001"/>
    <n v="0.48810377204822358"/>
    <d v="2023-08-02T00:00:00"/>
    <s v="Q1-2025"/>
    <s v="Europe → France → Lyon"/>
    <s v="High"/>
    <x v="22"/>
    <x v="0"/>
    <x v="22"/>
  </r>
  <r>
    <s v="ORD-2025-548982"/>
    <x v="180"/>
    <d v="2025-04-11T00:00:00"/>
    <n v="4"/>
    <s v="Europe"/>
    <x v="3"/>
    <s v="Lyon"/>
    <s v="Education"/>
    <s v="Retail"/>
    <x v="6"/>
    <x v="4"/>
    <x v="199"/>
    <n v="754.77"/>
    <n v="1666.18"/>
    <n v="1666.18"/>
    <n v="0.13900000000000001"/>
    <n v="14"/>
    <x v="199"/>
    <n v="10566.779999999999"/>
    <n v="9517.3537200000028"/>
    <n v="0.47387424584424653"/>
    <d v="2023-06-20T00:00:00"/>
    <s v="Q2-2025"/>
    <s v="Europe → France → Lyon"/>
    <s v="High"/>
    <x v="24"/>
    <x v="0"/>
    <x v="24"/>
  </r>
  <r>
    <s v="ORD-2025-138578"/>
    <x v="48"/>
    <d v="2025-04-12T00:00:00"/>
    <n v="3"/>
    <s v="Europe"/>
    <x v="3"/>
    <s v="Lyon"/>
    <s v="Small Business"/>
    <s v="Distributor"/>
    <x v="15"/>
    <x v="0"/>
    <x v="200"/>
    <n v="86.68"/>
    <n v="213.32"/>
    <n v="213.32"/>
    <n v="3.7999999999999999E-2"/>
    <n v="8"/>
    <x v="200"/>
    <n v="693.44"/>
    <n v="948.27071999999976"/>
    <n v="0.57761133459614611"/>
    <d v="2023-06-23T00:00:00"/>
    <s v="Q2-2025"/>
    <s v="Europe → France → Lyon"/>
    <s v="Low"/>
    <x v="24"/>
    <x v="0"/>
    <x v="24"/>
  </r>
  <r>
    <s v="ORD-2025-778145"/>
    <x v="181"/>
    <d v="2025-05-12T00:00:00"/>
    <n v="20"/>
    <s v="Europe"/>
    <x v="3"/>
    <s v="Lyon"/>
    <s v="Enterprise"/>
    <s v="Marketplace"/>
    <x v="12"/>
    <x v="0"/>
    <x v="201"/>
    <n v="59.51"/>
    <n v="67.040000000000006"/>
    <n v="67.040000000000006"/>
    <n v="0.114"/>
    <n v="9"/>
    <x v="201"/>
    <n v="535.59"/>
    <n v="-1.0130400000000463"/>
    <n v="-1.8950311663264469E-3"/>
    <d v="2023-06-09T00:00:00"/>
    <s v="Q2-2025"/>
    <s v="Europe → France → Lyon"/>
    <s v="Low"/>
    <x v="24"/>
    <x v="0"/>
    <x v="24"/>
  </r>
  <r>
    <s v="ORD-2025-526650"/>
    <x v="182"/>
    <d v="2025-05-25T00:00:00"/>
    <n v="28"/>
    <s v="Europe"/>
    <x v="3"/>
    <s v="Paris"/>
    <s v="Small Business"/>
    <s v="Marketplace"/>
    <x v="14"/>
    <x v="2"/>
    <x v="202"/>
    <n v="603.45000000000005"/>
    <n v="1244.08"/>
    <n v="1244.08"/>
    <n v="0.2"/>
    <n v="11"/>
    <x v="202"/>
    <n v="6637.9500000000007"/>
    <n v="4309.9539999999997"/>
    <n v="0.39367846119220623"/>
    <d v="2023-05-17T00:00:00"/>
    <s v="Q2-2025"/>
    <s v="Europe → France → Paris"/>
    <s v="Medium"/>
    <x v="24"/>
    <x v="0"/>
    <x v="24"/>
  </r>
  <r>
    <s v="ORD-2025-114382"/>
    <x v="183"/>
    <d v="2025-05-24T00:00:00"/>
    <n v="10"/>
    <s v="Europe"/>
    <x v="3"/>
    <s v="Paris"/>
    <s v="Small Business"/>
    <s v="Marketplace"/>
    <x v="12"/>
    <x v="1"/>
    <x v="203"/>
    <n v="170.39"/>
    <n v="388.04"/>
    <n v="388.04"/>
    <n v="8.4000000000000005E-2"/>
    <n v="15"/>
    <x v="203"/>
    <n v="2555.85"/>
    <n v="2775.8196000000003"/>
    <n v="0.52062858508711796"/>
    <d v="2023-05-10T00:00:00"/>
    <s v="Q2-2025"/>
    <s v="Europe → France → Paris"/>
    <s v="Low"/>
    <x v="25"/>
    <x v="0"/>
    <x v="25"/>
  </r>
  <r>
    <s v="ORD-2025-231184"/>
    <x v="184"/>
    <d v="2025-06-06T00:00:00"/>
    <n v="5"/>
    <s v="Europe"/>
    <x v="3"/>
    <s v="Paris"/>
    <s v="Consumer"/>
    <s v="Distributor"/>
    <x v="2"/>
    <x v="1"/>
    <x v="204"/>
    <n v="379.45"/>
    <n v="742.23"/>
    <n v="742.23"/>
    <n v="0.09"/>
    <n v="13"/>
    <x v="204"/>
    <n v="4932.8499999999995"/>
    <n v="3847.7309000000014"/>
    <n v="0.43820915083192286"/>
    <d v="2023-05-06T00:00:00"/>
    <s v="Q2-2025"/>
    <s v="Europe → France → Paris"/>
    <s v="Low"/>
    <x v="31"/>
    <x v="0"/>
    <x v="31"/>
  </r>
  <r>
    <s v="ORD-2025-639542"/>
    <x v="185"/>
    <d v="2025-06-18T00:00:00"/>
    <n v="9"/>
    <s v="Europe"/>
    <x v="3"/>
    <s v="Marseille"/>
    <s v="Small Business"/>
    <s v="Marketplace"/>
    <x v="15"/>
    <x v="5"/>
    <x v="205"/>
    <n v="1225.5"/>
    <n v="-5.27"/>
    <n v="5.27"/>
    <n v="7.4999999999999997E-2"/>
    <n v="56"/>
    <x v="205"/>
    <n v="68628"/>
    <n v="-68355.013999999996"/>
    <n v="-250.39750756449047"/>
    <d v="2023-04-19T00:00:00"/>
    <s v="Q2-2025"/>
    <s v="Europe → France → Marseille"/>
    <s v="Low"/>
    <x v="31"/>
    <x v="0"/>
    <x v="31"/>
  </r>
  <r>
    <s v="ORD-2025-856556"/>
    <x v="186"/>
    <d v="2025-07-12T00:00:00"/>
    <n v="27"/>
    <s v="Europe"/>
    <x v="3"/>
    <s v="Marseille"/>
    <s v="Consumer"/>
    <s v="Direct"/>
    <x v="5"/>
    <x v="5"/>
    <x v="206"/>
    <n v="318.83"/>
    <n v="699.5"/>
    <n v="699.5"/>
    <n v="0.08"/>
    <n v="13"/>
    <x v="206"/>
    <n v="4144.79"/>
    <n v="4221.2300000000005"/>
    <n v="0.50456848059172699"/>
    <d v="2023-04-13T00:00:00"/>
    <s v="Q2-2025"/>
    <s v="Europe → France → Marseille"/>
    <s v="Low"/>
    <x v="31"/>
    <x v="0"/>
    <x v="31"/>
  </r>
  <r>
    <s v="ORD-2025-189846"/>
    <x v="187"/>
    <d v="2025-08-28T00:00:00"/>
    <n v="17"/>
    <s v="Europe"/>
    <x v="3"/>
    <s v="Paris"/>
    <s v="Education"/>
    <s v="Online"/>
    <x v="8"/>
    <x v="4"/>
    <x v="207"/>
    <n v="416.16"/>
    <n v="571.9"/>
    <n v="571.9"/>
    <n v="7.0999999999999994E-2"/>
    <n v="2"/>
    <x v="207"/>
    <n v="832.32"/>
    <n v="230.27020000000005"/>
    <n v="0.21670649701079497"/>
    <d v="2023-02-20T00:00:00"/>
    <s v="Q3-2025"/>
    <s v="Europe → France → Paris"/>
    <s v="Low"/>
    <x v="27"/>
    <x v="0"/>
    <x v="27"/>
  </r>
  <r>
    <s v="ORD-2025-683043"/>
    <x v="188"/>
    <d v="2025-09-03T00:00:00"/>
    <n v="21"/>
    <s v="Europe"/>
    <x v="3"/>
    <s v="Paris"/>
    <s v="Education"/>
    <s v="Retail"/>
    <x v="14"/>
    <x v="2"/>
    <x v="208"/>
    <n v="603.47"/>
    <n v="1344.05"/>
    <n v="1344.05"/>
    <n v="0.20499999999999999"/>
    <n v="18"/>
    <x v="208"/>
    <n v="10862.460000000001"/>
    <n v="8370.8954999999969"/>
    <n v="0.43522803392262976"/>
    <d v="2023-02-05T00:00:00"/>
    <s v="Q3-2025"/>
    <s v="Europe → France → Paris"/>
    <s v="Medium"/>
    <x v="27"/>
    <x v="0"/>
    <x v="27"/>
  </r>
  <r>
    <s v="ORD-2025-993993"/>
    <x v="189"/>
    <d v="2025-09-22T00:00:00"/>
    <n v="23"/>
    <s v="Europe"/>
    <x v="3"/>
    <s v="Marseille"/>
    <s v="Corporate"/>
    <s v="Direct"/>
    <x v="6"/>
    <x v="1"/>
    <x v="209"/>
    <n v="663.9"/>
    <n v="947.77"/>
    <n v="947.77"/>
    <n v="0.17399999999999999"/>
    <n v="15"/>
    <x v="209"/>
    <n v="9958.5"/>
    <n v="1784.3703000000005"/>
    <n v="0.1519535049280073"/>
    <d v="2023-02-07T00:00:00"/>
    <s v="Q3-2025"/>
    <s v="Europe → France → Marseille"/>
    <s v="Medium"/>
    <x v="27"/>
    <x v="0"/>
    <x v="27"/>
  </r>
  <r>
    <s v="ORD-2025-417336"/>
    <x v="189"/>
    <d v="2025-09-03T00:00:00"/>
    <n v="4"/>
    <s v="Europe"/>
    <x v="3"/>
    <s v="Marseille"/>
    <s v="Small Business"/>
    <s v="Marketplace"/>
    <x v="9"/>
    <x v="6"/>
    <x v="210"/>
    <n v="1286.56"/>
    <n v="2777.35"/>
    <n v="2777.35"/>
    <n v="0.13200000000000001"/>
    <n v="15"/>
    <x v="210"/>
    <n v="19298.399999999998"/>
    <n v="16862.697000000004"/>
    <n v="0.46632150014696744"/>
    <d v="2023-02-08T00:00:00"/>
    <s v="Q3-2025"/>
    <s v="Europe → France → Marseille"/>
    <s v="High"/>
    <x v="27"/>
    <x v="0"/>
    <x v="27"/>
  </r>
  <r>
    <s v="ORD-2023-613317"/>
    <x v="190"/>
    <d v="2023-01-22T00:00:00"/>
    <n v="1"/>
    <s v="Europe"/>
    <x v="4"/>
    <s v="Munich"/>
    <s v="Corporate"/>
    <s v="Direct"/>
    <x v="8"/>
    <x v="0"/>
    <x v="211"/>
    <n v="150.86000000000001"/>
    <n v="346.96"/>
    <n v="346.96"/>
    <n v="0.19600000000000001"/>
    <n v="8"/>
    <x v="211"/>
    <n v="1206.8800000000001"/>
    <n v="1024.7667200000001"/>
    <n v="0.45919755614365343"/>
    <d v="2025-09-14T00:00:00"/>
    <s v="Q1-2023"/>
    <s v="Europe → Germany → Munich"/>
    <s v="Low"/>
    <x v="0"/>
    <x v="0"/>
    <x v="0"/>
  </r>
  <r>
    <s v="ORD-2023-811823"/>
    <x v="191"/>
    <d v="2023-02-15T00:00:00"/>
    <n v="20"/>
    <s v="Europe"/>
    <x v="4"/>
    <s v="Berlin"/>
    <s v="Small Business"/>
    <s v="Online"/>
    <x v="13"/>
    <x v="4"/>
    <x v="212"/>
    <n v="492.62"/>
    <n v="366.7"/>
    <n v="366.7"/>
    <n v="8.8999999999999996E-2"/>
    <n v="10"/>
    <x v="212"/>
    <n v="4926.2"/>
    <n v="-1585.5629999999996"/>
    <n v="-0.47462894052840809"/>
    <d v="2025-09-15T00:00:00"/>
    <s v="Q1-2023"/>
    <s v="Europe → Germany → Berlin"/>
    <s v="Low"/>
    <x v="0"/>
    <x v="0"/>
    <x v="0"/>
  </r>
  <r>
    <s v="ORD-2023-575584"/>
    <x v="192"/>
    <d v="2023-02-21T00:00:00"/>
    <n v="22"/>
    <s v="Europe"/>
    <x v="4"/>
    <s v="Munich"/>
    <s v="Small Business"/>
    <s v="Marketplace"/>
    <x v="2"/>
    <x v="4"/>
    <x v="213"/>
    <n v="1142.8800000000001"/>
    <n v="1465.29"/>
    <n v="1465.29"/>
    <n v="0.186"/>
    <n v="7"/>
    <x v="213"/>
    <n v="8000.1600000000008"/>
    <n v="349.06241999999929"/>
    <n v="4.1807775915017401E-2"/>
    <d v="2025-08-21T00:00:00"/>
    <s v="Q1-2023"/>
    <s v="Europe → Germany → Munich"/>
    <s v="Medium"/>
    <x v="0"/>
    <x v="0"/>
    <x v="0"/>
  </r>
  <r>
    <s v="ORD-2023-884625"/>
    <x v="193"/>
    <d v="2023-03-12T00:00:00"/>
    <n v="21"/>
    <s v="Europe"/>
    <x v="4"/>
    <s v="Berlin"/>
    <s v="Small Business"/>
    <s v="Direct"/>
    <x v="11"/>
    <x v="0"/>
    <x v="214"/>
    <n v="1234.81"/>
    <n v="2055.2399999999998"/>
    <n v="2055.2399999999998"/>
    <n v="5.2999999999999999E-2"/>
    <n v="44"/>
    <x v="214"/>
    <n v="54331.64"/>
    <n v="31306.100319999998"/>
    <n v="0.36556429680441616"/>
    <d v="2025-08-13T00:00:00"/>
    <s v="Q1-2023"/>
    <s v="Europe → Germany → Berlin"/>
    <s v="High"/>
    <x v="1"/>
    <x v="0"/>
    <x v="1"/>
  </r>
  <r>
    <s v="ORD-2023-422918"/>
    <x v="194"/>
    <d v="2023-03-20T00:00:00"/>
    <n v="20"/>
    <s v="Europe"/>
    <x v="4"/>
    <s v="Berlin"/>
    <s v="Small Business"/>
    <s v="Direct"/>
    <x v="15"/>
    <x v="6"/>
    <x v="215"/>
    <n v="1200.78"/>
    <n v="2001.17"/>
    <n v="2001.17"/>
    <n v="0.29199999999999998"/>
    <n v="18"/>
    <x v="215"/>
    <n v="21614.04"/>
    <n v="3888.8704799999978"/>
    <n v="0.15248732034132906"/>
    <d v="2025-07-22T00:00:00"/>
    <s v="Q1-2023"/>
    <s v="Europe → Germany → Berlin"/>
    <s v="High"/>
    <x v="1"/>
    <x v="0"/>
    <x v="1"/>
  </r>
  <r>
    <s v="ORD-2023-472078"/>
    <x v="194"/>
    <d v="2023-03-06T00:00:00"/>
    <n v="6"/>
    <s v="Europe"/>
    <x v="4"/>
    <s v="Frankfurt"/>
    <s v="Small Business"/>
    <s v="Marketplace"/>
    <x v="0"/>
    <x v="3"/>
    <x v="216"/>
    <n v="880.02"/>
    <n v="1251.21"/>
    <n v="1251.21"/>
    <n v="0.123"/>
    <n v="29"/>
    <x v="216"/>
    <n v="25520.579999999998"/>
    <n v="6301.4439300000049"/>
    <n v="0.19802146915172672"/>
    <d v="2025-07-23T00:00:00"/>
    <s v="Q1-2023"/>
    <s v="Europe → Germany → Frankfurt"/>
    <s v="Medium"/>
    <x v="1"/>
    <x v="0"/>
    <x v="1"/>
  </r>
  <r>
    <s v="ORD-2023-799597"/>
    <x v="195"/>
    <d v="2023-03-18T00:00:00"/>
    <n v="4"/>
    <s v="Europe"/>
    <x v="4"/>
    <s v="Frankfurt"/>
    <s v="Enterprise"/>
    <s v="Direct"/>
    <x v="4"/>
    <x v="1"/>
    <x v="217"/>
    <n v="472.33"/>
    <n v="360.34"/>
    <n v="360.34"/>
    <n v="0.16500000000000001"/>
    <n v="14"/>
    <x v="217"/>
    <n v="6612.62"/>
    <n v="-2400.2454000000007"/>
    <n v="-0.56980815523861561"/>
    <d v="2025-07-20T00:00:00"/>
    <s v="Q1-2023"/>
    <s v="Europe → Germany → Frankfurt"/>
    <s v="Low"/>
    <x v="2"/>
    <x v="0"/>
    <x v="2"/>
  </r>
  <r>
    <s v="ORD-2023-933238"/>
    <x v="196"/>
    <d v="2023-04-06T00:00:00"/>
    <n v="20"/>
    <s v="Europe"/>
    <x v="4"/>
    <s v="Munich"/>
    <s v="Consumer"/>
    <s v="Retail"/>
    <x v="13"/>
    <x v="2"/>
    <x v="218"/>
    <n v="692.18"/>
    <n v="1159.3499999999999"/>
    <n v="1159.3499999999999"/>
    <n v="0.112"/>
    <n v="2"/>
    <x v="218"/>
    <n v="1384.36"/>
    <n v="674.64560000000006"/>
    <n v="0.32765602968734037"/>
    <d v="2025-07-14T00:00:00"/>
    <s v="Q1-2023"/>
    <s v="Europe → Germany → Munich"/>
    <s v="Medium"/>
    <x v="2"/>
    <x v="0"/>
    <x v="2"/>
  </r>
  <r>
    <s v="ORD-2023-701153"/>
    <x v="197"/>
    <d v="2023-05-13T00:00:00"/>
    <n v="29"/>
    <s v="Europe"/>
    <x v="4"/>
    <s v="Frankfurt"/>
    <s v="Consumer"/>
    <s v="Direct"/>
    <x v="9"/>
    <x v="3"/>
    <x v="219"/>
    <n v="1320.33"/>
    <n v="2645.23"/>
    <n v="2645.23"/>
    <n v="0.155"/>
    <n v="25"/>
    <x v="219"/>
    <n v="33008.25"/>
    <n v="22872.233749999999"/>
    <n v="0.40930629470436536"/>
    <d v="2025-06-22T00:00:00"/>
    <s v="Q2-2023"/>
    <s v="Europe → Germany → Frankfurt"/>
    <s v="High"/>
    <x v="3"/>
    <x v="0"/>
    <x v="3"/>
  </r>
  <r>
    <s v="ORD-2023-609394"/>
    <x v="198"/>
    <d v="2023-04-19T00:00:00"/>
    <n v="3"/>
    <s v="Europe"/>
    <x v="4"/>
    <s v="Munich"/>
    <s v="Corporate"/>
    <s v="Direct"/>
    <x v="7"/>
    <x v="5"/>
    <x v="220"/>
    <n v="553.61"/>
    <n v="699.47"/>
    <n v="699.47"/>
    <n v="0.02"/>
    <n v="33"/>
    <x v="220"/>
    <n v="18269.13"/>
    <n v="4351.729800000001"/>
    <n v="0.19237685209472014"/>
    <d v="2025-06-27T00:00:00"/>
    <s v="Q2-2023"/>
    <s v="Europe → Germany → Munich"/>
    <s v="Low"/>
    <x v="3"/>
    <x v="0"/>
    <x v="3"/>
  </r>
  <r>
    <s v="ORD-2023-390998"/>
    <x v="3"/>
    <d v="2023-04-28T00:00:00"/>
    <n v="9"/>
    <s v="Europe"/>
    <x v="4"/>
    <s v="Berlin"/>
    <s v="Education"/>
    <s v="Online"/>
    <x v="6"/>
    <x v="0"/>
    <x v="221"/>
    <n v="1178.42"/>
    <n v="2446.56"/>
    <n v="2446.56"/>
    <n v="2.9000000000000001E-2"/>
    <n v="11"/>
    <x v="221"/>
    <n v="12962.62"/>
    <n v="13169.08736"/>
    <n v="0.5039505141618883"/>
    <d v="2025-06-09T00:00:00"/>
    <s v="Q2-2023"/>
    <s v="Europe → Germany → Berlin"/>
    <s v="High"/>
    <x v="3"/>
    <x v="0"/>
    <x v="3"/>
  </r>
  <r>
    <s v="ORD-2023-521280"/>
    <x v="199"/>
    <d v="2023-06-19T00:00:00"/>
    <n v="23"/>
    <s v="Europe"/>
    <x v="4"/>
    <s v="Berlin"/>
    <s v="Education"/>
    <s v="Retail"/>
    <x v="13"/>
    <x v="5"/>
    <x v="222"/>
    <n v="1471.58"/>
    <n v="2576.65"/>
    <n v="2576.65"/>
    <n v="4.0000000000000001E-3"/>
    <n v="7"/>
    <x v="222"/>
    <n v="10301.06"/>
    <n v="7663.3438000000006"/>
    <n v="0.4265849223451546"/>
    <d v="2025-05-02T00:00:00"/>
    <s v="Q2-2023"/>
    <s v="Europe → Germany → Berlin"/>
    <s v="High"/>
    <x v="4"/>
    <x v="0"/>
    <x v="4"/>
  </r>
  <r>
    <s v="ORD-2023-349264"/>
    <x v="200"/>
    <d v="2023-06-08T00:00:00"/>
    <n v="7"/>
    <s v="Europe"/>
    <x v="4"/>
    <s v="Frankfurt"/>
    <s v="Consumer"/>
    <s v="Online"/>
    <x v="4"/>
    <x v="2"/>
    <x v="223"/>
    <n v="804.17"/>
    <n v="1072.29"/>
    <n v="1072.29"/>
    <n v="3.2000000000000001E-2"/>
    <n v="5"/>
    <x v="223"/>
    <n v="4020.85"/>
    <n v="1169.0336000000002"/>
    <n v="0.2252523736755869"/>
    <d v="2025-04-22T00:00:00"/>
    <s v="Q2-2023"/>
    <s v="Europe → Germany → Frankfurt"/>
    <s v="Medium"/>
    <x v="5"/>
    <x v="0"/>
    <x v="5"/>
  </r>
  <r>
    <s v="ORD-2023-453699"/>
    <x v="151"/>
    <d v="2023-07-08T00:00:00"/>
    <n v="7"/>
    <s v="Europe"/>
    <x v="4"/>
    <s v="Frankfurt"/>
    <s v="Small Business"/>
    <s v="Distributor"/>
    <x v="1"/>
    <x v="6"/>
    <x v="224"/>
    <n v="460.21"/>
    <n v="1139.1500000000001"/>
    <n v="1139.1500000000001"/>
    <n v="0.115"/>
    <n v="14"/>
    <x v="224"/>
    <n v="6442.94"/>
    <n v="7671.1285000000016"/>
    <n v="0.54350937151821255"/>
    <d v="2025-03-14T00:00:00"/>
    <s v="Q3-2023"/>
    <s v="Europe → Germany → Frankfurt"/>
    <s v="Medium"/>
    <x v="6"/>
    <x v="0"/>
    <x v="6"/>
  </r>
  <r>
    <s v="ORD-2023-235230"/>
    <x v="201"/>
    <d v="2023-09-01T00:00:00"/>
    <n v="2"/>
    <s v="Europe"/>
    <x v="4"/>
    <s v="Munich"/>
    <s v="Corporate"/>
    <s v="Direct"/>
    <x v="1"/>
    <x v="4"/>
    <x v="225"/>
    <n v="44.42"/>
    <n v="41.9"/>
    <n v="41.9"/>
    <n v="0.14399999999999999"/>
    <n v="6"/>
    <x v="225"/>
    <n v="266.52"/>
    <n v="-51.321600000000018"/>
    <n v="-0.23848504449847224"/>
    <d v="2025-01-22T00:00:00"/>
    <s v="Q3-2023"/>
    <s v="Europe → Germany → Munich"/>
    <s v="Low"/>
    <x v="7"/>
    <x v="0"/>
    <x v="7"/>
  </r>
  <r>
    <s v="ORD-2023-191563"/>
    <x v="202"/>
    <d v="2023-12-10T00:00:00"/>
    <n v="10"/>
    <s v="Europe"/>
    <x v="4"/>
    <s v="Munich"/>
    <s v="Small Business"/>
    <s v="Direct"/>
    <x v="8"/>
    <x v="6"/>
    <x v="226"/>
    <n v="174.74"/>
    <n v="415.96"/>
    <n v="415.96"/>
    <n v="0.125"/>
    <n v="21"/>
    <x v="226"/>
    <n v="3669.54"/>
    <n v="3973.7249999999995"/>
    <n v="0.51989889137691803"/>
    <d v="2024-10-27T00:00:00"/>
    <s v="Q4-2023"/>
    <s v="Europe → Germany → Munich"/>
    <s v="Low"/>
    <x v="10"/>
    <x v="0"/>
    <x v="10"/>
  </r>
  <r>
    <s v="ORD-2023-212701"/>
    <x v="203"/>
    <d v="2023-12-16T00:00:00"/>
    <n v="14"/>
    <s v="Europe"/>
    <x v="4"/>
    <s v="Frankfurt"/>
    <s v="Education"/>
    <s v="Direct"/>
    <x v="1"/>
    <x v="0"/>
    <x v="227"/>
    <n v="879.08"/>
    <n v="1093.3900000000001"/>
    <n v="1093.3900000000001"/>
    <n v="0.113"/>
    <n v="17"/>
    <x v="227"/>
    <n v="14944.36"/>
    <n v="1542.8678099999997"/>
    <n v="9.3579577341935186E-2"/>
    <d v="2024-10-25T00:00:00"/>
    <s v="Q4-2023"/>
    <s v="Europe → Germany → Frankfurt"/>
    <s v="Medium"/>
    <x v="11"/>
    <x v="0"/>
    <x v="11"/>
  </r>
  <r>
    <s v="ORD-2023-961864"/>
    <x v="204"/>
    <d v="2024-01-02T00:00:00"/>
    <n v="26"/>
    <s v="Europe"/>
    <x v="4"/>
    <s v="Frankfurt"/>
    <s v="Enterprise"/>
    <s v="Distributor"/>
    <x v="6"/>
    <x v="1"/>
    <x v="228"/>
    <n v="1071.99"/>
    <n v="2397.3000000000002"/>
    <n v="2397.3000000000002"/>
    <n v="6.2E-2"/>
    <n v="18"/>
    <x v="228"/>
    <n v="19295.82"/>
    <n v="21180.193200000002"/>
    <n v="0.52327765324476183"/>
    <d v="2024-11-05T00:00:00"/>
    <s v="Q4-2023"/>
    <s v="Europe → Germany → Frankfurt"/>
    <s v="High"/>
    <x v="11"/>
    <x v="0"/>
    <x v="11"/>
  </r>
  <r>
    <s v="ORD-2024-366010"/>
    <x v="205"/>
    <d v="2024-02-05T00:00:00"/>
    <n v="23"/>
    <s v="Europe"/>
    <x v="4"/>
    <s v="Frankfurt"/>
    <s v="Education"/>
    <s v="Direct"/>
    <x v="7"/>
    <x v="6"/>
    <x v="229"/>
    <n v="1017.93"/>
    <n v="1529.14"/>
    <n v="1529.14"/>
    <n v="0.155"/>
    <n v="12"/>
    <x v="229"/>
    <n v="12215.16"/>
    <n v="3290.3196000000007"/>
    <n v="0.21220366508366503"/>
    <d v="2024-09-25T00:00:00"/>
    <s v="Q1-2024"/>
    <s v="Europe → Germany → Frankfurt"/>
    <s v="Medium"/>
    <x v="12"/>
    <x v="0"/>
    <x v="12"/>
  </r>
  <r>
    <s v="ORD-2024-749242"/>
    <x v="206"/>
    <d v="2024-02-11T00:00:00"/>
    <n v="26"/>
    <s v="Europe"/>
    <x v="4"/>
    <s v="Frankfurt"/>
    <s v="Non-Profit"/>
    <s v="Distributor"/>
    <x v="6"/>
    <x v="0"/>
    <x v="230"/>
    <n v="504.93"/>
    <n v="819.06"/>
    <n v="819.06"/>
    <n v="0.22600000000000001"/>
    <n v="15"/>
    <x v="230"/>
    <n v="7573.95"/>
    <n v="1935.3365999999996"/>
    <n v="0.20352069312959814"/>
    <d v="2024-09-09T00:00:00"/>
    <s v="Q1-2024"/>
    <s v="Europe → Germany → Frankfurt"/>
    <s v="Medium"/>
    <x v="12"/>
    <x v="0"/>
    <x v="12"/>
  </r>
  <r>
    <s v="ORD-2024-210687"/>
    <x v="207"/>
    <d v="2024-02-09T00:00:00"/>
    <n v="12"/>
    <s v="Europe"/>
    <x v="4"/>
    <s v="Berlin"/>
    <s v="Corporate"/>
    <s v="Online"/>
    <x v="2"/>
    <x v="5"/>
    <x v="231"/>
    <n v="644.16999999999996"/>
    <n v="700.12"/>
    <n v="700.12"/>
    <n v="6.0000000000000001E-3"/>
    <n v="23"/>
    <x v="231"/>
    <n v="14815.91"/>
    <n v="1190.23344"/>
    <n v="7.436103796405813E-2"/>
    <d v="2024-08-18T00:00:00"/>
    <s v="Q1-2024"/>
    <s v="Europe → Germany → Berlin"/>
    <s v="Low"/>
    <x v="12"/>
    <x v="0"/>
    <x v="12"/>
  </r>
  <r>
    <s v="ORD-2024-960952"/>
    <x v="115"/>
    <d v="2024-02-21T00:00:00"/>
    <n v="18"/>
    <s v="Europe"/>
    <x v="4"/>
    <s v="Frankfurt"/>
    <s v="Corporate"/>
    <s v="Retail"/>
    <x v="15"/>
    <x v="1"/>
    <x v="232"/>
    <n v="39.229999999999997"/>
    <n v="30.09"/>
    <n v="30.09"/>
    <n v="0.17699999999999999"/>
    <n v="13"/>
    <x v="232"/>
    <n v="509.98999999999995"/>
    <n v="-188.05708999999996"/>
    <n v="-0.58414993981199359"/>
    <d v="2024-09-03T00:00:00"/>
    <s v="Q1-2024"/>
    <s v="Europe → Germany → Frankfurt"/>
    <s v="Low"/>
    <x v="13"/>
    <x v="0"/>
    <x v="13"/>
  </r>
  <r>
    <s v="ORD-2024-356812"/>
    <x v="208"/>
    <d v="2024-04-03T00:00:00"/>
    <n v="27"/>
    <s v="Europe"/>
    <x v="4"/>
    <s v="Frankfurt"/>
    <s v="Corporate"/>
    <s v="Direct"/>
    <x v="3"/>
    <x v="3"/>
    <x v="233"/>
    <n v="738.16"/>
    <n v="956.49"/>
    <n v="956.49"/>
    <n v="0.152"/>
    <n v="5"/>
    <x v="233"/>
    <n v="3690.7999999999997"/>
    <n v="364.71759999999995"/>
    <n v="8.9931208780847108E-2"/>
    <d v="2024-07-13T00:00:00"/>
    <s v="Q1-2024"/>
    <s v="Europe → Germany → Frankfurt"/>
    <s v="Medium"/>
    <x v="29"/>
    <x v="0"/>
    <x v="29"/>
  </r>
  <r>
    <s v="ORD-2024-692673"/>
    <x v="208"/>
    <d v="2024-03-25T00:00:00"/>
    <n v="18"/>
    <s v="Europe"/>
    <x v="4"/>
    <s v="Munich"/>
    <s v="Corporate"/>
    <s v="Online"/>
    <x v="7"/>
    <x v="1"/>
    <x v="234"/>
    <n v="712.84"/>
    <n v="927.51"/>
    <n v="927.51"/>
    <n v="0.24299999999999999"/>
    <n v="27"/>
    <x v="234"/>
    <n v="19246.68"/>
    <n v="-289.30311000000074"/>
    <n v="-1.5260714163076427E-2"/>
    <d v="2024-07-25T00:00:00"/>
    <s v="Q1-2024"/>
    <s v="Europe → Germany → Munich"/>
    <s v="Medium"/>
    <x v="29"/>
    <x v="0"/>
    <x v="29"/>
  </r>
  <r>
    <s v="ORD-2024-287210"/>
    <x v="209"/>
    <d v="2024-03-21T00:00:00"/>
    <n v="3"/>
    <s v="Europe"/>
    <x v="4"/>
    <s v="Munich"/>
    <s v="Small Business"/>
    <s v="Online"/>
    <x v="3"/>
    <x v="5"/>
    <x v="235"/>
    <n v="910.63"/>
    <n v="1269.4000000000001"/>
    <n v="1269.4000000000001"/>
    <n v="6.8000000000000005E-2"/>
    <n v="9"/>
    <x v="235"/>
    <n v="8195.67"/>
    <n v="2452.0571999999993"/>
    <n v="0.23028925834989455"/>
    <d v="2024-07-09T00:00:00"/>
    <s v="Q1-2024"/>
    <s v="Europe → Germany → Munich"/>
    <s v="Medium"/>
    <x v="29"/>
    <x v="0"/>
    <x v="29"/>
  </r>
  <r>
    <s v="ORD-2024-745822"/>
    <x v="210"/>
    <d v="2024-04-17T00:00:00"/>
    <n v="17"/>
    <s v="Europe"/>
    <x v="4"/>
    <s v="Frankfurt"/>
    <s v="Education"/>
    <s v="Direct"/>
    <x v="15"/>
    <x v="0"/>
    <x v="236"/>
    <n v="1025.51"/>
    <n v="1436.54"/>
    <n v="1436.54"/>
    <n v="0.13900000000000001"/>
    <n v="28"/>
    <x v="236"/>
    <n v="28714.28"/>
    <n v="5917.8263200000001"/>
    <n v="0.17087688127656453"/>
    <d v="2024-06-25T00:00:00"/>
    <s v="Q1-2024"/>
    <s v="Europe → Germany → Frankfurt"/>
    <s v="Medium"/>
    <x v="29"/>
    <x v="0"/>
    <x v="29"/>
  </r>
  <r>
    <s v="ORD-2024-211453"/>
    <x v="211"/>
    <d v="2024-04-24T00:00:00"/>
    <n v="20"/>
    <s v="Europe"/>
    <x v="4"/>
    <s v="Frankfurt"/>
    <s v="Non-Profit"/>
    <s v="Direct"/>
    <x v="13"/>
    <x v="5"/>
    <x v="237"/>
    <n v="683.42"/>
    <n v="951.51"/>
    <n v="951.51"/>
    <n v="0"/>
    <n v="14"/>
    <x v="237"/>
    <n v="9567.8799999999992"/>
    <n v="3753.26"/>
    <n v="0.28175216235247136"/>
    <d v="2024-06-07T00:00:00"/>
    <s v="Q2-2024"/>
    <s v="Europe → Germany → Frankfurt"/>
    <s v="Medium"/>
    <x v="14"/>
    <x v="0"/>
    <x v="14"/>
  </r>
  <r>
    <s v="ORD-2024-855600"/>
    <x v="212"/>
    <d v="2024-05-19T00:00:00"/>
    <n v="20"/>
    <s v="Europe"/>
    <x v="4"/>
    <s v="Frankfurt"/>
    <s v="Enterprise"/>
    <s v="Marketplace"/>
    <x v="5"/>
    <x v="6"/>
    <x v="238"/>
    <n v="668.97"/>
    <n v="1667.44"/>
    <n v="1667.44"/>
    <n v="3.4000000000000002E-2"/>
    <n v="15"/>
    <x v="238"/>
    <n v="10034.550000000001"/>
    <n v="14126.6556"/>
    <n v="0.58468339013679016"/>
    <d v="2024-06-02T00:00:00"/>
    <s v="Q2-2024"/>
    <s v="Europe → Germany → Frankfurt"/>
    <s v="High"/>
    <x v="14"/>
    <x v="0"/>
    <x v="14"/>
  </r>
  <r>
    <s v="ORD-2024-402240"/>
    <x v="213"/>
    <d v="2024-05-26T00:00:00"/>
    <n v="25"/>
    <s v="Europe"/>
    <x v="4"/>
    <s v="Berlin"/>
    <s v="Non-Profit"/>
    <s v="Retail"/>
    <x v="7"/>
    <x v="4"/>
    <x v="239"/>
    <n v="930.71"/>
    <n v="1625.42"/>
    <n v="1625.42"/>
    <n v="0.13800000000000001"/>
    <n v="7"/>
    <x v="239"/>
    <n v="6514.97"/>
    <n v="3292.8142799999996"/>
    <n v="0.33573477821231196"/>
    <d v="2024-05-23T00:00:00"/>
    <s v="Q2-2024"/>
    <s v="Europe → Germany → Berlin"/>
    <s v="Medium"/>
    <x v="15"/>
    <x v="0"/>
    <x v="15"/>
  </r>
  <r>
    <s v="ORD-2024-819979"/>
    <x v="214"/>
    <d v="2024-06-18T00:00:00"/>
    <n v="21"/>
    <s v="Europe"/>
    <x v="4"/>
    <s v="Frankfurt"/>
    <s v="Small Business"/>
    <s v="Online"/>
    <x v="6"/>
    <x v="2"/>
    <x v="240"/>
    <n v="986.85"/>
    <n v="2422.1"/>
    <n v="2422.1"/>
    <n v="7.5999999999999998E-2"/>
    <n v="10"/>
    <x v="240"/>
    <n v="9868.5"/>
    <n v="12511.704000000002"/>
    <n v="0.55905227673527913"/>
    <d v="2024-04-21T00:00:00"/>
    <s v="Q2-2024"/>
    <s v="Europe → Germany → Frankfurt"/>
    <s v="High"/>
    <x v="15"/>
    <x v="0"/>
    <x v="15"/>
  </r>
  <r>
    <s v="ORD-2024-584090"/>
    <x v="122"/>
    <d v="2024-06-26T00:00:00"/>
    <n v="19"/>
    <s v="Europe"/>
    <x v="4"/>
    <s v="Berlin"/>
    <s v="Non-Profit"/>
    <s v="Marketplace"/>
    <x v="3"/>
    <x v="1"/>
    <x v="241"/>
    <n v="1064.32"/>
    <n v="1848.39"/>
    <n v="1848.39"/>
    <n v="7.2999999999999995E-2"/>
    <n v="38"/>
    <x v="241"/>
    <n v="40444.159999999996"/>
    <n v="24667.226140000013"/>
    <n v="0.3788465827921631"/>
    <d v="2024-04-19T00:00:00"/>
    <s v="Q2-2024"/>
    <s v="Europe → Germany → Berlin"/>
    <s v="High"/>
    <x v="16"/>
    <x v="0"/>
    <x v="16"/>
  </r>
  <r>
    <s v="ORD-2024-745424"/>
    <x v="215"/>
    <d v="2024-09-04T00:00:00"/>
    <n v="13"/>
    <s v="Europe"/>
    <x v="4"/>
    <s v="Frankfurt"/>
    <s v="Non-Profit"/>
    <s v="Retail"/>
    <x v="11"/>
    <x v="3"/>
    <x v="242"/>
    <n v="90.04"/>
    <n v="194.62"/>
    <n v="194.62"/>
    <n v="4.2999999999999997E-2"/>
    <n v="32"/>
    <x v="242"/>
    <n v="2881.28"/>
    <n v="3078.7628799999998"/>
    <n v="0.51656723650954672"/>
    <d v="2024-02-20T00:00:00"/>
    <s v="Q3-2024"/>
    <s v="Europe → Germany → Frankfurt"/>
    <s v="Low"/>
    <x v="18"/>
    <x v="0"/>
    <x v="18"/>
  </r>
  <r>
    <s v="ORD-2024-635626"/>
    <x v="216"/>
    <d v="2024-09-19T00:00:00"/>
    <n v="23"/>
    <s v="Europe"/>
    <x v="4"/>
    <s v="Berlin"/>
    <s v="Small Business"/>
    <s v="Direct"/>
    <x v="0"/>
    <x v="0"/>
    <x v="243"/>
    <n v="1024.01"/>
    <n v="1580.97"/>
    <n v="1580.97"/>
    <n v="3.6999999999999998E-2"/>
    <n v="27"/>
    <x v="243"/>
    <n v="27648.27"/>
    <n v="13458.530970000003"/>
    <n v="0.3274039976942531"/>
    <d v="2024-02-03T00:00:00"/>
    <s v="Q3-2024"/>
    <s v="Europe → Germany → Berlin"/>
    <s v="Medium"/>
    <x v="18"/>
    <x v="0"/>
    <x v="18"/>
  </r>
  <r>
    <s v="ORD-2024-381197"/>
    <x v="217"/>
    <d v="2024-11-12T00:00:00"/>
    <n v="11"/>
    <s v="Europe"/>
    <x v="4"/>
    <s v="Frankfurt"/>
    <s v="Consumer"/>
    <s v="Online"/>
    <x v="7"/>
    <x v="3"/>
    <x v="244"/>
    <n v="599.84"/>
    <n v="1330.85"/>
    <n v="1330.85"/>
    <n v="0.115"/>
    <n v="11"/>
    <x v="244"/>
    <n v="6598.2400000000007"/>
    <n v="6357.5847499999973"/>
    <n v="0.49071246892252063"/>
    <d v="2023-11-19T00:00:00"/>
    <s v="Q4-2024"/>
    <s v="Europe → Germany → Frankfurt"/>
    <s v="Medium"/>
    <x v="20"/>
    <x v="0"/>
    <x v="20"/>
  </r>
  <r>
    <s v="ORD-2024-866535"/>
    <x v="218"/>
    <d v="2024-12-12T00:00:00"/>
    <n v="8"/>
    <s v="Europe"/>
    <x v="4"/>
    <s v="Frankfurt"/>
    <s v="Enterprise"/>
    <s v="Marketplace"/>
    <x v="7"/>
    <x v="3"/>
    <x v="245"/>
    <n v="72.06"/>
    <n v="122.74"/>
    <n v="122.74"/>
    <n v="0.23799999999999999"/>
    <n v="8"/>
    <x v="245"/>
    <n v="576.48"/>
    <n v="171.74303999999995"/>
    <n v="0.22953455162246802"/>
    <d v="2023-10-31T00:00:00"/>
    <s v="Q4-2024"/>
    <s v="Europe → Germany → Frankfurt"/>
    <s v="Low"/>
    <x v="30"/>
    <x v="0"/>
    <x v="30"/>
  </r>
  <r>
    <s v="ORD-2024-289089"/>
    <x v="219"/>
    <d v="2024-12-18T00:00:00"/>
    <n v="1"/>
    <s v="Europe"/>
    <x v="4"/>
    <s v="Munich"/>
    <s v="Education"/>
    <s v="Retail"/>
    <x v="11"/>
    <x v="5"/>
    <x v="246"/>
    <n v="346.82"/>
    <n v="701.95"/>
    <n v="701.95"/>
    <n v="0.14699999999999999"/>
    <n v="8"/>
    <x v="246"/>
    <n v="2774.56"/>
    <n v="2015.5468000000005"/>
    <n v="0.42077283120284509"/>
    <d v="2023-10-11T00:00:00"/>
    <s v="Q4-2024"/>
    <s v="Europe → Germany → Munich"/>
    <s v="Low"/>
    <x v="30"/>
    <x v="0"/>
    <x v="30"/>
  </r>
  <r>
    <s v="ORD-2024-902741"/>
    <x v="220"/>
    <d v="2025-01-11T00:00:00"/>
    <n v="19"/>
    <s v="Europe"/>
    <x v="4"/>
    <s v="Berlin"/>
    <s v="Education"/>
    <s v="Retail"/>
    <x v="12"/>
    <x v="2"/>
    <x v="247"/>
    <n v="501.81"/>
    <n v="921.62"/>
    <n v="921.62"/>
    <n v="0.01"/>
    <n v="9"/>
    <x v="247"/>
    <n v="4516.29"/>
    <n v="3695.3442000000005"/>
    <n v="0.45001325071202031"/>
    <d v="2023-09-25T00:00:00"/>
    <s v="Q4-2024"/>
    <s v="Europe → Germany → Berlin"/>
    <s v="Medium"/>
    <x v="30"/>
    <x v="0"/>
    <x v="30"/>
  </r>
  <r>
    <s v="ORD-2024-474999"/>
    <x v="88"/>
    <d v="2025-01-02T00:00:00"/>
    <n v="6"/>
    <s v="Europe"/>
    <x v="4"/>
    <s v="Frankfurt"/>
    <s v="Education"/>
    <s v="Direct"/>
    <x v="8"/>
    <x v="6"/>
    <x v="248"/>
    <n v="1391.99"/>
    <n v="3469.7"/>
    <n v="3469.7"/>
    <n v="0.184"/>
    <n v="23"/>
    <x v="248"/>
    <n v="32015.77"/>
    <n v="33103.559599999993"/>
    <n v="0.50835227886006973"/>
    <d v="2023-09-30T00:00:00"/>
    <s v="Q4-2024"/>
    <s v="Europe → Germany → Frankfurt"/>
    <s v="High"/>
    <x v="30"/>
    <x v="0"/>
    <x v="30"/>
  </r>
  <r>
    <s v="ORD-2025-766923"/>
    <x v="89"/>
    <d v="2025-02-15T00:00:00"/>
    <n v="0"/>
    <s v="Europe"/>
    <x v="4"/>
    <s v="Frankfurt"/>
    <s v="Small Business"/>
    <s v="Marketplace"/>
    <x v="11"/>
    <x v="5"/>
    <x v="249"/>
    <n v="815.83"/>
    <n v="1982.18"/>
    <n v="1982.18"/>
    <n v="0.127"/>
    <n v="6"/>
    <x v="249"/>
    <n v="4894.9800000000005"/>
    <n v="5487.6788399999996"/>
    <n v="0.52854272923408507"/>
    <d v="2023-07-24T00:00:00"/>
    <s v="Q1-2025"/>
    <s v="Europe → Germany → Frankfurt"/>
    <s v="High"/>
    <x v="22"/>
    <x v="0"/>
    <x v="22"/>
  </r>
  <r>
    <s v="ORD-2025-337268"/>
    <x v="221"/>
    <d v="2025-03-17T00:00:00"/>
    <n v="29"/>
    <s v="Europe"/>
    <x v="4"/>
    <s v="Munich"/>
    <s v="Consumer"/>
    <s v="Retail"/>
    <x v="11"/>
    <x v="5"/>
    <x v="250"/>
    <n v="730.42"/>
    <n v="956.7"/>
    <n v="956.7"/>
    <n v="4.2000000000000003E-2"/>
    <n v="22"/>
    <x v="250"/>
    <n v="16069.24"/>
    <n v="4094.1692000000021"/>
    <n v="0.20304945256975698"/>
    <d v="2023-08-10T00:00:00"/>
    <s v="Q1-2025"/>
    <s v="Europe → Germany → Munich"/>
    <s v="Medium"/>
    <x v="22"/>
    <x v="0"/>
    <x v="22"/>
  </r>
  <r>
    <s v="ORD-2025-926547"/>
    <x v="222"/>
    <d v="2025-03-26T00:00:00"/>
    <n v="15"/>
    <s v="Europe"/>
    <x v="4"/>
    <s v="Berlin"/>
    <s v="Small Business"/>
    <s v="Online"/>
    <x v="14"/>
    <x v="2"/>
    <x v="251"/>
    <n v="116.97"/>
    <n v="140.82"/>
    <n v="140.82"/>
    <n v="0.122"/>
    <n v="5"/>
    <x v="251"/>
    <n v="584.85"/>
    <n v="33.349799999999846"/>
    <n v="5.3946636669891926E-2"/>
    <d v="2023-07-03T00:00:00"/>
    <s v="Q1-2025"/>
    <s v="Europe → Germany → Berlin"/>
    <s v="Low"/>
    <x v="23"/>
    <x v="0"/>
    <x v="23"/>
  </r>
  <r>
    <s v="ORD-2025-947929"/>
    <x v="223"/>
    <d v="2025-04-02T00:00:00"/>
    <n v="10"/>
    <s v="Europe"/>
    <x v="4"/>
    <s v="Berlin"/>
    <s v="Enterprise"/>
    <s v="Online"/>
    <x v="6"/>
    <x v="3"/>
    <x v="252"/>
    <n v="663.61"/>
    <n v="1002.11"/>
    <n v="1002.11"/>
    <n v="4.5999999999999999E-2"/>
    <n v="17"/>
    <x v="252"/>
    <n v="11281.37"/>
    <n v="4970.8499799999972"/>
    <n v="0.30585667595670812"/>
    <d v="2023-06-22T00:00:00"/>
    <s v="Q1-2025"/>
    <s v="Europe → Germany → Berlin"/>
    <s v="Medium"/>
    <x v="23"/>
    <x v="0"/>
    <x v="23"/>
  </r>
  <r>
    <s v="ORD-2025-541048"/>
    <x v="224"/>
    <d v="2025-04-13T00:00:00"/>
    <n v="9"/>
    <s v="Europe"/>
    <x v="4"/>
    <s v="Munich"/>
    <s v="Consumer"/>
    <s v="Marketplace"/>
    <x v="8"/>
    <x v="2"/>
    <x v="253"/>
    <n v="7.02"/>
    <n v="6.28"/>
    <n v="6.28"/>
    <n v="0.13400000000000001"/>
    <n v="14"/>
    <x v="253"/>
    <n v="98.28"/>
    <n v="-22.141279999999995"/>
    <n v="-0.29080184169106066"/>
    <d v="2023-07-01T00:00:00"/>
    <s v="Q2-2025"/>
    <s v="Europe → Germany → Munich"/>
    <s v="Low"/>
    <x v="24"/>
    <x v="0"/>
    <x v="24"/>
  </r>
  <r>
    <s v="ORD-2025-946490"/>
    <x v="181"/>
    <d v="2025-05-02T00:00:00"/>
    <n v="10"/>
    <s v="Europe"/>
    <x v="4"/>
    <s v="Berlin"/>
    <s v="Corporate"/>
    <s v="Marketplace"/>
    <x v="5"/>
    <x v="0"/>
    <x v="254"/>
    <n v="20.149999999999999"/>
    <n v="39.74"/>
    <n v="39.74"/>
    <n v="0.151"/>
    <n v="18"/>
    <x v="254"/>
    <n v="362.7"/>
    <n v="244.60668000000004"/>
    <n v="0.4027729120318585"/>
    <d v="2023-05-27T00:00:00"/>
    <s v="Q2-2025"/>
    <s v="Europe → Germany → Berlin"/>
    <s v="Low"/>
    <x v="24"/>
    <x v="0"/>
    <x v="24"/>
  </r>
  <r>
    <s v="ORD-2025-252117"/>
    <x v="225"/>
    <d v="2025-05-19T00:00:00"/>
    <n v="21"/>
    <s v="Europe"/>
    <x v="4"/>
    <s v="Berlin"/>
    <s v="Corporate"/>
    <s v="Distributor"/>
    <x v="7"/>
    <x v="2"/>
    <x v="255"/>
    <n v="350.76"/>
    <n v="492.18"/>
    <n v="492.18"/>
    <n v="5.2999999999999999E-2"/>
    <n v="11"/>
    <x v="255"/>
    <n v="3858.3599999999997"/>
    <n v="1268.6790600000004"/>
    <n v="0.24744868239798437"/>
    <d v="2023-06-01T00:00:00"/>
    <s v="Q2-2025"/>
    <s v="Europe → Germany → Berlin"/>
    <s v="Low"/>
    <x v="24"/>
    <x v="0"/>
    <x v="24"/>
  </r>
  <r>
    <s v="ORD-2025-820255"/>
    <x v="226"/>
    <d v="2025-06-20T00:00:00"/>
    <n v="22"/>
    <s v="Europe"/>
    <x v="4"/>
    <s v="Berlin"/>
    <s v="Corporate"/>
    <s v="Direct"/>
    <x v="4"/>
    <x v="3"/>
    <x v="256"/>
    <n v="483.47"/>
    <n v="1135.43"/>
    <n v="1135.43"/>
    <n v="0.14599999999999999"/>
    <n v="11"/>
    <x v="256"/>
    <n v="5318.17"/>
    <n v="5348.0594200000014"/>
    <n v="0.50140112399719983"/>
    <d v="2023-05-02T00:00:00"/>
    <s v="Q2-2025"/>
    <s v="Europe → Germany → Berlin"/>
    <s v="Medium"/>
    <x v="25"/>
    <x v="0"/>
    <x v="25"/>
  </r>
  <r>
    <s v="ORD-2025-398335"/>
    <x v="184"/>
    <d v="2025-06-27T00:00:00"/>
    <n v="26"/>
    <s v="Europe"/>
    <x v="4"/>
    <s v="Munich"/>
    <s v="Consumer"/>
    <s v="Distributor"/>
    <x v="6"/>
    <x v="6"/>
    <x v="257"/>
    <n v="1362.31"/>
    <n v="3294.57"/>
    <n v="3294.57"/>
    <n v="0.113"/>
    <n v="7"/>
    <x v="257"/>
    <n v="9536.17"/>
    <n v="10919.815130000001"/>
    <n v="0.5338200561157721"/>
    <d v="2023-05-10T00:00:00"/>
    <s v="Q2-2025"/>
    <s v="Europe → Germany → Munich"/>
    <s v="High"/>
    <x v="31"/>
    <x v="0"/>
    <x v="31"/>
  </r>
  <r>
    <s v="ORD-2025-795385"/>
    <x v="184"/>
    <d v="2025-06-05T00:00:00"/>
    <n v="4"/>
    <s v="Europe"/>
    <x v="4"/>
    <s v="Munich"/>
    <s v="Enterprise"/>
    <s v="Direct"/>
    <x v="3"/>
    <x v="1"/>
    <x v="258"/>
    <n v="1171.42"/>
    <n v="2187.8000000000002"/>
    <n v="2187.8000000000002"/>
    <n v="0.23"/>
    <n v="15"/>
    <x v="258"/>
    <n v="17571.300000000003"/>
    <n v="7697.7899999999972"/>
    <n v="0.30463265594447592"/>
    <d v="2023-04-22T00:00:00"/>
    <s v="Q2-2025"/>
    <s v="Europe → Germany → Munich"/>
    <s v="High"/>
    <x v="31"/>
    <x v="0"/>
    <x v="31"/>
  </r>
  <r>
    <s v="ORD-2025-678328"/>
    <x v="94"/>
    <d v="2025-07-14T00:00:00"/>
    <n v="20"/>
    <s v="Europe"/>
    <x v="4"/>
    <s v="Berlin"/>
    <s v="Corporate"/>
    <s v="Direct"/>
    <x v="13"/>
    <x v="5"/>
    <x v="259"/>
    <n v="385.08"/>
    <n v="893.19"/>
    <n v="893.19"/>
    <n v="0.151"/>
    <n v="8"/>
    <x v="259"/>
    <n v="3080.64"/>
    <n v="2985.9064800000001"/>
    <n v="0.49219213762621666"/>
    <d v="2023-04-22T00:00:00"/>
    <s v="Q2-2025"/>
    <s v="Europe → Germany → Berlin"/>
    <s v="Medium"/>
    <x v="31"/>
    <x v="0"/>
    <x v="31"/>
  </r>
  <r>
    <s v="ORD-2025-184754"/>
    <x v="141"/>
    <d v="2025-07-05T00:00:00"/>
    <n v="8"/>
    <s v="Europe"/>
    <x v="4"/>
    <s v="Munich"/>
    <s v="Small Business"/>
    <s v="Direct"/>
    <x v="2"/>
    <x v="0"/>
    <x v="260"/>
    <n v="314.93"/>
    <n v="687.95"/>
    <n v="687.95"/>
    <n v="0.20499999999999999"/>
    <n v="8"/>
    <x v="260"/>
    <n v="2519.44"/>
    <n v="1855.922"/>
    <n v="0.424175645352316"/>
    <d v="2023-04-05T00:00:00"/>
    <s v="Q2-2025"/>
    <s v="Europe → Germany → Munich"/>
    <s v="Low"/>
    <x v="31"/>
    <x v="0"/>
    <x v="31"/>
  </r>
  <r>
    <s v="ORD-2025-677880"/>
    <x v="145"/>
    <d v="2025-09-14T00:00:00"/>
    <n v="24"/>
    <s v="Europe"/>
    <x v="4"/>
    <s v="Berlin"/>
    <s v="Non-Profit"/>
    <s v="Online"/>
    <x v="4"/>
    <x v="0"/>
    <x v="261"/>
    <n v="1397.67"/>
    <n v="3131.37"/>
    <n v="3131.37"/>
    <n v="0.10299999999999999"/>
    <n v="20"/>
    <x v="261"/>
    <n v="27953.4"/>
    <n v="28223.377799999995"/>
    <n v="0.50240293062874808"/>
    <d v="2023-02-26T00:00:00"/>
    <s v="Q3-2025"/>
    <s v="Europe → Germany → Berlin"/>
    <s v="High"/>
    <x v="27"/>
    <x v="0"/>
    <x v="27"/>
  </r>
  <r>
    <s v="ORD-2023-521818"/>
    <x v="0"/>
    <d v="2023-02-28T00:00:00"/>
    <n v="30"/>
    <s v="Asia"/>
    <x v="5"/>
    <s v="Bengaluru"/>
    <s v="Non-Profit"/>
    <s v="Retail"/>
    <x v="7"/>
    <x v="5"/>
    <x v="262"/>
    <n v="1262.0999999999999"/>
    <n v="1395.53"/>
    <n v="1395.53"/>
    <n v="0.23300000000000001"/>
    <n v="25"/>
    <x v="262"/>
    <n v="31552.499999999996"/>
    <n v="-4793.2122499999969"/>
    <n v="-0.17912331205452198"/>
    <d v="2025-09-10T00:00:00"/>
    <s v="Q1-2023"/>
    <s v="Asia → India → Bengaluru"/>
    <s v="Medium"/>
    <x v="0"/>
    <x v="0"/>
    <x v="0"/>
  </r>
  <r>
    <s v="ORD-2023-848013"/>
    <x v="227"/>
    <d v="2023-03-04T00:00:00"/>
    <n v="12"/>
    <s v="Asia"/>
    <x v="5"/>
    <s v="Delhi"/>
    <s v="Consumer"/>
    <s v="Distributor"/>
    <x v="3"/>
    <x v="0"/>
    <x v="263"/>
    <n v="299.75"/>
    <n v="523.01"/>
    <n v="523.01"/>
    <n v="0.157"/>
    <n v="50"/>
    <x v="263"/>
    <n v="14987.5"/>
    <n v="7057.3714999999975"/>
    <n v="0.32013665854210122"/>
    <d v="2025-08-10T00:00:00"/>
    <s v="Q1-2023"/>
    <s v="Asia → India → Delhi"/>
    <s v="Low"/>
    <x v="1"/>
    <x v="0"/>
    <x v="1"/>
  </r>
  <r>
    <s v="ORD-2023-864121"/>
    <x v="228"/>
    <d v="2023-04-22T00:00:00"/>
    <n v="26"/>
    <s v="Asia"/>
    <x v="5"/>
    <s v="Delhi"/>
    <s v="Non-Profit"/>
    <s v="Marketplace"/>
    <x v="9"/>
    <x v="3"/>
    <x v="264"/>
    <n v="178.53"/>
    <n v="199.37"/>
    <n v="199.37"/>
    <n v="0.10100000000000001"/>
    <n v="37"/>
    <x v="264"/>
    <n v="6605.61"/>
    <n v="26.034310000000914"/>
    <n v="3.9257699573457538E-3"/>
    <d v="2025-07-03T00:00:00"/>
    <s v="Q1-2023"/>
    <s v="Asia → India → Delhi"/>
    <s v="Low"/>
    <x v="2"/>
    <x v="0"/>
    <x v="2"/>
  </r>
  <r>
    <s v="ORD-2023-308124"/>
    <x v="3"/>
    <d v="2023-04-30T00:00:00"/>
    <n v="11"/>
    <s v="Asia"/>
    <x v="5"/>
    <s v="Delhi"/>
    <s v="Small Business"/>
    <s v="Retail"/>
    <x v="4"/>
    <x v="4"/>
    <x v="265"/>
    <n v="826.55"/>
    <n v="1397.05"/>
    <n v="1397.05"/>
    <n v="0.16900000000000001"/>
    <n v="28"/>
    <x v="265"/>
    <n v="23143.399999999998"/>
    <n v="9363.1594000000005"/>
    <n v="0.28803907804527601"/>
    <d v="2025-06-01T00:00:00"/>
    <s v="Q2-2023"/>
    <s v="Asia → India → Delhi"/>
    <s v="Medium"/>
    <x v="3"/>
    <x v="0"/>
    <x v="3"/>
  </r>
  <r>
    <s v="ORD-2023-906481"/>
    <x v="105"/>
    <d v="2023-05-18T00:00:00"/>
    <n v="16"/>
    <s v="Asia"/>
    <x v="5"/>
    <s v="Delhi"/>
    <s v="Small Business"/>
    <s v="Marketplace"/>
    <x v="12"/>
    <x v="0"/>
    <x v="266"/>
    <n v="1463.92"/>
    <n v="2252.2399999999998"/>
    <n v="2252.2399999999998"/>
    <n v="0.11799999999999999"/>
    <n v="44"/>
    <x v="266"/>
    <n v="64412.480000000003"/>
    <n v="22992.449919999992"/>
    <n v="0.26305667130040061"/>
    <d v="2025-05-18T00:00:00"/>
    <s v="Q2-2023"/>
    <s v="Asia → India → Delhi"/>
    <s v="High"/>
    <x v="4"/>
    <x v="0"/>
    <x v="4"/>
  </r>
  <r>
    <s v="ORD-2023-573656"/>
    <x v="105"/>
    <d v="2023-05-16T00:00:00"/>
    <n v="14"/>
    <s v="Asia"/>
    <x v="5"/>
    <s v="Bengaluru"/>
    <s v="Non-Profit"/>
    <s v="Retail"/>
    <x v="11"/>
    <x v="0"/>
    <x v="267"/>
    <n v="475.37"/>
    <n v="963.73"/>
    <n v="963.73"/>
    <n v="4.1000000000000002E-2"/>
    <n v="22"/>
    <x v="267"/>
    <n v="10458.14"/>
    <n v="9874.6355399999993"/>
    <n v="0.48565113604750881"/>
    <d v="2025-05-27T00:00:00"/>
    <s v="Q2-2023"/>
    <s v="Asia → India → Bengaluru"/>
    <s v="Medium"/>
    <x v="4"/>
    <x v="0"/>
    <x v="4"/>
  </r>
  <r>
    <s v="ORD-2023-957692"/>
    <x v="229"/>
    <d v="2023-05-20T00:00:00"/>
    <n v="13"/>
    <s v="Asia"/>
    <x v="5"/>
    <s v="Mumbai"/>
    <s v="Enterprise"/>
    <s v="Retail"/>
    <x v="0"/>
    <x v="5"/>
    <x v="268"/>
    <n v="1443.28"/>
    <n v="2580.5700000000002"/>
    <n v="2580.5700000000002"/>
    <n v="0"/>
    <n v="18"/>
    <x v="268"/>
    <n v="25979.040000000001"/>
    <n v="20471.22"/>
    <n v="0.4407127107577008"/>
    <d v="2025-05-10T00:00:00"/>
    <s v="Q2-2023"/>
    <s v="Asia → India → Mumbai"/>
    <s v="High"/>
    <x v="4"/>
    <x v="0"/>
    <x v="4"/>
  </r>
  <r>
    <s v="ORD-2023-472050"/>
    <x v="230"/>
    <d v="2023-05-27T00:00:00"/>
    <n v="17"/>
    <s v="Asia"/>
    <x v="5"/>
    <s v="Mumbai"/>
    <s v="Consumer"/>
    <s v="Retail"/>
    <x v="3"/>
    <x v="6"/>
    <x v="269"/>
    <n v="1286.1600000000001"/>
    <n v="3101.11"/>
    <n v="3101.11"/>
    <n v="0.1"/>
    <n v="23"/>
    <x v="269"/>
    <n v="29581.68"/>
    <n v="34611.296999999999"/>
    <n v="0.53917575749758417"/>
    <d v="2025-04-27T00:00:00"/>
    <s v="Q2-2023"/>
    <s v="Asia → India → Mumbai"/>
    <s v="High"/>
    <x v="4"/>
    <x v="0"/>
    <x v="4"/>
  </r>
  <r>
    <s v="ORD-2023-913592"/>
    <x v="230"/>
    <d v="2023-05-14T00:00:00"/>
    <n v="4"/>
    <s v="Asia"/>
    <x v="5"/>
    <s v="Delhi"/>
    <s v="Non-Profit"/>
    <s v="Distributor"/>
    <x v="5"/>
    <x v="0"/>
    <x v="270"/>
    <n v="622.6"/>
    <n v="833.69"/>
    <n v="833.69"/>
    <n v="0.20899999999999999"/>
    <n v="14"/>
    <x v="270"/>
    <n v="8716.4"/>
    <n v="515.88306000000011"/>
    <n v="5.5878167582959715E-2"/>
    <d v="2025-05-12T00:00:00"/>
    <s v="Q2-2023"/>
    <s v="Asia → India → Delhi"/>
    <s v="Medium"/>
    <x v="4"/>
    <x v="0"/>
    <x v="4"/>
  </r>
  <r>
    <s v="ORD-2023-676553"/>
    <x v="231"/>
    <d v="2023-06-19T00:00:00"/>
    <n v="30"/>
    <s v="Asia"/>
    <x v="5"/>
    <s v="Delhi"/>
    <s v="Non-Profit"/>
    <s v="Marketplace"/>
    <x v="15"/>
    <x v="6"/>
    <x v="271"/>
    <n v="1161.2"/>
    <n v="878.73"/>
    <n v="878.73"/>
    <n v="0.19"/>
    <n v="31"/>
    <x v="271"/>
    <n v="35997.200000000004"/>
    <n v="-13932.289700000001"/>
    <n v="-0.63142290227212028"/>
    <d v="2025-05-17T00:00:00"/>
    <s v="Q2-2023"/>
    <s v="Asia → India → Delhi"/>
    <s v="Medium"/>
    <x v="4"/>
    <x v="0"/>
    <x v="4"/>
  </r>
  <r>
    <s v="ORD-2023-868460"/>
    <x v="200"/>
    <d v="2023-06-01T00:00:00"/>
    <n v="0"/>
    <s v="Asia"/>
    <x v="5"/>
    <s v="Bengaluru"/>
    <s v="Corporate"/>
    <s v="Retail"/>
    <x v="6"/>
    <x v="5"/>
    <x v="272"/>
    <n v="669.37"/>
    <n v="997.2"/>
    <n v="997.2"/>
    <n v="8.2000000000000003E-2"/>
    <n v="5"/>
    <x v="272"/>
    <n v="3346.85"/>
    <n v="1230.2980000000002"/>
    <n v="0.26879139586484863"/>
    <d v="2025-04-24T00:00:00"/>
    <s v="Q2-2023"/>
    <s v="Asia → India → Bengaluru"/>
    <s v="Medium"/>
    <x v="5"/>
    <x v="0"/>
    <x v="5"/>
  </r>
  <r>
    <s v="ORD-2023-109927"/>
    <x v="232"/>
    <d v="2023-07-22T00:00:00"/>
    <n v="1"/>
    <s v="Asia"/>
    <x v="5"/>
    <s v="Delhi"/>
    <s v="Small Business"/>
    <s v="Distributor"/>
    <x v="6"/>
    <x v="3"/>
    <x v="273"/>
    <n v="946.99"/>
    <n v="2132.19"/>
    <n v="2132.19"/>
    <n v="0.16500000000000001"/>
    <n v="7"/>
    <x v="273"/>
    <n v="6628.93"/>
    <n v="5833.72055"/>
    <n v="0.46809629513362228"/>
    <d v="2025-03-03T00:00:00"/>
    <s v="Q3-2023"/>
    <s v="Asia → India → Delhi"/>
    <s v="High"/>
    <x v="6"/>
    <x v="0"/>
    <x v="6"/>
  </r>
  <r>
    <s v="ORD-2023-944052"/>
    <x v="201"/>
    <d v="2023-09-03T00:00:00"/>
    <n v="4"/>
    <s v="Asia"/>
    <x v="5"/>
    <s v="Delhi"/>
    <s v="Small Business"/>
    <s v="Marketplace"/>
    <x v="11"/>
    <x v="5"/>
    <x v="274"/>
    <n v="1082.25"/>
    <n v="2433.34"/>
    <n v="2433.34"/>
    <n v="0.27"/>
    <n v="4"/>
    <x v="274"/>
    <n v="4329"/>
    <n v="2776.3528000000006"/>
    <n v="0.3907410199251472"/>
    <d v="2025-01-03T00:00:00"/>
    <s v="Q3-2023"/>
    <s v="Asia → India → Delhi"/>
    <s v="High"/>
    <x v="7"/>
    <x v="0"/>
    <x v="7"/>
  </r>
  <r>
    <s v="ORD-2023-722117"/>
    <x v="233"/>
    <d v="2023-10-08T00:00:00"/>
    <n v="20"/>
    <s v="Asia"/>
    <x v="5"/>
    <s v="Delhi"/>
    <s v="Small Business"/>
    <s v="Direct"/>
    <x v="7"/>
    <x v="1"/>
    <x v="275"/>
    <n v="825.64"/>
    <n v="1108.43"/>
    <n v="1108.43"/>
    <n v="0.114"/>
    <n v="7"/>
    <x v="275"/>
    <n v="5779.48"/>
    <n v="1095.0028600000005"/>
    <n v="0.15928512475773349"/>
    <d v="2024-12-27T00:00:00"/>
    <s v="Q3-2023"/>
    <s v="Asia → India → Delhi"/>
    <s v="Medium"/>
    <x v="8"/>
    <x v="0"/>
    <x v="8"/>
  </r>
  <r>
    <s v="ORD-2023-517216"/>
    <x v="234"/>
    <d v="2023-10-08T00:00:00"/>
    <n v="19"/>
    <s v="Asia"/>
    <x v="5"/>
    <s v="Bengaluru"/>
    <s v="Education"/>
    <s v="Direct"/>
    <x v="9"/>
    <x v="3"/>
    <x v="276"/>
    <n v="385.32"/>
    <n v="606.76"/>
    <n v="606.76"/>
    <n v="8.5999999999999993E-2"/>
    <n v="8"/>
    <x v="276"/>
    <n v="3082.56"/>
    <n v="1354.0691200000006"/>
    <n v="0.30520223425842735"/>
    <d v="2024-12-20T00:00:00"/>
    <s v="Q3-2023"/>
    <s v="Asia → India → Bengaluru"/>
    <s v="Low"/>
    <x v="8"/>
    <x v="0"/>
    <x v="8"/>
  </r>
  <r>
    <s v="ORD-2023-842820"/>
    <x v="235"/>
    <d v="2023-09-28T00:00:00"/>
    <n v="8"/>
    <s v="Asia"/>
    <x v="5"/>
    <s v="Delhi"/>
    <s v="Corporate"/>
    <s v="Direct"/>
    <x v="7"/>
    <x v="5"/>
    <x v="277"/>
    <n v="1362.06"/>
    <n v="3398.37"/>
    <n v="3398.37"/>
    <n v="0.157"/>
    <n v="11"/>
    <x v="277"/>
    <n v="14982.66"/>
    <n v="16530.425009999999"/>
    <n v="0.52455749745714919"/>
    <d v="2024-12-24T00:00:00"/>
    <s v="Q3-2023"/>
    <s v="Asia → India → Delhi"/>
    <s v="High"/>
    <x v="8"/>
    <x v="0"/>
    <x v="8"/>
  </r>
  <r>
    <s v="ORD-2023-474313"/>
    <x v="111"/>
    <d v="2023-10-06T00:00:00"/>
    <n v="1"/>
    <s v="Asia"/>
    <x v="5"/>
    <s v="Bengaluru"/>
    <s v="Non-Profit"/>
    <s v="Online"/>
    <x v="14"/>
    <x v="1"/>
    <x v="278"/>
    <n v="1470.26"/>
    <n v="2562.5500000000002"/>
    <n v="2562.5500000000002"/>
    <n v="0.17299999999999999"/>
    <n v="9"/>
    <x v="278"/>
    <n v="13232.34"/>
    <n v="5840.7196499999991"/>
    <n v="0.30622877279157462"/>
    <d v="2024-11-30T00:00:00"/>
    <s v="Q4-2023"/>
    <s v="Asia → India → Bengaluru"/>
    <s v="High"/>
    <x v="9"/>
    <x v="0"/>
    <x v="9"/>
  </r>
  <r>
    <s v="ORD-2023-304451"/>
    <x v="236"/>
    <d v="2023-10-23T00:00:00"/>
    <n v="16"/>
    <s v="Asia"/>
    <x v="5"/>
    <s v="Hyderabad"/>
    <s v="Consumer"/>
    <s v="Retail"/>
    <x v="2"/>
    <x v="0"/>
    <x v="279"/>
    <n v="906.81"/>
    <n v="1395.56"/>
    <n v="1395.56"/>
    <n v="0.185"/>
    <n v="6"/>
    <x v="279"/>
    <n v="5440.86"/>
    <n v="1383.4284000000007"/>
    <n v="0.20272126834498974"/>
    <d v="2024-12-27T00:00:00"/>
    <s v="Q4-2023"/>
    <s v="Asia → India → Hyderabad"/>
    <s v="Medium"/>
    <x v="9"/>
    <x v="0"/>
    <x v="9"/>
  </r>
  <r>
    <s v="ORD-2023-211715"/>
    <x v="237"/>
    <d v="2023-11-14T00:00:00"/>
    <n v="15"/>
    <s v="Asia"/>
    <x v="5"/>
    <s v="Bengaluru"/>
    <s v="Corporate"/>
    <s v="Online"/>
    <x v="8"/>
    <x v="6"/>
    <x v="280"/>
    <n v="953.46"/>
    <n v="2066.75"/>
    <n v="2066.75"/>
    <n v="0.13800000000000001"/>
    <n v="5"/>
    <x v="280"/>
    <n v="4767.3"/>
    <n v="4140.392499999999"/>
    <n v="0.46481089238318446"/>
    <d v="2024-12-04T00:00:00"/>
    <s v="Q4-2023"/>
    <s v="Asia → India → Bengaluru"/>
    <s v="High"/>
    <x v="9"/>
    <x v="0"/>
    <x v="9"/>
  </r>
  <r>
    <s v="ORD-2023-561823"/>
    <x v="155"/>
    <d v="2023-12-12T00:00:00"/>
    <n v="23"/>
    <s v="Asia"/>
    <x v="5"/>
    <s v="Delhi"/>
    <s v="Small Business"/>
    <s v="Direct"/>
    <x v="5"/>
    <x v="4"/>
    <x v="281"/>
    <n v="1349.04"/>
    <n v="2636.6"/>
    <n v="2636.6"/>
    <n v="0.114"/>
    <n v="14"/>
    <x v="281"/>
    <n v="18886.559999999998"/>
    <n v="13817.826400000005"/>
    <n v="0.42250682312143928"/>
    <d v="2024-11-11T00:00:00"/>
    <s v="Q4-2023"/>
    <s v="Asia → India → Delhi"/>
    <s v="High"/>
    <x v="10"/>
    <x v="0"/>
    <x v="10"/>
  </r>
  <r>
    <s v="ORD-2023-964434"/>
    <x v="238"/>
    <d v="2023-12-07T00:00:00"/>
    <n v="9"/>
    <s v="Asia"/>
    <x v="5"/>
    <s v="Delhi"/>
    <s v="Enterprise"/>
    <s v="Marketplace"/>
    <x v="11"/>
    <x v="2"/>
    <x v="282"/>
    <n v="699.33"/>
    <n v="873.75"/>
    <n v="873.75"/>
    <n v="0.23499999999999999"/>
    <n v="10"/>
    <x v="282"/>
    <n v="6993.3"/>
    <n v="-309.11250000000018"/>
    <n v="-4.6245336475076469E-2"/>
    <d v="2024-11-06T00:00:00"/>
    <s v="Q4-2023"/>
    <s v="Asia → India → Delhi"/>
    <s v="Medium"/>
    <x v="10"/>
    <x v="0"/>
    <x v="10"/>
  </r>
  <r>
    <s v="ORD-2023-728177"/>
    <x v="239"/>
    <d v="2024-01-14T00:00:00"/>
    <n v="27"/>
    <s v="Asia"/>
    <x v="5"/>
    <s v="Mumbai"/>
    <s v="Consumer"/>
    <s v="Distributor"/>
    <x v="0"/>
    <x v="4"/>
    <x v="283"/>
    <n v="1408.3"/>
    <n v="2193.13"/>
    <n v="2193.13"/>
    <n v="7.0999999999999994E-2"/>
    <n v="7"/>
    <x v="283"/>
    <n v="9858.1"/>
    <n v="4403.8243899999998"/>
    <n v="0.30878191957656281"/>
    <d v="2024-10-14T00:00:00"/>
    <s v="Q4-2023"/>
    <s v="Asia → India → Mumbai"/>
    <s v="High"/>
    <x v="11"/>
    <x v="0"/>
    <x v="11"/>
  </r>
  <r>
    <s v="ORD-2023-431328"/>
    <x v="240"/>
    <d v="2024-01-14T00:00:00"/>
    <n v="25"/>
    <s v="Asia"/>
    <x v="5"/>
    <s v="Mumbai"/>
    <s v="Non-Profit"/>
    <s v="Marketplace"/>
    <x v="11"/>
    <x v="0"/>
    <x v="284"/>
    <n v="1085.6099999999999"/>
    <n v="1246.4100000000001"/>
    <n v="1246.4100000000001"/>
    <n v="0.113"/>
    <n v="7"/>
    <x v="284"/>
    <n v="7599.2699999999995"/>
    <n v="139.68969000000106"/>
    <n v="1.8050189637310417E-2"/>
    <d v="2024-10-19T00:00:00"/>
    <s v="Q4-2023"/>
    <s v="Asia → India → Mumbai"/>
    <s v="Medium"/>
    <x v="11"/>
    <x v="0"/>
    <x v="11"/>
  </r>
  <r>
    <s v="ORD-2023-249805"/>
    <x v="241"/>
    <d v="2024-01-16T00:00:00"/>
    <n v="25"/>
    <s v="Asia"/>
    <x v="5"/>
    <s v="Hyderabad"/>
    <s v="Small Business"/>
    <s v="Retail"/>
    <x v="4"/>
    <x v="1"/>
    <x v="285"/>
    <n v="1346.81"/>
    <n v="978.09"/>
    <n v="978.09"/>
    <n v="0.159"/>
    <n v="17"/>
    <x v="285"/>
    <n v="22895.77"/>
    <n v="-8912.0172700000021"/>
    <n v="-0.6373122753293996"/>
    <d v="2024-11-04T00:00:00"/>
    <s v="Q4-2023"/>
    <s v="Asia → India → Hyderabad"/>
    <s v="Medium"/>
    <x v="11"/>
    <x v="0"/>
    <x v="11"/>
  </r>
  <r>
    <s v="ORD-2024-872291"/>
    <x v="242"/>
    <d v="2024-01-12T00:00:00"/>
    <n v="4"/>
    <s v="Asia"/>
    <x v="5"/>
    <s v="Bengaluru"/>
    <s v="Corporate"/>
    <s v="Direct"/>
    <x v="6"/>
    <x v="3"/>
    <x v="286"/>
    <n v="802.32"/>
    <n v="602.34"/>
    <n v="602.34"/>
    <n v="0.12"/>
    <n v="25"/>
    <x v="286"/>
    <n v="20058"/>
    <n v="-6806.52"/>
    <n v="-0.51364224977134632"/>
    <d v="2024-10-03T00:00:00"/>
    <s v="Q1-2024"/>
    <s v="Asia → India → Bengaluru"/>
    <s v="Low"/>
    <x v="12"/>
    <x v="0"/>
    <x v="12"/>
  </r>
  <r>
    <s v="ORD-2024-153053"/>
    <x v="243"/>
    <d v="2024-01-29T00:00:00"/>
    <n v="17"/>
    <s v="Asia"/>
    <x v="5"/>
    <s v="Hyderabad"/>
    <s v="Small Business"/>
    <s v="Direct"/>
    <x v="7"/>
    <x v="1"/>
    <x v="287"/>
    <n v="310.02"/>
    <n v="619.51"/>
    <n v="619.51"/>
    <n v="4.2000000000000003E-2"/>
    <n v="4"/>
    <x v="287"/>
    <n v="1240.08"/>
    <n v="1133.8823200000002"/>
    <n v="0.47763282106347843"/>
    <d v="2024-09-14T00:00:00"/>
    <s v="Q1-2024"/>
    <s v="Asia → India → Hyderabad"/>
    <s v="Low"/>
    <x v="12"/>
    <x v="0"/>
    <x v="12"/>
  </r>
  <r>
    <s v="ORD-2024-851883"/>
    <x v="205"/>
    <d v="2024-01-22T00:00:00"/>
    <n v="9"/>
    <s v="Asia"/>
    <x v="5"/>
    <s v="Mumbai"/>
    <s v="Enterprise"/>
    <s v="Marketplace"/>
    <x v="9"/>
    <x v="1"/>
    <x v="288"/>
    <n v="313.60000000000002"/>
    <n v="334.28"/>
    <n v="334.28"/>
    <n v="0.14000000000000001"/>
    <n v="22"/>
    <x v="288"/>
    <n v="6899.2000000000007"/>
    <n v="-574.62240000000111"/>
    <n v="-9.0855458868905517E-2"/>
    <d v="2024-09-13T00:00:00"/>
    <s v="Q1-2024"/>
    <s v="Asia → India → Mumbai"/>
    <s v="Low"/>
    <x v="12"/>
    <x v="0"/>
    <x v="12"/>
  </r>
  <r>
    <s v="ORD-2024-604471"/>
    <x v="244"/>
    <d v="2024-01-25T00:00:00"/>
    <n v="4"/>
    <s v="Asia"/>
    <x v="5"/>
    <s v="Delhi"/>
    <s v="Consumer"/>
    <s v="Direct"/>
    <x v="5"/>
    <x v="0"/>
    <x v="289"/>
    <n v="523.70000000000005"/>
    <n v="1109.92"/>
    <n v="1109.92"/>
    <n v="0.03"/>
    <n v="11"/>
    <x v="289"/>
    <n v="5760.7000000000007"/>
    <n v="6082.1463999999996"/>
    <n v="0.51357133197302973"/>
    <d v="2024-08-28T00:00:00"/>
    <s v="Q1-2024"/>
    <s v="Asia → India → Delhi"/>
    <s v="Medium"/>
    <x v="12"/>
    <x v="0"/>
    <x v="12"/>
  </r>
  <r>
    <s v="ORD-2024-647473"/>
    <x v="245"/>
    <d v="2024-03-04T00:00:00"/>
    <n v="16"/>
    <s v="Asia"/>
    <x v="5"/>
    <s v="Delhi"/>
    <s v="Small Business"/>
    <s v="Marketplace"/>
    <x v="8"/>
    <x v="2"/>
    <x v="290"/>
    <n v="1231.8"/>
    <n v="2015.99"/>
    <n v="2015.99"/>
    <n v="0.26100000000000001"/>
    <n v="6"/>
    <x v="290"/>
    <n v="7390.7999999999993"/>
    <n v="1548.0996600000017"/>
    <n v="0.17318682599464391"/>
    <d v="2024-08-12T00:00:00"/>
    <s v="Q1-2024"/>
    <s v="Asia → India → Delhi"/>
    <s v="High"/>
    <x v="13"/>
    <x v="0"/>
    <x v="13"/>
  </r>
  <r>
    <s v="ORD-2024-515105"/>
    <x v="246"/>
    <d v="2024-03-26T00:00:00"/>
    <n v="28"/>
    <s v="Asia"/>
    <x v="5"/>
    <s v="Mumbai"/>
    <s v="Education"/>
    <s v="Marketplace"/>
    <x v="2"/>
    <x v="6"/>
    <x v="291"/>
    <n v="1035.19"/>
    <n v="2322.6999999999998"/>
    <n v="2322.6999999999998"/>
    <n v="0.17299999999999999"/>
    <n v="8"/>
    <x v="291"/>
    <n v="8281.52"/>
    <n v="7085.4631999999983"/>
    <n v="0.46108355217047409"/>
    <d v="2024-08-04T00:00:00"/>
    <s v="Q1-2024"/>
    <s v="Asia → India → Mumbai"/>
    <s v="High"/>
    <x v="13"/>
    <x v="0"/>
    <x v="13"/>
  </r>
  <r>
    <s v="ORD-2024-446030"/>
    <x v="247"/>
    <d v="2024-03-26T00:00:00"/>
    <n v="3"/>
    <s v="Asia"/>
    <x v="5"/>
    <s v="Bengaluru"/>
    <s v="Education"/>
    <s v="Direct"/>
    <x v="2"/>
    <x v="2"/>
    <x v="292"/>
    <n v="382.21"/>
    <n v="571.89"/>
    <n v="571.89"/>
    <n v="0.14799999999999999"/>
    <n v="26"/>
    <x v="292"/>
    <n v="9937.4599999999991"/>
    <n v="2731.0472800000007"/>
    <n v="0.2155776698578809"/>
    <d v="2024-06-11T00:00:00"/>
    <s v="Q1-2024"/>
    <s v="Asia → India → Bengaluru"/>
    <s v="Low"/>
    <x v="29"/>
    <x v="0"/>
    <x v="29"/>
  </r>
  <r>
    <s v="ORD-2024-851993"/>
    <x v="213"/>
    <d v="2024-05-16T00:00:00"/>
    <n v="15"/>
    <s v="Asia"/>
    <x v="5"/>
    <s v="Bengaluru"/>
    <s v="Small Business"/>
    <s v="Retail"/>
    <x v="11"/>
    <x v="1"/>
    <x v="293"/>
    <n v="901.19"/>
    <n v="2125.44"/>
    <n v="2125.44"/>
    <n v="7.0999999999999994E-2"/>
    <n v="12"/>
    <x v="293"/>
    <n v="10814.28"/>
    <n v="12880.125119999999"/>
    <n v="0.54359352154100415"/>
    <d v="2024-05-30T00:00:00"/>
    <s v="Q2-2024"/>
    <s v="Asia → India → Bengaluru"/>
    <s v="High"/>
    <x v="15"/>
    <x v="0"/>
    <x v="15"/>
  </r>
  <r>
    <s v="ORD-2024-578646"/>
    <x v="248"/>
    <d v="2024-06-17T00:00:00"/>
    <n v="21"/>
    <s v="Asia"/>
    <x v="5"/>
    <s v="Delhi"/>
    <s v="Small Business"/>
    <s v="Online"/>
    <x v="15"/>
    <x v="5"/>
    <x v="294"/>
    <n v="465.02"/>
    <n v="651.55999999999995"/>
    <n v="651.55999999999995"/>
    <n v="4.2000000000000003E-2"/>
    <n v="19"/>
    <x v="294"/>
    <n v="8835.3799999999992"/>
    <n v="3024.3151199999993"/>
    <n v="0.25500783025187918"/>
    <d v="2024-04-29T00:00:00"/>
    <s v="Q2-2024"/>
    <s v="Asia → India → Delhi"/>
    <s v="Low"/>
    <x v="15"/>
    <x v="0"/>
    <x v="15"/>
  </r>
  <r>
    <s v="ORD-2024-465898"/>
    <x v="249"/>
    <d v="2024-06-24T00:00:00"/>
    <n v="18"/>
    <s v="Asia"/>
    <x v="5"/>
    <s v="Bengaluru"/>
    <s v="Small Business"/>
    <s v="Direct"/>
    <x v="15"/>
    <x v="4"/>
    <x v="295"/>
    <n v="1253.25"/>
    <n v="3087.13"/>
    <n v="3087.13"/>
    <n v="7.1999999999999995E-2"/>
    <n v="11"/>
    <x v="295"/>
    <n v="13785.75"/>
    <n v="17727.673040000001"/>
    <n v="0.562543555408064"/>
    <d v="2024-04-12T00:00:00"/>
    <s v="Q2-2024"/>
    <s v="Asia → India → Bengaluru"/>
    <s v="High"/>
    <x v="16"/>
    <x v="0"/>
    <x v="16"/>
  </r>
  <r>
    <s v="ORD-2024-817997"/>
    <x v="250"/>
    <d v="2024-08-23T00:00:00"/>
    <n v="26"/>
    <s v="Asia"/>
    <x v="5"/>
    <s v="Hyderabad"/>
    <s v="Corporate"/>
    <s v="Retail"/>
    <x v="9"/>
    <x v="4"/>
    <x v="296"/>
    <n v="1339.24"/>
    <n v="1558.89"/>
    <n v="1558.89"/>
    <n v="0.192"/>
    <n v="24"/>
    <x v="296"/>
    <n v="32141.760000000002"/>
    <n v="-1911.76512"/>
    <n v="-6.3240669659021781E-2"/>
    <d v="2024-03-09T00:00:00"/>
    <s v="Q3-2024"/>
    <s v="Asia → India → Hyderabad"/>
    <s v="Medium"/>
    <x v="17"/>
    <x v="0"/>
    <x v="17"/>
  </r>
  <r>
    <s v="ORD-2024-993481"/>
    <x v="251"/>
    <d v="2024-09-12T00:00:00"/>
    <n v="25"/>
    <s v="Asia"/>
    <x v="5"/>
    <s v="Mumbai"/>
    <s v="Consumer"/>
    <s v="Marketplace"/>
    <x v="5"/>
    <x v="2"/>
    <x v="297"/>
    <n v="1154.03"/>
    <n v="1590.36"/>
    <n v="1590.36"/>
    <n v="0.314"/>
    <n v="18"/>
    <x v="297"/>
    <n v="20772.54"/>
    <n v="-1134.7747200000013"/>
    <n v="-5.7785328616576745E-2"/>
    <d v="2024-02-29T00:00:00"/>
    <s v="Q3-2024"/>
    <s v="Asia → India → Mumbai"/>
    <s v="Medium"/>
    <x v="18"/>
    <x v="0"/>
    <x v="18"/>
  </r>
  <r>
    <s v="ORD-2024-553449"/>
    <x v="216"/>
    <d v="2024-09-18T00:00:00"/>
    <n v="22"/>
    <s v="Asia"/>
    <x v="5"/>
    <s v="Delhi"/>
    <s v="Consumer"/>
    <s v="Direct"/>
    <x v="7"/>
    <x v="1"/>
    <x v="298"/>
    <n v="896.75"/>
    <n v="1651.14"/>
    <n v="1651.14"/>
    <n v="2.5000000000000001E-2"/>
    <n v="15"/>
    <x v="298"/>
    <n v="13451.25"/>
    <n v="10696.672500000001"/>
    <n v="0.44296450346815552"/>
    <d v="2024-02-14T00:00:00"/>
    <s v="Q3-2024"/>
    <s v="Asia → India → Delhi"/>
    <s v="High"/>
    <x v="18"/>
    <x v="0"/>
    <x v="18"/>
  </r>
  <r>
    <s v="ORD-2024-862371"/>
    <x v="126"/>
    <d v="2024-09-07T00:00:00"/>
    <n v="0"/>
    <s v="Asia"/>
    <x v="5"/>
    <s v="Mumbai"/>
    <s v="Education"/>
    <s v="Distributor"/>
    <x v="7"/>
    <x v="4"/>
    <x v="299"/>
    <n v="1066.6500000000001"/>
    <n v="2569.77"/>
    <n v="2569.77"/>
    <n v="0.13400000000000001"/>
    <n v="9"/>
    <x v="299"/>
    <n v="9599.85"/>
    <n v="10428.937380000001"/>
    <n v="0.52069739331368348"/>
    <d v="2024-02-01T00:00:00"/>
    <s v="Q3-2024"/>
    <s v="Asia → India → Mumbai"/>
    <s v="High"/>
    <x v="19"/>
    <x v="0"/>
    <x v="19"/>
  </r>
  <r>
    <s v="ORD-2024-260775"/>
    <x v="252"/>
    <d v="2024-11-06T00:00:00"/>
    <n v="20"/>
    <s v="Asia"/>
    <x v="5"/>
    <s v="Bengaluru"/>
    <s v="Enterprise"/>
    <s v="Distributor"/>
    <x v="13"/>
    <x v="0"/>
    <x v="300"/>
    <n v="72.94"/>
    <n v="106.3"/>
    <n v="106.3"/>
    <n v="0.29499999999999998"/>
    <n v="8"/>
    <x v="300"/>
    <n v="583.52"/>
    <n v="16.012000000000057"/>
    <n v="2.6707498515508857E-2"/>
    <d v="2024-01-02T00:00:00"/>
    <s v="Q4-2024"/>
    <s v="Asia → India → Bengaluru"/>
    <s v="Low"/>
    <x v="32"/>
    <x v="0"/>
    <x v="32"/>
  </r>
  <r>
    <s v="ORD-2024-247979"/>
    <x v="37"/>
    <d v="2024-11-18T00:00:00"/>
    <n v="16"/>
    <s v="Asia"/>
    <x v="5"/>
    <s v="Mumbai"/>
    <s v="Small Business"/>
    <s v="Distributor"/>
    <x v="13"/>
    <x v="0"/>
    <x v="301"/>
    <n v="1233.58"/>
    <n v="1912.51"/>
    <n v="1912.51"/>
    <n v="0.255"/>
    <n v="51"/>
    <x v="301"/>
    <n v="62912.579999999994"/>
    <n v="9753.2374500000078"/>
    <n v="0.134220432553601"/>
    <d v="2023-12-01T00:00:00"/>
    <s v="Q4-2024"/>
    <s v="Asia → India → Mumbai"/>
    <s v="High"/>
    <x v="20"/>
    <x v="0"/>
    <x v="20"/>
  </r>
  <r>
    <s v="ORD-2024-776337"/>
    <x v="253"/>
    <d v="2024-11-21T00:00:00"/>
    <n v="9"/>
    <s v="Asia"/>
    <x v="5"/>
    <s v="Mumbai"/>
    <s v="Corporate"/>
    <s v="Direct"/>
    <x v="15"/>
    <x v="6"/>
    <x v="302"/>
    <n v="903.41"/>
    <n v="1860.41"/>
    <n v="1860.41"/>
    <n v="0.108"/>
    <n v="5"/>
    <x v="302"/>
    <n v="4517.05"/>
    <n v="3780.3786000000009"/>
    <n v="0.455608451996803"/>
    <d v="2023-11-20T00:00:00"/>
    <s v="Q4-2024"/>
    <s v="Asia → India → Mumbai"/>
    <s v="High"/>
    <x v="20"/>
    <x v="0"/>
    <x v="20"/>
  </r>
  <r>
    <s v="ORD-2024-655710"/>
    <x v="174"/>
    <d v="2024-12-10T00:00:00"/>
    <n v="10"/>
    <s v="Asia"/>
    <x v="5"/>
    <s v="Hyderabad"/>
    <s v="Small Business"/>
    <s v="Retail"/>
    <x v="8"/>
    <x v="5"/>
    <x v="303"/>
    <n v="851.49"/>
    <n v="901.79"/>
    <n v="901.79"/>
    <n v="0.245"/>
    <n v="16"/>
    <x v="303"/>
    <n v="13623.84"/>
    <n v="-2730.2168000000001"/>
    <n v="-0.25062522816100341"/>
    <d v="2023-10-26T00:00:00"/>
    <s v="Q4-2024"/>
    <s v="Asia → India → Hyderabad"/>
    <s v="Medium"/>
    <x v="20"/>
    <x v="0"/>
    <x v="20"/>
  </r>
  <r>
    <s v="ORD-2024-390951"/>
    <x v="254"/>
    <d v="2025-01-14T00:00:00"/>
    <n v="25"/>
    <s v="Asia"/>
    <x v="5"/>
    <s v="Delhi"/>
    <s v="Small Business"/>
    <s v="Retail"/>
    <x v="3"/>
    <x v="3"/>
    <x v="304"/>
    <n v="1361.34"/>
    <n v="1737.9"/>
    <n v="1737.9"/>
    <n v="7.6999999999999999E-2"/>
    <n v="14"/>
    <x v="304"/>
    <n v="19058.759999999998"/>
    <n v="3398.3838000000032"/>
    <n v="0.15132751654731813"/>
    <d v="2023-10-09T00:00:00"/>
    <s v="Q4-2024"/>
    <s v="Asia → India → Delhi"/>
    <s v="High"/>
    <x v="30"/>
    <x v="0"/>
    <x v="30"/>
  </r>
  <r>
    <s v="ORD-2024-972318"/>
    <x v="255"/>
    <d v="2025-01-13T00:00:00"/>
    <n v="20"/>
    <s v="Asia"/>
    <x v="5"/>
    <s v="Bengaluru"/>
    <s v="Corporate"/>
    <s v="Marketplace"/>
    <x v="0"/>
    <x v="4"/>
    <x v="305"/>
    <n v="126.15"/>
    <n v="284.23"/>
    <n v="284.23"/>
    <n v="0.113"/>
    <n v="22"/>
    <x v="305"/>
    <n v="2775.3"/>
    <n v="2771.1642200000006"/>
    <n v="0.49962716968541088"/>
    <d v="2023-09-19T00:00:00"/>
    <s v="Q4-2024"/>
    <s v="Asia → India → Bengaluru"/>
    <s v="Low"/>
    <x v="30"/>
    <x v="0"/>
    <x v="30"/>
  </r>
  <r>
    <s v="ORD-2024-170313"/>
    <x v="88"/>
    <d v="2025-01-15T00:00:00"/>
    <n v="19"/>
    <s v="Asia"/>
    <x v="5"/>
    <s v="Delhi"/>
    <s v="Non-Profit"/>
    <s v="Distributor"/>
    <x v="2"/>
    <x v="1"/>
    <x v="306"/>
    <n v="495.59"/>
    <n v="631.78"/>
    <n v="631.78"/>
    <n v="8.6999999999999994E-2"/>
    <n v="17"/>
    <x v="306"/>
    <n v="8425.0299999999988"/>
    <n v="1380.8273800000024"/>
    <n v="0.14081658813601899"/>
    <d v="2023-09-18T00:00:00"/>
    <s v="Q4-2024"/>
    <s v="Asia → India → Delhi"/>
    <s v="Low"/>
    <x v="30"/>
    <x v="0"/>
    <x v="30"/>
  </r>
  <r>
    <s v="ORD-2024-336584"/>
    <x v="88"/>
    <d v="2025-01-14T00:00:00"/>
    <n v="18"/>
    <s v="Asia"/>
    <x v="5"/>
    <s v="Bengaluru"/>
    <s v="Small Business"/>
    <s v="Marketplace"/>
    <x v="6"/>
    <x v="0"/>
    <x v="307"/>
    <n v="586.07000000000005"/>
    <n v="845.97"/>
    <n v="845.97"/>
    <n v="0.14699999999999999"/>
    <n v="4"/>
    <x v="307"/>
    <n v="2344.2800000000002"/>
    <n v="542.16963999999962"/>
    <n v="0.18783270370862928"/>
    <d v="2023-10-05T00:00:00"/>
    <s v="Q4-2024"/>
    <s v="Asia → India → Bengaluru"/>
    <s v="Medium"/>
    <x v="30"/>
    <x v="0"/>
    <x v="30"/>
  </r>
  <r>
    <s v="ORD-2025-137394"/>
    <x v="256"/>
    <d v="2025-01-05T00:00:00"/>
    <n v="1"/>
    <s v="Asia"/>
    <x v="5"/>
    <s v="Delhi"/>
    <s v="Education"/>
    <s v="Retail"/>
    <x v="14"/>
    <x v="1"/>
    <x v="308"/>
    <n v="1428.33"/>
    <n v="3028.05"/>
    <n v="3028.05"/>
    <n v="0"/>
    <n v="11"/>
    <x v="308"/>
    <n v="15711.63"/>
    <n v="17596.920000000006"/>
    <n v="0.52830039134096207"/>
    <d v="2023-08-23T00:00:00"/>
    <s v="Q1-2025"/>
    <s v="Asia → India → Delhi"/>
    <s v="High"/>
    <x v="21"/>
    <x v="0"/>
    <x v="21"/>
  </r>
  <r>
    <s v="ORD-2025-484073"/>
    <x v="257"/>
    <d v="2025-03-09T00:00:00"/>
    <n v="18"/>
    <s v="Asia"/>
    <x v="5"/>
    <s v="Delhi"/>
    <s v="Small Business"/>
    <s v="Direct"/>
    <x v="13"/>
    <x v="0"/>
    <x v="309"/>
    <n v="325.87"/>
    <n v="538.79"/>
    <n v="538.79"/>
    <n v="0.17399999999999999"/>
    <n v="16"/>
    <x v="309"/>
    <n v="5213.92"/>
    <n v="1906.7286400000003"/>
    <n v="0.26777457172778013"/>
    <d v="2023-08-03T00:00:00"/>
    <s v="Q1-2025"/>
    <s v="Asia → India → Delhi"/>
    <s v="Low"/>
    <x v="22"/>
    <x v="0"/>
    <x v="22"/>
  </r>
  <r>
    <s v="ORD-2025-512310"/>
    <x v="258"/>
    <d v="2025-03-15T00:00:00"/>
    <n v="7"/>
    <s v="Asia"/>
    <x v="5"/>
    <s v="Bengaluru"/>
    <s v="Corporate"/>
    <s v="Distributor"/>
    <x v="12"/>
    <x v="6"/>
    <x v="310"/>
    <n v="475.66"/>
    <n v="529.14"/>
    <n v="529.14"/>
    <n v="0.19600000000000001"/>
    <n v="11"/>
    <x v="310"/>
    <n v="5232.26"/>
    <n v="-552.54583999999977"/>
    <n v="-0.11807256193613323"/>
    <d v="2023-08-02T00:00:00"/>
    <s v="Q1-2025"/>
    <s v="Asia → India → Bengaluru"/>
    <s v="Low"/>
    <x v="23"/>
    <x v="0"/>
    <x v="23"/>
  </r>
  <r>
    <s v="ORD-2025-624006"/>
    <x v="259"/>
    <d v="2025-03-29T00:00:00"/>
    <n v="14"/>
    <s v="Asia"/>
    <x v="5"/>
    <s v="Mumbai"/>
    <s v="Enterprise"/>
    <s v="Direct"/>
    <x v="5"/>
    <x v="1"/>
    <x v="311"/>
    <n v="935.83"/>
    <n v="2303.46"/>
    <n v="2303.46"/>
    <n v="0.105"/>
    <n v="9"/>
    <x v="311"/>
    <n v="8422.4700000000012"/>
    <n v="10131.900299999998"/>
    <n v="0.54606543559174292"/>
    <d v="2023-07-14T00:00:00"/>
    <s v="Q1-2025"/>
    <s v="Asia → India → Mumbai"/>
    <s v="High"/>
    <x v="23"/>
    <x v="0"/>
    <x v="23"/>
  </r>
  <r>
    <s v="ORD-2025-177994"/>
    <x v="139"/>
    <d v="2025-04-04T00:00:00"/>
    <n v="11"/>
    <s v="Asia"/>
    <x v="5"/>
    <s v="Mumbai"/>
    <s v="Education"/>
    <s v="Marketplace"/>
    <x v="9"/>
    <x v="2"/>
    <x v="312"/>
    <n v="23.83"/>
    <n v="47.29"/>
    <n v="47.29"/>
    <n v="6.4000000000000001E-2"/>
    <n v="19"/>
    <x v="312"/>
    <n v="452.77"/>
    <n v="388.23536000000001"/>
    <n v="0.46163244429262618"/>
    <d v="2023-07-09T00:00:00"/>
    <s v="Q1-2025"/>
    <s v="Asia → India → Mumbai"/>
    <s v="Low"/>
    <x v="23"/>
    <x v="0"/>
    <x v="23"/>
  </r>
  <r>
    <s v="ORD-2025-323492"/>
    <x v="182"/>
    <d v="2025-05-27T00:00:00"/>
    <n v="30"/>
    <s v="Asia"/>
    <x v="5"/>
    <s v="Delhi"/>
    <s v="Enterprise"/>
    <s v="Marketplace"/>
    <x v="15"/>
    <x v="2"/>
    <x v="313"/>
    <n v="481.32"/>
    <n v="1135.99"/>
    <n v="1135.99"/>
    <n v="0.14499999999999999"/>
    <n v="5"/>
    <x v="313"/>
    <n v="2406.6"/>
    <n v="2449.7572500000001"/>
    <n v="0.50444337677175621"/>
    <d v="2023-06-14T00:00:00"/>
    <s v="Q2-2025"/>
    <s v="Asia → India → Delhi"/>
    <s v="Medium"/>
    <x v="24"/>
    <x v="0"/>
    <x v="24"/>
  </r>
  <r>
    <s v="ORD-2025-673091"/>
    <x v="260"/>
    <d v="2025-05-13T00:00:00"/>
    <n v="6"/>
    <s v="Asia"/>
    <x v="5"/>
    <s v="Bengaluru"/>
    <s v="Enterprise"/>
    <s v="Direct"/>
    <x v="9"/>
    <x v="2"/>
    <x v="314"/>
    <n v="935.98"/>
    <n v="2077.69"/>
    <n v="2077.69"/>
    <n v="0.17499999999999999"/>
    <n v="24"/>
    <x v="314"/>
    <n v="22463.52"/>
    <n v="18674.741999999995"/>
    <n v="0.45395067978321491"/>
    <d v="2023-05-17T00:00:00"/>
    <s v="Q2-2025"/>
    <s v="Asia → India → Bengaluru"/>
    <s v="High"/>
    <x v="25"/>
    <x v="0"/>
    <x v="25"/>
  </r>
  <r>
    <s v="ORD-2025-866565"/>
    <x v="92"/>
    <d v="2025-05-26T00:00:00"/>
    <n v="14"/>
    <s v="Asia"/>
    <x v="5"/>
    <s v="Hyderabad"/>
    <s v="Corporate"/>
    <s v="Marketplace"/>
    <x v="2"/>
    <x v="3"/>
    <x v="315"/>
    <n v="320.12"/>
    <n v="594.41999999999996"/>
    <n v="594.41999999999996"/>
    <n v="0.104"/>
    <n v="18"/>
    <x v="315"/>
    <n v="5762.16"/>
    <n v="3824.6457599999994"/>
    <n v="0.39894891538931104"/>
    <d v="2023-05-07T00:00:00"/>
    <s v="Q2-2025"/>
    <s v="Asia → India → Hyderabad"/>
    <s v="Low"/>
    <x v="25"/>
    <x v="0"/>
    <x v="25"/>
  </r>
  <r>
    <s v="ORD-2025-983096"/>
    <x v="51"/>
    <d v="2025-05-28T00:00:00"/>
    <n v="11"/>
    <s v="Asia"/>
    <x v="5"/>
    <s v="Bengaluru"/>
    <s v="Corporate"/>
    <s v="Distributor"/>
    <x v="7"/>
    <x v="6"/>
    <x v="316"/>
    <n v="623.4"/>
    <n v="1100.0899999999999"/>
    <n v="1100.0899999999999"/>
    <n v="0.114"/>
    <n v="12"/>
    <x v="316"/>
    <n v="7480.7999999999993"/>
    <n v="4215.3568799999994"/>
    <n v="0.36040529579490388"/>
    <d v="2023-05-02T00:00:00"/>
    <s v="Q2-2025"/>
    <s v="Asia → India → Bengaluru"/>
    <s v="Medium"/>
    <x v="25"/>
    <x v="0"/>
    <x v="25"/>
  </r>
  <r>
    <s v="ORD-2025-411385"/>
    <x v="261"/>
    <d v="2025-06-14T00:00:00"/>
    <n v="9"/>
    <s v="Asia"/>
    <x v="5"/>
    <s v="Delhi"/>
    <s v="Non-Profit"/>
    <s v="Retail"/>
    <x v="4"/>
    <x v="5"/>
    <x v="317"/>
    <n v="618.69000000000005"/>
    <n v="796.15"/>
    <n v="796.15"/>
    <n v="0.09"/>
    <n v="11"/>
    <x v="317"/>
    <n v="6805.59"/>
    <n v="1163.8715000000002"/>
    <n v="0.14604142325049191"/>
    <d v="2023-04-14T00:00:00"/>
    <s v="Q2-2025"/>
    <s v="Asia → India → Delhi"/>
    <s v="Low"/>
    <x v="31"/>
    <x v="0"/>
    <x v="31"/>
  </r>
  <r>
    <s v="ORD-2025-526752"/>
    <x v="185"/>
    <d v="2025-06-25T00:00:00"/>
    <n v="16"/>
    <s v="Asia"/>
    <x v="5"/>
    <s v="Hyderabad"/>
    <s v="Enterprise"/>
    <s v="Distributor"/>
    <x v="3"/>
    <x v="2"/>
    <x v="318"/>
    <n v="527.33000000000004"/>
    <n v="911.72"/>
    <n v="911.72"/>
    <n v="0.14399999999999999"/>
    <n v="25"/>
    <x v="318"/>
    <n v="13183.250000000002"/>
    <n v="6327.5579999999991"/>
    <n v="0.32431040272652978"/>
    <d v="2023-04-21T00:00:00"/>
    <s v="Q2-2025"/>
    <s v="Asia → India → Hyderabad"/>
    <s v="Medium"/>
    <x v="31"/>
    <x v="0"/>
    <x v="31"/>
  </r>
  <r>
    <s v="ORD-2025-480172"/>
    <x v="262"/>
    <d v="2025-07-05T00:00:00"/>
    <n v="18"/>
    <s v="Asia"/>
    <x v="5"/>
    <s v="Delhi"/>
    <s v="Consumer"/>
    <s v="Marketplace"/>
    <x v="11"/>
    <x v="6"/>
    <x v="319"/>
    <n v="982.93"/>
    <n v="2299.3000000000002"/>
    <n v="2299.3000000000002"/>
    <n v="0.113"/>
    <n v="6"/>
    <x v="319"/>
    <n v="5897.58"/>
    <n v="6339.2946000000011"/>
    <n v="0.51804850562087157"/>
    <d v="2023-04-19T00:00:00"/>
    <s v="Q2-2025"/>
    <s v="Asia → India → Delhi"/>
    <s v="High"/>
    <x v="31"/>
    <x v="0"/>
    <x v="31"/>
  </r>
  <r>
    <s v="ORD-2025-262491"/>
    <x v="144"/>
    <d v="2025-08-16T00:00:00"/>
    <n v="15"/>
    <s v="Asia"/>
    <x v="5"/>
    <s v="Delhi"/>
    <s v="Enterprise"/>
    <s v="Direct"/>
    <x v="13"/>
    <x v="0"/>
    <x v="320"/>
    <n v="24.44"/>
    <n v="28.69"/>
    <n v="28.69"/>
    <n v="0.14599999999999999"/>
    <n v="6"/>
    <x v="320"/>
    <n v="146.64000000000001"/>
    <n v="0.36755999999999744"/>
    <n v="2.5002795774584476E-3"/>
    <d v="2023-02-28T00:00:00"/>
    <s v="Q3-2025"/>
    <s v="Asia → India → Delhi"/>
    <s v="Low"/>
    <x v="27"/>
    <x v="0"/>
    <x v="27"/>
  </r>
  <r>
    <s v="ORD-2025-635337"/>
    <x v="263"/>
    <d v="2025-08-28T00:00:00"/>
    <n v="23"/>
    <s v="Asia"/>
    <x v="5"/>
    <s v="Mumbai"/>
    <s v="Non-Profit"/>
    <s v="Distributor"/>
    <x v="1"/>
    <x v="6"/>
    <x v="321"/>
    <n v="638.54"/>
    <n v="987.24"/>
    <n v="987.24"/>
    <n v="0"/>
    <n v="11"/>
    <x v="321"/>
    <n v="7023.94"/>
    <n v="3835.7"/>
    <n v="0.35320692030306716"/>
    <d v="2023-02-21T00:00:00"/>
    <s v="Q3-2025"/>
    <s v="Asia → India → Mumbai"/>
    <s v="Medium"/>
    <x v="27"/>
    <x v="0"/>
    <x v="27"/>
  </r>
  <r>
    <s v="ORD-2025-831576"/>
    <x v="58"/>
    <d v="2025-09-25T00:00:00"/>
    <n v="10"/>
    <s v="Asia"/>
    <x v="5"/>
    <s v="Delhi"/>
    <s v="Consumer"/>
    <s v="Retail"/>
    <x v="4"/>
    <x v="2"/>
    <x v="322"/>
    <n v="1488.91"/>
    <n v="1483.74"/>
    <n v="1483.74"/>
    <n v="0.16800000000000001"/>
    <n v="24"/>
    <x v="322"/>
    <n v="35733.840000000004"/>
    <n v="-6106.5196800000049"/>
    <n v="-0.20611110333450519"/>
    <d v="2023-01-13T00:00:00"/>
    <s v="Q3-2025"/>
    <s v="Asia → India → Delhi"/>
    <s v="Medium"/>
    <x v="28"/>
    <x v="0"/>
    <x v="28"/>
  </r>
  <r>
    <s v="ORD-2023-139236"/>
    <x v="264"/>
    <d v="2023-03-20T00:00:00"/>
    <n v="17"/>
    <s v="Asia"/>
    <x v="6"/>
    <s v="Nagoya"/>
    <s v="Small Business"/>
    <s v="Online"/>
    <x v="0"/>
    <x v="4"/>
    <x v="323"/>
    <n v="1171.17"/>
    <n v="2030.64"/>
    <n v="2030.64"/>
    <n v="0.157"/>
    <n v="11"/>
    <x v="323"/>
    <n v="12882.87"/>
    <n v="5947.254719999999"/>
    <n v="0.31583724528830415"/>
    <d v="2025-08-01T00:00:00"/>
    <s v="Q1-2023"/>
    <s v="Asia → Japan → Nagoya"/>
    <s v="High"/>
    <x v="2"/>
    <x v="1"/>
    <x v="0"/>
  </r>
  <r>
    <s v="ORD-2023-240507"/>
    <x v="265"/>
    <d v="2023-03-26T00:00:00"/>
    <n v="1"/>
    <s v="Asia"/>
    <x v="6"/>
    <s v="Osaka"/>
    <s v="Small Business"/>
    <s v="Distributor"/>
    <x v="14"/>
    <x v="0"/>
    <x v="324"/>
    <n v="135.12"/>
    <n v="301.7"/>
    <n v="301.7"/>
    <n v="0.14000000000000001"/>
    <n v="47"/>
    <x v="324"/>
    <n v="6350.64"/>
    <n v="5844.0739999999996"/>
    <n v="0.47923009920527859"/>
    <d v="2025-07-17T00:00:00"/>
    <s v="Q1-2023"/>
    <s v="Asia → Japan → Osaka"/>
    <s v="Low"/>
    <x v="2"/>
    <x v="1"/>
    <x v="0"/>
  </r>
  <r>
    <s v="ORD-2023-752962"/>
    <x v="3"/>
    <d v="2023-04-21T00:00:00"/>
    <n v="2"/>
    <s v="Asia"/>
    <x v="6"/>
    <s v="Nagoya"/>
    <s v="Small Business"/>
    <s v="Direct"/>
    <x v="3"/>
    <x v="1"/>
    <x v="325"/>
    <n v="607.04"/>
    <n v="1229.3399999999999"/>
    <n v="1229.3399999999999"/>
    <n v="0.14699999999999999"/>
    <n v="7"/>
    <x v="325"/>
    <n v="4249.28"/>
    <n v="3091.1091399999996"/>
    <n v="0.42110970972310058"/>
    <d v="2025-06-09T00:00:00"/>
    <s v="Q2-2023"/>
    <s v="Asia → Japan → Nagoya"/>
    <s v="Medium"/>
    <x v="3"/>
    <x v="1"/>
    <x v="1"/>
  </r>
  <r>
    <s v="ORD-2023-107265"/>
    <x v="266"/>
    <d v="2023-05-14T00:00:00"/>
    <n v="22"/>
    <s v="Asia"/>
    <x v="6"/>
    <s v="Nagoya"/>
    <s v="Enterprise"/>
    <s v="Retail"/>
    <x v="4"/>
    <x v="5"/>
    <x v="326"/>
    <n v="1209.22"/>
    <n v="1404.33"/>
    <n v="1404.33"/>
    <n v="0.10299999999999999"/>
    <n v="11"/>
    <x v="326"/>
    <n v="13301.42"/>
    <n v="555.10411000000022"/>
    <n v="4.0060848275751328E-2"/>
    <d v="2025-05-29T00:00:00"/>
    <s v="Q2-2023"/>
    <s v="Asia → Japan → Nagoya"/>
    <s v="Medium"/>
    <x v="3"/>
    <x v="1"/>
    <x v="1"/>
  </r>
  <r>
    <s v="ORD-2023-363031"/>
    <x v="267"/>
    <d v="2023-05-14T00:00:00"/>
    <n v="8"/>
    <s v="Asia"/>
    <x v="6"/>
    <s v="Osaka"/>
    <s v="Enterprise"/>
    <s v="Marketplace"/>
    <x v="7"/>
    <x v="2"/>
    <x v="327"/>
    <n v="291.18"/>
    <n v="479.54"/>
    <n v="479.54"/>
    <n v="0.14099999999999999"/>
    <n v="22"/>
    <x v="327"/>
    <n v="6405.96"/>
    <n v="2656.3869199999999"/>
    <n v="0.29312350801066001"/>
    <d v="2025-05-17T00:00:00"/>
    <s v="Q2-2023"/>
    <s v="Asia → Japan → Osaka"/>
    <s v="Low"/>
    <x v="4"/>
    <x v="1"/>
    <x v="2"/>
  </r>
  <r>
    <s v="ORD-2023-610470"/>
    <x v="268"/>
    <d v="2023-07-21T00:00:00"/>
    <n v="27"/>
    <s v="Asia"/>
    <x v="6"/>
    <s v="Nagoya"/>
    <s v="Consumer"/>
    <s v="Marketplace"/>
    <x v="9"/>
    <x v="2"/>
    <x v="328"/>
    <n v="554.76"/>
    <n v="728.69"/>
    <n v="728.69"/>
    <n v="0.22"/>
    <n v="7"/>
    <x v="328"/>
    <n v="3883.3199999999997"/>
    <n v="95.32740000000058"/>
    <n v="2.395975074343119E-2"/>
    <d v="2025-04-07T00:00:00"/>
    <s v="Q2-2023"/>
    <s v="Asia → Japan → Nagoya"/>
    <s v="Low"/>
    <x v="5"/>
    <x v="1"/>
    <x v="3"/>
  </r>
  <r>
    <s v="ORD-2023-258768"/>
    <x v="269"/>
    <d v="2023-07-02T00:00:00"/>
    <n v="3"/>
    <s v="Asia"/>
    <x v="6"/>
    <s v="Nagoya"/>
    <s v="Education"/>
    <s v="Marketplace"/>
    <x v="8"/>
    <x v="0"/>
    <x v="329"/>
    <n v="55.65"/>
    <n v="83.57"/>
    <n v="83.57"/>
    <n v="6.6000000000000003E-2"/>
    <n v="8"/>
    <x v="329"/>
    <n v="445.2"/>
    <n v="179.23503999999997"/>
    <n v="0.2870355257449998"/>
    <d v="2025-04-04T00:00:00"/>
    <s v="Q2-2023"/>
    <s v="Asia → Japan → Nagoya"/>
    <s v="Low"/>
    <x v="5"/>
    <x v="1"/>
    <x v="3"/>
  </r>
  <r>
    <s v="ORD-2023-539967"/>
    <x v="270"/>
    <d v="2023-07-19T00:00:00"/>
    <n v="10"/>
    <s v="Asia"/>
    <x v="6"/>
    <s v="Tokyo"/>
    <s v="Enterprise"/>
    <s v="Distributor"/>
    <x v="1"/>
    <x v="1"/>
    <x v="330"/>
    <n v="141.26"/>
    <n v="206.88"/>
    <n v="206.88"/>
    <n v="0.107"/>
    <n v="9"/>
    <x v="330"/>
    <n v="1271.3399999999999"/>
    <n v="391.35456000000022"/>
    <n v="0.23537369365062469"/>
    <d v="2025-03-06T00:00:00"/>
    <s v="Q3-2023"/>
    <s v="Asia → Japan → Tokyo"/>
    <s v="Low"/>
    <x v="6"/>
    <x v="1"/>
    <x v="4"/>
  </r>
  <r>
    <s v="ORD-2023-290237"/>
    <x v="153"/>
    <d v="2023-08-07T00:00:00"/>
    <n v="8"/>
    <s v="Asia"/>
    <x v="6"/>
    <s v="Nagoya"/>
    <s v="Education"/>
    <s v="Marketplace"/>
    <x v="4"/>
    <x v="4"/>
    <x v="331"/>
    <n v="1352.44"/>
    <n v="2698.01"/>
    <n v="2698.01"/>
    <n v="0.13100000000000001"/>
    <n v="13"/>
    <x v="331"/>
    <n v="17581.72"/>
    <n v="12897.698970000001"/>
    <n v="0.42316091992090887"/>
    <d v="2025-02-19T00:00:00"/>
    <s v="Q3-2023"/>
    <s v="Asia → Japan → Nagoya"/>
    <s v="High"/>
    <x v="6"/>
    <x v="1"/>
    <x v="4"/>
  </r>
  <r>
    <s v="ORD-2023-450877"/>
    <x v="271"/>
    <d v="2023-10-10T00:00:00"/>
    <n v="19"/>
    <s v="Asia"/>
    <x v="6"/>
    <s v="Tokyo"/>
    <s v="Education"/>
    <s v="Online"/>
    <x v="0"/>
    <x v="1"/>
    <x v="332"/>
    <n v="845.63"/>
    <n v="2062.12"/>
    <n v="2062.12"/>
    <n v="0.13400000000000001"/>
    <n v="5"/>
    <x v="332"/>
    <n v="4228.1499999999996"/>
    <n v="4700.8295999999991"/>
    <n v="0.52646884757133949"/>
    <d v="2024-12-29T00:00:00"/>
    <s v="Q3-2023"/>
    <s v="Asia → Japan → Tokyo"/>
    <s v="High"/>
    <x v="8"/>
    <x v="1"/>
    <x v="6"/>
  </r>
  <r>
    <s v="ORD-2023-568013"/>
    <x v="110"/>
    <d v="2023-10-30T00:00:00"/>
    <n v="30"/>
    <s v="Asia"/>
    <x v="6"/>
    <s v="Tokyo"/>
    <s v="Enterprise"/>
    <s v="Online"/>
    <x v="0"/>
    <x v="3"/>
    <x v="333"/>
    <n v="649.13"/>
    <n v="975.43"/>
    <n v="975.43"/>
    <n v="0.157"/>
    <n v="27"/>
    <x v="333"/>
    <n v="17526.509999999998"/>
    <n v="4675.2522299999982"/>
    <n v="0.21058023149543473"/>
    <d v="2024-12-28T00:00:00"/>
    <s v="Q3-2023"/>
    <s v="Asia → Japan → Tokyo"/>
    <s v="Medium"/>
    <x v="8"/>
    <x v="1"/>
    <x v="6"/>
  </r>
  <r>
    <s v="ORD-2023-623293"/>
    <x v="272"/>
    <d v="2023-10-29T00:00:00"/>
    <n v="17"/>
    <s v="Asia"/>
    <x v="6"/>
    <s v="Nagoya"/>
    <s v="Non-Profit"/>
    <s v="Direct"/>
    <x v="15"/>
    <x v="2"/>
    <x v="334"/>
    <n v="1102.19"/>
    <n v="1711.16"/>
    <n v="1711.16"/>
    <n v="0.151"/>
    <n v="10"/>
    <x v="334"/>
    <n v="11021.900000000001"/>
    <n v="3505.8484000000008"/>
    <n v="0.24132083675127525"/>
    <d v="2024-11-27T00:00:00"/>
    <s v="Q4-2023"/>
    <s v="Asia → Japan → Nagoya"/>
    <s v="High"/>
    <x v="9"/>
    <x v="1"/>
    <x v="7"/>
  </r>
  <r>
    <s v="ORD-2023-455933"/>
    <x v="155"/>
    <d v="2023-12-19T00:00:00"/>
    <n v="30"/>
    <s v="Asia"/>
    <x v="6"/>
    <s v="Nagoya"/>
    <s v="Consumer"/>
    <s v="Retail"/>
    <x v="10"/>
    <x v="2"/>
    <x v="335"/>
    <n v="807.11"/>
    <n v="1853.86"/>
    <n v="1853.86"/>
    <n v="0.13900000000000001"/>
    <n v="8"/>
    <x v="335"/>
    <n v="6456.88"/>
    <n v="6312.5076799999997"/>
    <n v="0.49434693645388639"/>
    <d v="2024-11-17T00:00:00"/>
    <s v="Q4-2023"/>
    <s v="Asia → Japan → Nagoya"/>
    <s v="High"/>
    <x v="10"/>
    <x v="1"/>
    <x v="8"/>
  </r>
  <r>
    <s v="ORD-2023-975863"/>
    <x v="273"/>
    <d v="2023-12-05T00:00:00"/>
    <n v="15"/>
    <s v="Asia"/>
    <x v="6"/>
    <s v="Tokyo"/>
    <s v="Enterprise"/>
    <s v="Retail"/>
    <x v="11"/>
    <x v="4"/>
    <x v="336"/>
    <n v="354.24"/>
    <n v="249.87"/>
    <n v="249.87"/>
    <n v="0"/>
    <n v="6"/>
    <x v="336"/>
    <n v="2125.44"/>
    <n v="-626.22"/>
    <n v="-0.41769720254532355"/>
    <d v="2024-10-30T00:00:00"/>
    <s v="Q4-2023"/>
    <s v="Asia → Japan → Tokyo"/>
    <s v="Low"/>
    <x v="10"/>
    <x v="1"/>
    <x v="8"/>
  </r>
  <r>
    <s v="ORD-2023-573146"/>
    <x v="274"/>
    <d v="2023-12-18T00:00:00"/>
    <n v="17"/>
    <s v="Asia"/>
    <x v="6"/>
    <s v="Nagoya"/>
    <s v="Small Business"/>
    <s v="Direct"/>
    <x v="1"/>
    <x v="6"/>
    <x v="337"/>
    <n v="1495.79"/>
    <n v="2783.12"/>
    <n v="2783.12"/>
    <n v="0.02"/>
    <n v="5"/>
    <x v="337"/>
    <n v="7478.95"/>
    <n v="6158.3379999999988"/>
    <n v="0.45158084217331185"/>
    <d v="2024-11-02T00:00:00"/>
    <s v="Q4-2023"/>
    <s v="Asia → Japan → Nagoya"/>
    <s v="High"/>
    <x v="11"/>
    <x v="1"/>
    <x v="9"/>
  </r>
  <r>
    <s v="ORD-2023-596758"/>
    <x v="20"/>
    <d v="2023-12-07T00:00:00"/>
    <n v="2"/>
    <s v="Asia"/>
    <x v="6"/>
    <s v="Tokyo"/>
    <s v="Non-Profit"/>
    <s v="Marketplace"/>
    <x v="15"/>
    <x v="3"/>
    <x v="338"/>
    <n v="1097.5899999999999"/>
    <n v="845.55"/>
    <n v="845.55"/>
    <n v="0.184"/>
    <n v="6"/>
    <x v="338"/>
    <n v="6585.5399999999991"/>
    <n v="-2445.7271999999994"/>
    <n v="-0.59078207594314402"/>
    <d v="2024-10-11T00:00:00"/>
    <s v="Q4-2023"/>
    <s v="Asia → Japan → Tokyo"/>
    <s v="Medium"/>
    <x v="11"/>
    <x v="1"/>
    <x v="9"/>
  </r>
  <r>
    <s v="ORD-2023-824839"/>
    <x v="275"/>
    <d v="2023-12-31T00:00:00"/>
    <n v="25"/>
    <s v="Asia"/>
    <x v="6"/>
    <s v="Osaka"/>
    <s v="Consumer"/>
    <s v="Retail"/>
    <x v="11"/>
    <x v="3"/>
    <x v="339"/>
    <n v="663.03"/>
    <n v="813.51"/>
    <n v="813.51"/>
    <n v="0.10199999999999999"/>
    <n v="15"/>
    <x v="339"/>
    <n v="9945.4499999999989"/>
    <n v="1012.529700000001"/>
    <n v="9.2401129379715952E-2"/>
    <d v="2024-11-08T00:00:00"/>
    <s v="Q4-2023"/>
    <s v="Asia → Japan → Osaka"/>
    <s v="Low"/>
    <x v="11"/>
    <x v="1"/>
    <x v="9"/>
  </r>
  <r>
    <s v="ORD-2023-580751"/>
    <x v="22"/>
    <d v="2024-01-13T00:00:00"/>
    <n v="20"/>
    <s v="Asia"/>
    <x v="6"/>
    <s v="Nagoya"/>
    <s v="Education"/>
    <s v="Direct"/>
    <x v="7"/>
    <x v="6"/>
    <x v="340"/>
    <n v="625.37"/>
    <n v="1319.04"/>
    <n v="1319.04"/>
    <n v="7.3999999999999996E-2"/>
    <n v="8"/>
    <x v="340"/>
    <n v="5002.96"/>
    <n v="4768.4883199999995"/>
    <n v="0.48800220436513547"/>
    <d v="2024-10-04T00:00:00"/>
    <s v="Q4-2023"/>
    <s v="Asia → Japan → Nagoya"/>
    <s v="Medium"/>
    <x v="11"/>
    <x v="1"/>
    <x v="9"/>
  </r>
  <r>
    <s v="ORD-2024-105586"/>
    <x v="73"/>
    <d v="2024-01-15T00:00:00"/>
    <n v="13"/>
    <s v="Asia"/>
    <x v="6"/>
    <s v="Nagoya"/>
    <s v="Small Business"/>
    <s v="Marketplace"/>
    <x v="2"/>
    <x v="4"/>
    <x v="341"/>
    <n v="1219.06"/>
    <n v="2738.69"/>
    <n v="2738.69"/>
    <n v="7.5999999999999998E-2"/>
    <n v="16"/>
    <x v="341"/>
    <n v="19504.96"/>
    <n v="20983.832960000007"/>
    <n v="0.51826274447673737"/>
    <d v="2024-09-19T00:00:00"/>
    <s v="Q1-2024"/>
    <s v="Asia → Japan → Nagoya"/>
    <s v="High"/>
    <x v="12"/>
    <x v="1"/>
    <x v="10"/>
  </r>
  <r>
    <s v="ORD-2024-281211"/>
    <x v="276"/>
    <d v="2024-02-02T00:00:00"/>
    <n v="22"/>
    <s v="Asia"/>
    <x v="6"/>
    <s v="Nagoya"/>
    <s v="Small Business"/>
    <s v="Online"/>
    <x v="10"/>
    <x v="3"/>
    <x v="342"/>
    <n v="1237.68"/>
    <n v="1432.8"/>
    <n v="1432.8"/>
    <n v="6.8000000000000005E-2"/>
    <n v="13"/>
    <x v="342"/>
    <n v="16089.84"/>
    <n v="1269.9647999999979"/>
    <n v="7.315547695559331E-2"/>
    <d v="2024-09-09T00:00:00"/>
    <s v="Q1-2024"/>
    <s v="Asia → Japan → Nagoya"/>
    <s v="Medium"/>
    <x v="12"/>
    <x v="1"/>
    <x v="10"/>
  </r>
  <r>
    <s v="ORD-2024-532184"/>
    <x v="23"/>
    <d v="2024-02-08T00:00:00"/>
    <n v="14"/>
    <s v="Asia"/>
    <x v="6"/>
    <s v="Osaka"/>
    <s v="Consumer"/>
    <s v="Marketplace"/>
    <x v="14"/>
    <x v="4"/>
    <x v="343"/>
    <n v="937.16"/>
    <n v="1069.77"/>
    <n v="1069.77"/>
    <n v="3.7999999999999999E-2"/>
    <n v="9"/>
    <x v="343"/>
    <n v="8434.44"/>
    <n v="827.62866000000031"/>
    <n v="8.9356783066645962E-2"/>
    <d v="2024-08-27T00:00:00"/>
    <s v="Q1-2024"/>
    <s v="Asia → Japan → Osaka"/>
    <s v="Medium"/>
    <x v="12"/>
    <x v="1"/>
    <x v="10"/>
  </r>
  <r>
    <s v="ORD-2024-197852"/>
    <x v="25"/>
    <d v="2024-03-30T00:00:00"/>
    <n v="30"/>
    <s v="Asia"/>
    <x v="6"/>
    <s v="Nagoya"/>
    <s v="Small Business"/>
    <s v="Direct"/>
    <x v="14"/>
    <x v="4"/>
    <x v="344"/>
    <n v="231.11"/>
    <n v="318.17"/>
    <n v="318.17"/>
    <n v="0.20100000000000001"/>
    <n v="60"/>
    <x v="344"/>
    <n v="13866.6"/>
    <n v="1386.4697999999989"/>
    <n v="9.0897754889969692E-2"/>
    <d v="2024-08-12T00:00:00"/>
    <s v="Q1-2024"/>
    <s v="Asia → Japan → Nagoya"/>
    <s v="Low"/>
    <x v="13"/>
    <x v="1"/>
    <x v="11"/>
  </r>
  <r>
    <s v="ORD-2024-347736"/>
    <x v="277"/>
    <d v="2024-06-06T00:00:00"/>
    <n v="15"/>
    <s v="Asia"/>
    <x v="6"/>
    <s v="Nagoya"/>
    <s v="Corporate"/>
    <s v="Distributor"/>
    <x v="5"/>
    <x v="0"/>
    <x v="345"/>
    <n v="673.88"/>
    <n v="1228.01"/>
    <n v="1228.01"/>
    <n v="0.105"/>
    <n v="13"/>
    <x v="345"/>
    <n v="8760.44"/>
    <n v="5527.4563499999986"/>
    <n v="0.38686285332689996"/>
    <d v="2024-05-01T00:00:00"/>
    <s v="Q2-2024"/>
    <s v="Asia → Japan → Nagoya"/>
    <s v="Medium"/>
    <x v="15"/>
    <x v="1"/>
    <x v="29"/>
  </r>
  <r>
    <s v="ORD-2024-572312"/>
    <x v="278"/>
    <d v="2024-06-21T00:00:00"/>
    <n v="5"/>
    <s v="Asia"/>
    <x v="6"/>
    <s v="Tokyo"/>
    <s v="Small Business"/>
    <s v="Distributor"/>
    <x v="8"/>
    <x v="2"/>
    <x v="346"/>
    <n v="1367.13"/>
    <n v="3062.01"/>
    <n v="3062.01"/>
    <n v="0.10299999999999999"/>
    <n v="25"/>
    <x v="346"/>
    <n v="34178.25"/>
    <n v="34487.324250000005"/>
    <n v="0.50225057645971705"/>
    <d v="2024-03-31T00:00:00"/>
    <s v="Q2-2024"/>
    <s v="Asia → Japan → Tokyo"/>
    <s v="High"/>
    <x v="16"/>
    <x v="1"/>
    <x v="14"/>
  </r>
  <r>
    <s v="ORD-2024-892908"/>
    <x v="279"/>
    <d v="2024-07-13T00:00:00"/>
    <n v="1"/>
    <s v="Asia"/>
    <x v="6"/>
    <s v="Nagoya"/>
    <s v="Small Business"/>
    <s v="Marketplace"/>
    <x v="8"/>
    <x v="4"/>
    <x v="347"/>
    <n v="105.13"/>
    <n v="244.13"/>
    <n v="244.13"/>
    <n v="7.0999999999999994E-2"/>
    <n v="14"/>
    <x v="347"/>
    <n v="1471.82"/>
    <n v="1703.3347799999999"/>
    <n v="0.53645724319618837"/>
    <d v="2024-03-11T00:00:00"/>
    <s v="Q3-2024"/>
    <s v="Asia → Japan → Nagoya"/>
    <s v="Low"/>
    <x v="17"/>
    <x v="1"/>
    <x v="15"/>
  </r>
  <r>
    <s v="ORD-2024-605629"/>
    <x v="280"/>
    <d v="2024-07-15T00:00:00"/>
    <n v="0"/>
    <s v="Asia"/>
    <x v="6"/>
    <s v="Tokyo"/>
    <s v="Small Business"/>
    <s v="Marketplace"/>
    <x v="2"/>
    <x v="5"/>
    <x v="348"/>
    <n v="801.77"/>
    <n v="1218.92"/>
    <n v="1218.92"/>
    <n v="0.254"/>
    <n v="16"/>
    <x v="348"/>
    <n v="12828.32"/>
    <n v="1720.7091200000013"/>
    <n v="0.11826968698788344"/>
    <d v="2024-03-09T00:00:00"/>
    <s v="Q3-2024"/>
    <s v="Asia → Japan → Tokyo"/>
    <s v="Medium"/>
    <x v="17"/>
    <x v="1"/>
    <x v="15"/>
  </r>
  <r>
    <s v="ORD-2024-947056"/>
    <x v="281"/>
    <d v="2024-08-15T00:00:00"/>
    <n v="15"/>
    <s v="Asia"/>
    <x v="6"/>
    <s v="Tokyo"/>
    <s v="Corporate"/>
    <s v="Marketplace"/>
    <x v="8"/>
    <x v="0"/>
    <x v="349"/>
    <n v="1252.52"/>
    <n v="1417.24"/>
    <n v="1417.24"/>
    <n v="0.192"/>
    <n v="5"/>
    <x v="349"/>
    <n v="6262.6"/>
    <n v="-536.95039999999972"/>
    <n v="-9.3779821943696953E-2"/>
    <d v="2024-03-03T00:00:00"/>
    <s v="Q3-2024"/>
    <s v="Asia → Japan → Tokyo"/>
    <s v="Medium"/>
    <x v="17"/>
    <x v="1"/>
    <x v="15"/>
  </r>
  <r>
    <s v="ORD-2024-136321"/>
    <x v="282"/>
    <d v="2024-08-17T00:00:00"/>
    <n v="10"/>
    <s v="Asia"/>
    <x v="6"/>
    <s v="Osaka"/>
    <s v="Consumer"/>
    <s v="Online"/>
    <x v="12"/>
    <x v="4"/>
    <x v="350"/>
    <n v="436.58"/>
    <n v="527.48"/>
    <n v="527.48"/>
    <n v="0.111"/>
    <n v="19"/>
    <x v="350"/>
    <n v="8295.02"/>
    <n v="614.64468000000124"/>
    <n v="6.8986286473802644E-2"/>
    <d v="2024-02-18T00:00:00"/>
    <s v="Q3-2024"/>
    <s v="Asia → Japan → Osaka"/>
    <s v="Low"/>
    <x v="18"/>
    <x v="1"/>
    <x v="16"/>
  </r>
  <r>
    <s v="ORD-2024-915495"/>
    <x v="283"/>
    <d v="2024-08-20T00:00:00"/>
    <n v="12"/>
    <s v="Asia"/>
    <x v="6"/>
    <s v="Osaka"/>
    <s v="Small Business"/>
    <s v="Retail"/>
    <x v="15"/>
    <x v="4"/>
    <x v="351"/>
    <n v="1233.3599999999999"/>
    <n v="2120.4"/>
    <n v="2120.4"/>
    <n v="0.17899999999999999"/>
    <n v="20"/>
    <x v="351"/>
    <n v="24667.199999999997"/>
    <n v="10149.768000000004"/>
    <n v="0.29151785991244278"/>
    <d v="2024-02-25T00:00:00"/>
    <s v="Q3-2024"/>
    <s v="Asia → Japan → Osaka"/>
    <s v="High"/>
    <x v="18"/>
    <x v="1"/>
    <x v="16"/>
  </r>
  <r>
    <s v="ORD-2024-542244"/>
    <x v="284"/>
    <d v="2024-09-05T00:00:00"/>
    <n v="6"/>
    <s v="Asia"/>
    <x v="6"/>
    <s v="Nagoya"/>
    <s v="Education"/>
    <s v="Online"/>
    <x v="1"/>
    <x v="6"/>
    <x v="352"/>
    <n v="466.16"/>
    <n v="876.81"/>
    <n v="876.81"/>
    <n v="0.24099999999999999"/>
    <n v="8"/>
    <x v="352"/>
    <n v="3729.28"/>
    <n v="1594.7103199999997"/>
    <n v="0.29953291124691594"/>
    <d v="2024-01-16T00:00:00"/>
    <s v="Q3-2024"/>
    <s v="Asia → Japan → Nagoya"/>
    <s v="Medium"/>
    <x v="18"/>
    <x v="1"/>
    <x v="16"/>
  </r>
  <r>
    <s v="ORD-2024-536442"/>
    <x v="285"/>
    <d v="2024-09-26T00:00:00"/>
    <n v="26"/>
    <s v="Asia"/>
    <x v="6"/>
    <s v="Tokyo"/>
    <s v="Education"/>
    <s v="Online"/>
    <x v="14"/>
    <x v="2"/>
    <x v="353"/>
    <n v="1189.03"/>
    <n v="2949.62"/>
    <n v="2949.62"/>
    <n v="0.125"/>
    <n v="13"/>
    <x v="353"/>
    <n v="15457.39"/>
    <n v="18094.537499999999"/>
    <n v="0.53929949330034765"/>
    <d v="2024-02-08T00:00:00"/>
    <s v="Q3-2024"/>
    <s v="Asia → Japan → Tokyo"/>
    <s v="High"/>
    <x v="18"/>
    <x v="1"/>
    <x v="16"/>
  </r>
  <r>
    <s v="ORD-2024-207792"/>
    <x v="286"/>
    <d v="2024-09-07T00:00:00"/>
    <n v="4"/>
    <s v="Asia"/>
    <x v="6"/>
    <s v="Tokyo"/>
    <s v="Small Business"/>
    <s v="Distributor"/>
    <x v="1"/>
    <x v="3"/>
    <x v="354"/>
    <n v="43.23"/>
    <n v="94.78"/>
    <n v="94.78"/>
    <n v="9.0999999999999998E-2"/>
    <n v="55"/>
    <x v="354"/>
    <n v="2377.6499999999996"/>
    <n v="2360.8761000000004"/>
    <n v="0.49823005090127082"/>
    <d v="2024-01-13T00:00:00"/>
    <s v="Q3-2024"/>
    <s v="Asia → Japan → Tokyo"/>
    <s v="Low"/>
    <x v="19"/>
    <x v="1"/>
    <x v="17"/>
  </r>
  <r>
    <s v="ORD-2024-594527"/>
    <x v="287"/>
    <d v="2024-09-06T00:00:00"/>
    <n v="2"/>
    <s v="Asia"/>
    <x v="6"/>
    <s v="Osaka"/>
    <s v="Corporate"/>
    <s v="Direct"/>
    <x v="4"/>
    <x v="6"/>
    <x v="355"/>
    <n v="1368.17"/>
    <n v="2307.75"/>
    <n v="2307.75"/>
    <n v="0.16300000000000001"/>
    <n v="21"/>
    <x v="355"/>
    <n v="28731.57"/>
    <n v="11831.751749999996"/>
    <n v="0.29168596750831921"/>
    <d v="2024-01-24T00:00:00"/>
    <s v="Q3-2024"/>
    <s v="Asia → Japan → Osaka"/>
    <s v="High"/>
    <x v="19"/>
    <x v="1"/>
    <x v="17"/>
  </r>
  <r>
    <s v="ORD-2024-569164"/>
    <x v="288"/>
    <d v="2024-09-25T00:00:00"/>
    <n v="20"/>
    <s v="Asia"/>
    <x v="6"/>
    <s v="Osaka"/>
    <s v="Enterprise"/>
    <s v="Distributor"/>
    <x v="0"/>
    <x v="0"/>
    <x v="356"/>
    <n v="195.54"/>
    <n v="405.97"/>
    <n v="405.97"/>
    <n v="0.187"/>
    <n v="16"/>
    <x v="356"/>
    <n v="3128.64"/>
    <n v="2152.21776"/>
    <n v="0.40755079152141377"/>
    <d v="2024-01-18T00:00:00"/>
    <s v="Q3-2024"/>
    <s v="Asia → Japan → Osaka"/>
    <s v="Low"/>
    <x v="19"/>
    <x v="1"/>
    <x v="17"/>
  </r>
  <r>
    <s v="ORD-2024-792558"/>
    <x v="289"/>
    <d v="2024-11-08T00:00:00"/>
    <n v="23"/>
    <s v="Asia"/>
    <x v="6"/>
    <s v="Osaka"/>
    <s v="Small Business"/>
    <s v="Retail"/>
    <x v="9"/>
    <x v="4"/>
    <x v="357"/>
    <n v="82.14"/>
    <n v="166.04"/>
    <n v="166.04"/>
    <n v="0"/>
    <n v="10"/>
    <x v="357"/>
    <n v="821.4"/>
    <n v="838.99999999999989"/>
    <n v="0.50529992772825827"/>
    <d v="2023-12-26T00:00:00"/>
    <s v="Q4-2024"/>
    <s v="Asia → Japan → Osaka"/>
    <s v="Low"/>
    <x v="32"/>
    <x v="1"/>
    <x v="18"/>
  </r>
  <r>
    <s v="ORD-2024-668926"/>
    <x v="290"/>
    <d v="2024-11-14T00:00:00"/>
    <n v="22"/>
    <s v="Asia"/>
    <x v="6"/>
    <s v="Osaka"/>
    <s v="Non-Profit"/>
    <s v="Direct"/>
    <x v="7"/>
    <x v="2"/>
    <x v="358"/>
    <n v="1406.4"/>
    <n v="1564.76"/>
    <n v="1564.76"/>
    <n v="0.185"/>
    <n v="17"/>
    <x v="358"/>
    <n v="23908.800000000003"/>
    <n v="-2229.0502000000051"/>
    <n v="-0.10281715520536151"/>
    <d v="2023-12-24T00:00:00"/>
    <s v="Q4-2024"/>
    <s v="Asia → Japan → Osaka"/>
    <s v="Medium"/>
    <x v="32"/>
    <x v="1"/>
    <x v="18"/>
  </r>
  <r>
    <s v="ORD-2024-350100"/>
    <x v="291"/>
    <d v="2024-11-20T00:00:00"/>
    <n v="24"/>
    <s v="Asia"/>
    <x v="6"/>
    <s v="Nagoya"/>
    <s v="Non-Profit"/>
    <s v="Online"/>
    <x v="15"/>
    <x v="0"/>
    <x v="359"/>
    <n v="317.25"/>
    <n v="758.92"/>
    <n v="758.92"/>
    <n v="5.2999999999999999E-2"/>
    <n v="9"/>
    <x v="359"/>
    <n v="2855.25"/>
    <n v="3613.0251599999992"/>
    <n v="0.5585762928489888"/>
    <d v="2023-12-22T00:00:00"/>
    <s v="Q4-2024"/>
    <s v="Asia → Japan → Nagoya"/>
    <s v="Low"/>
    <x v="32"/>
    <x v="1"/>
    <x v="18"/>
  </r>
  <r>
    <s v="ORD-2024-102866"/>
    <x v="292"/>
    <d v="2024-12-20T00:00:00"/>
    <n v="8"/>
    <s v="Asia"/>
    <x v="6"/>
    <s v="Tokyo"/>
    <s v="Corporate"/>
    <s v="Retail"/>
    <x v="7"/>
    <x v="6"/>
    <x v="360"/>
    <n v="1202.47"/>
    <n v="1444.72"/>
    <n v="1444.72"/>
    <n v="0.24099999999999999"/>
    <n v="17"/>
    <x v="360"/>
    <n v="20441.990000000002"/>
    <n v="-1800.7678400000004"/>
    <n v="-9.6601382921343834E-2"/>
    <d v="2023-10-09T00:00:00"/>
    <s v="Q4-2024"/>
    <s v="Asia → Japan → Tokyo"/>
    <s v="Medium"/>
    <x v="30"/>
    <x v="1"/>
    <x v="32"/>
  </r>
  <r>
    <s v="ORD-2025-515515"/>
    <x v="293"/>
    <d v="2025-01-23T00:00:00"/>
    <n v="20"/>
    <s v="Asia"/>
    <x v="6"/>
    <s v="Osaka"/>
    <s v="Corporate"/>
    <s v="Distributor"/>
    <x v="8"/>
    <x v="2"/>
    <x v="361"/>
    <n v="908.6"/>
    <n v="691.37"/>
    <n v="691.37"/>
    <n v="0.25"/>
    <n v="20"/>
    <x v="361"/>
    <n v="18172"/>
    <n v="-7801.4500000000007"/>
    <n v="-0.75226964818645115"/>
    <d v="2023-09-20T00:00:00"/>
    <s v="Q1-2025"/>
    <s v="Asia → Japan → Osaka"/>
    <s v="Low"/>
    <x v="21"/>
    <x v="1"/>
    <x v="20"/>
  </r>
  <r>
    <s v="ORD-2025-415018"/>
    <x v="179"/>
    <d v="2025-02-04T00:00:00"/>
    <n v="13"/>
    <s v="Asia"/>
    <x v="6"/>
    <s v="Tokyo"/>
    <s v="Small Business"/>
    <s v="Distributor"/>
    <x v="11"/>
    <x v="3"/>
    <x v="362"/>
    <n v="122.29"/>
    <n v="224.95"/>
    <n v="224.95"/>
    <n v="0.153"/>
    <n v="28"/>
    <x v="362"/>
    <n v="3424.1200000000003"/>
    <n v="1910.7941999999989"/>
    <n v="0.3581677471026618"/>
    <d v="2023-08-19T00:00:00"/>
    <s v="Q1-2025"/>
    <s v="Asia → Japan → Tokyo"/>
    <s v="Low"/>
    <x v="21"/>
    <x v="1"/>
    <x v="20"/>
  </r>
  <r>
    <s v="ORD-2025-898843"/>
    <x v="294"/>
    <d v="2025-03-04T00:00:00"/>
    <n v="30"/>
    <s v="Asia"/>
    <x v="6"/>
    <s v="Osaka"/>
    <s v="Education"/>
    <s v="Distributor"/>
    <x v="11"/>
    <x v="5"/>
    <x v="363"/>
    <n v="766.59"/>
    <n v="1912.8"/>
    <n v="1912.8"/>
    <n v="0.19600000000000001"/>
    <n v="5"/>
    <x v="363"/>
    <n v="3832.9500000000003"/>
    <n v="3856.5059999999999"/>
    <n v="0.50153170783472845"/>
    <d v="2023-08-17T00:00:00"/>
    <s v="Q1-2025"/>
    <s v="Asia → Japan → Osaka"/>
    <s v="High"/>
    <x v="22"/>
    <x v="1"/>
    <x v="30"/>
  </r>
  <r>
    <s v="ORD-2025-728935"/>
    <x v="295"/>
    <d v="2025-03-10T00:00:00"/>
    <n v="10"/>
    <s v="Asia"/>
    <x v="6"/>
    <s v="Osaka"/>
    <s v="Education"/>
    <s v="Distributor"/>
    <x v="1"/>
    <x v="6"/>
    <x v="364"/>
    <n v="51.86"/>
    <n v="45.98"/>
    <n v="45.98"/>
    <n v="0.17299999999999999"/>
    <n v="7"/>
    <x v="364"/>
    <n v="363.02"/>
    <n v="-96.841780000000028"/>
    <n v="-0.3638230806412337"/>
    <d v="2023-07-25T00:00:00"/>
    <s v="Q1-2025"/>
    <s v="Asia → Japan → Osaka"/>
    <s v="Low"/>
    <x v="22"/>
    <x v="1"/>
    <x v="30"/>
  </r>
  <r>
    <s v="ORD-2025-683247"/>
    <x v="45"/>
    <d v="2025-04-04T00:00:00"/>
    <n v="25"/>
    <s v="Asia"/>
    <x v="6"/>
    <s v="Osaka"/>
    <s v="Corporate"/>
    <s v="Direct"/>
    <x v="15"/>
    <x v="3"/>
    <x v="365"/>
    <n v="783.72"/>
    <n v="1355.94"/>
    <n v="1355.94"/>
    <n v="0.187"/>
    <n v="4"/>
    <x v="365"/>
    <n v="3134.88"/>
    <n v="1274.63688"/>
    <n v="0.28906497348525856"/>
    <d v="2023-07-10T00:00:00"/>
    <s v="Q1-2025"/>
    <s v="Asia → Japan → Osaka"/>
    <s v="Medium"/>
    <x v="23"/>
    <x v="1"/>
    <x v="21"/>
  </r>
  <r>
    <s v="ORD-2025-532859"/>
    <x v="222"/>
    <d v="2025-03-27T00:00:00"/>
    <n v="16"/>
    <s v="Asia"/>
    <x v="6"/>
    <s v="Tokyo"/>
    <s v="Enterprise"/>
    <s v="Distributor"/>
    <x v="7"/>
    <x v="3"/>
    <x v="366"/>
    <n v="1317.58"/>
    <n v="1897.74"/>
    <n v="1897.74"/>
    <n v="8.1000000000000003E-2"/>
    <n v="6"/>
    <x v="366"/>
    <n v="7905.48"/>
    <n v="2558.6583600000013"/>
    <n v="0.24451687009230266"/>
    <d v="2023-07-19T00:00:00"/>
    <s v="Q1-2025"/>
    <s v="Asia → Japan → Tokyo"/>
    <s v="High"/>
    <x v="23"/>
    <x v="1"/>
    <x v="21"/>
  </r>
  <r>
    <s v="ORD-2025-685236"/>
    <x v="138"/>
    <d v="2025-03-29T00:00:00"/>
    <n v="15"/>
    <s v="Asia"/>
    <x v="6"/>
    <s v="Tokyo"/>
    <s v="Non-Profit"/>
    <s v="Direct"/>
    <x v="15"/>
    <x v="4"/>
    <x v="367"/>
    <n v="1106.96"/>
    <n v="2726.62"/>
    <n v="2726.62"/>
    <n v="0.317"/>
    <n v="7"/>
    <x v="367"/>
    <n v="7748.72"/>
    <n v="5287.2502200000008"/>
    <n v="0.40558931408789306"/>
    <d v="2023-07-21T00:00:00"/>
    <s v="Q1-2025"/>
    <s v="Asia → Japan → Tokyo"/>
    <s v="High"/>
    <x v="23"/>
    <x v="1"/>
    <x v="21"/>
  </r>
  <r>
    <s v="ORD-2025-125517"/>
    <x v="296"/>
    <d v="2025-04-09T00:00:00"/>
    <n v="19"/>
    <s v="Asia"/>
    <x v="6"/>
    <s v="Tokyo"/>
    <s v="Small Business"/>
    <s v="Distributor"/>
    <x v="6"/>
    <x v="1"/>
    <x v="368"/>
    <n v="1055.45"/>
    <n v="1210.04"/>
    <n v="1210.04"/>
    <n v="8.9999999999999993E-3"/>
    <n v="18"/>
    <x v="368"/>
    <n v="18998.100000000002"/>
    <n v="2586.5935199999985"/>
    <n v="0.1198346188053727"/>
    <d v="2023-06-24T00:00:00"/>
    <s v="Q1-2025"/>
    <s v="Asia → Japan → Tokyo"/>
    <s v="Medium"/>
    <x v="23"/>
    <x v="1"/>
    <x v="21"/>
  </r>
  <r>
    <s v="ORD-2025-487025"/>
    <x v="297"/>
    <d v="2025-05-04T00:00:00"/>
    <n v="23"/>
    <s v="Asia"/>
    <x v="6"/>
    <s v="Osaka"/>
    <s v="Small Business"/>
    <s v="Online"/>
    <x v="3"/>
    <x v="1"/>
    <x v="369"/>
    <n v="786.2"/>
    <n v="1075.3"/>
    <n v="1075.3"/>
    <n v="0.08"/>
    <n v="9"/>
    <x v="369"/>
    <n v="7075.8"/>
    <n v="1827.6839999999984"/>
    <n v="0.20527739478163815"/>
    <d v="2023-06-05T00:00:00"/>
    <s v="Q2-2025"/>
    <s v="Asia → Japan → Osaka"/>
    <s v="Medium"/>
    <x v="24"/>
    <x v="1"/>
    <x v="22"/>
  </r>
  <r>
    <s v="ORD-2025-169093"/>
    <x v="298"/>
    <d v="2025-04-14T00:00:00"/>
    <n v="1"/>
    <s v="Asia"/>
    <x v="6"/>
    <s v="Osaka"/>
    <s v="Enterprise"/>
    <s v="Online"/>
    <x v="2"/>
    <x v="1"/>
    <x v="370"/>
    <n v="138.9"/>
    <n v="289.92"/>
    <n v="289.92"/>
    <n v="2.9000000000000001E-2"/>
    <n v="12"/>
    <x v="370"/>
    <n v="1666.8000000000002"/>
    <n v="1711.3478399999999"/>
    <n v="0.50659353025828491"/>
    <d v="2023-06-13T00:00:00"/>
    <s v="Q2-2025"/>
    <s v="Asia → Japan → Osaka"/>
    <s v="Low"/>
    <x v="24"/>
    <x v="1"/>
    <x v="22"/>
  </r>
  <r>
    <s v="ORD-2025-626047"/>
    <x v="225"/>
    <d v="2025-05-15T00:00:00"/>
    <n v="17"/>
    <s v="Asia"/>
    <x v="6"/>
    <s v="Nagoya"/>
    <s v="Education"/>
    <s v="Direct"/>
    <x v="1"/>
    <x v="4"/>
    <x v="371"/>
    <n v="691.19"/>
    <n v="1284.3"/>
    <n v="1284.3"/>
    <n v="7.3999999999999996E-2"/>
    <n v="7"/>
    <x v="371"/>
    <n v="4838.33"/>
    <n v="3486.5026000000016"/>
    <n v="0.41880753253825198"/>
    <d v="2023-05-20T00:00:00"/>
    <s v="Q2-2025"/>
    <s v="Asia → Japan → Nagoya"/>
    <s v="Medium"/>
    <x v="24"/>
    <x v="1"/>
    <x v="22"/>
  </r>
  <r>
    <s v="ORD-2025-254721"/>
    <x v="299"/>
    <d v="2025-06-05T00:00:00"/>
    <n v="21"/>
    <s v="Asia"/>
    <x v="6"/>
    <s v="Osaka"/>
    <s v="Enterprise"/>
    <s v="Direct"/>
    <x v="15"/>
    <x v="2"/>
    <x v="372"/>
    <n v="1466.5"/>
    <n v="2778.74"/>
    <n v="2778.74"/>
    <n v="0.13500000000000001"/>
    <n v="4"/>
    <x v="372"/>
    <n v="5866"/>
    <n v="3748.4403999999995"/>
    <n v="0.38987608680792279"/>
    <d v="2023-05-04T00:00:00"/>
    <s v="Q2-2025"/>
    <s v="Asia → Japan → Osaka"/>
    <s v="High"/>
    <x v="25"/>
    <x v="1"/>
    <x v="23"/>
  </r>
  <r>
    <s v="ORD-2025-752192"/>
    <x v="140"/>
    <d v="2025-05-18T00:00:00"/>
    <n v="2"/>
    <s v="Asia"/>
    <x v="6"/>
    <s v="Tokyo"/>
    <s v="Enterprise"/>
    <s v="Retail"/>
    <x v="9"/>
    <x v="3"/>
    <x v="373"/>
    <n v="1144.3800000000001"/>
    <n v="2755.04"/>
    <n v="2755.04"/>
    <n v="0.15"/>
    <n v="17"/>
    <x v="373"/>
    <n v="19454.460000000003"/>
    <n v="20355.867999999999"/>
    <n v="0.51132128326096682"/>
    <d v="2023-05-14T00:00:00"/>
    <s v="Q2-2025"/>
    <s v="Asia → Japan → Tokyo"/>
    <s v="High"/>
    <x v="25"/>
    <x v="1"/>
    <x v="23"/>
  </r>
  <r>
    <s v="ORD-2025-486350"/>
    <x v="300"/>
    <d v="2025-06-08T00:00:00"/>
    <n v="12"/>
    <s v="Asia"/>
    <x v="6"/>
    <s v="Osaka"/>
    <s v="Corporate"/>
    <s v="Retail"/>
    <x v="15"/>
    <x v="5"/>
    <x v="374"/>
    <n v="653.6"/>
    <n v="842.09"/>
    <n v="842.09"/>
    <n v="9.8000000000000004E-2"/>
    <n v="19"/>
    <x v="374"/>
    <n v="12418.4"/>
    <n v="2013.3384200000019"/>
    <n v="0.13950768517324622"/>
    <d v="2023-05-03T00:00:00"/>
    <s v="Q2-2025"/>
    <s v="Asia → Japan → Osaka"/>
    <s v="Medium"/>
    <x v="25"/>
    <x v="1"/>
    <x v="23"/>
  </r>
  <r>
    <s v="ORD-2025-417942"/>
    <x v="185"/>
    <d v="2025-06-24T00:00:00"/>
    <n v="15"/>
    <s v="Asia"/>
    <x v="6"/>
    <s v="Nagoya"/>
    <s v="Corporate"/>
    <s v="Direct"/>
    <x v="7"/>
    <x v="2"/>
    <x v="375"/>
    <n v="400.39"/>
    <n v="712.75"/>
    <n v="712.75"/>
    <n v="0.115"/>
    <n v="19"/>
    <x v="375"/>
    <n v="7607.41"/>
    <n v="4377.4812500000007"/>
    <n v="0.36524997671547504"/>
    <d v="2023-04-19T00:00:00"/>
    <s v="Q2-2025"/>
    <s v="Asia → Japan → Nagoya"/>
    <s v="Low"/>
    <x v="31"/>
    <x v="1"/>
    <x v="24"/>
  </r>
  <r>
    <s v="ORD-2025-703623"/>
    <x v="301"/>
    <d v="2025-08-19T00:00:00"/>
    <n v="27"/>
    <s v="Asia"/>
    <x v="6"/>
    <s v="Nagoya"/>
    <s v="Consumer"/>
    <s v="Marketplace"/>
    <x v="7"/>
    <x v="5"/>
    <x v="376"/>
    <n v="896.09"/>
    <n v="744.27"/>
    <n v="744.27"/>
    <n v="8.3000000000000004E-2"/>
    <n v="11"/>
    <x v="376"/>
    <n v="9856.99"/>
    <n v="-2349.5385100000003"/>
    <n v="-0.31296086469950679"/>
    <d v="2023-03-25T00:00:00"/>
    <s v="Q3-2025"/>
    <s v="Asia → Japan → Nagoya"/>
    <s v="Low"/>
    <x v="26"/>
    <x v="1"/>
    <x v="25"/>
  </r>
  <r>
    <s v="ORD-2025-496178"/>
    <x v="302"/>
    <d v="2025-08-15T00:00:00"/>
    <n v="19"/>
    <s v="Asia"/>
    <x v="6"/>
    <s v="Tokyo"/>
    <s v="Small Business"/>
    <s v="Marketplace"/>
    <x v="9"/>
    <x v="1"/>
    <x v="377"/>
    <n v="275.43"/>
    <n v="608.36"/>
    <n v="608.36"/>
    <n v="0.25700000000000001"/>
    <n v="4"/>
    <x v="377"/>
    <n v="1101.72"/>
    <n v="706.32592"/>
    <n v="0.39065706915231446"/>
    <d v="2023-03-04T00:00:00"/>
    <s v="Q3-2025"/>
    <s v="Asia → Japan → Tokyo"/>
    <s v="Low"/>
    <x v="26"/>
    <x v="1"/>
    <x v="25"/>
  </r>
  <r>
    <s v="ORD-2025-646342"/>
    <x v="303"/>
    <d v="2025-08-08T00:00:00"/>
    <n v="6"/>
    <s v="Asia"/>
    <x v="6"/>
    <s v="Osaka"/>
    <s v="Consumer"/>
    <s v="Direct"/>
    <x v="1"/>
    <x v="6"/>
    <x v="378"/>
    <n v="1225.94"/>
    <n v="1793.08"/>
    <n v="1793.08"/>
    <n v="0.13600000000000001"/>
    <n v="22"/>
    <x v="378"/>
    <n v="26970.68"/>
    <n v="7112.1846399999922"/>
    <n v="0.20867332353434462"/>
    <d v="2023-03-14T00:00:00"/>
    <s v="Q3-2025"/>
    <s v="Asia → Japan → Osaka"/>
    <s v="High"/>
    <x v="27"/>
    <x v="1"/>
    <x v="31"/>
  </r>
  <r>
    <s v="ORD-2025-233883"/>
    <x v="57"/>
    <d v="2025-09-16T00:00:00"/>
    <n v="8"/>
    <s v="Asia"/>
    <x v="6"/>
    <s v="Osaka"/>
    <s v="Corporate"/>
    <s v="Distributor"/>
    <x v="5"/>
    <x v="2"/>
    <x v="379"/>
    <n v="1225.57"/>
    <n v="2705.57"/>
    <n v="2705.57"/>
    <n v="0.183"/>
    <n v="16"/>
    <x v="379"/>
    <n v="19609.12"/>
    <n v="15758.091040000003"/>
    <n v="0.44555650775453404"/>
    <d v="2023-01-19T00:00:00"/>
    <s v="Q3-2025"/>
    <s v="Asia → Japan → Osaka"/>
    <s v="High"/>
    <x v="28"/>
    <x v="1"/>
    <x v="26"/>
  </r>
  <r>
    <s v="ORD-2025-779574"/>
    <x v="304"/>
    <d v="2025-09-12T00:00:00"/>
    <n v="2"/>
    <s v="Asia"/>
    <x v="6"/>
    <s v="Tokyo"/>
    <s v="Consumer"/>
    <s v="Online"/>
    <x v="13"/>
    <x v="1"/>
    <x v="380"/>
    <n v="1470.15"/>
    <n v="2593.7800000000002"/>
    <n v="2593.7800000000002"/>
    <n v="0.11"/>
    <n v="12"/>
    <x v="380"/>
    <n v="17641.800000000003"/>
    <n v="10059.770399999998"/>
    <n v="0.36314801849645306"/>
    <d v="2023-01-07T00:00:00"/>
    <s v="Q3-2025"/>
    <s v="Asia → Japan → Tokyo"/>
    <s v="High"/>
    <x v="28"/>
    <x v="1"/>
    <x v="26"/>
  </r>
  <r>
    <s v="ORD-2025-248586"/>
    <x v="305"/>
    <d v="2025-09-30T00:00:00"/>
    <n v="18"/>
    <s v="Asia"/>
    <x v="6"/>
    <s v="Nagoya"/>
    <s v="Non-Profit"/>
    <s v="Marketplace"/>
    <x v="8"/>
    <x v="0"/>
    <x v="381"/>
    <n v="1212.99"/>
    <n v="1653.64"/>
    <n v="1653.64"/>
    <n v="0.107"/>
    <n v="8"/>
    <x v="381"/>
    <n v="9703.92"/>
    <n v="2109.6841600000007"/>
    <n v="0.17858090819931455"/>
    <d v="2023-01-12T00:00:00"/>
    <s v="Q3-2025"/>
    <s v="Asia → Japan → Nagoya"/>
    <s v="High"/>
    <x v="28"/>
    <x v="1"/>
    <x v="26"/>
  </r>
  <r>
    <s v="ORD-2023-586275"/>
    <x v="306"/>
    <d v="2023-02-03T00:00:00"/>
    <n v="14"/>
    <s v="Africa"/>
    <x v="7"/>
    <s v="Kisumu"/>
    <s v="Corporate"/>
    <s v="Retail"/>
    <x v="3"/>
    <x v="4"/>
    <x v="382"/>
    <n v="884.36"/>
    <n v="1545.34"/>
    <n v="1545.34"/>
    <n v="0.24299999999999999"/>
    <n v="41"/>
    <x v="382"/>
    <n v="36258.76"/>
    <n v="11703.957579999995"/>
    <n v="0.24402198562827965"/>
    <d v="2025-08-25T00:00:00"/>
    <s v="Q1-2023"/>
    <s v="Africa → Kenya → Kisumu"/>
    <s v="Medium"/>
    <x v="0"/>
    <x v="0"/>
    <x v="0"/>
  </r>
  <r>
    <s v="ORD-2023-156396"/>
    <x v="307"/>
    <d v="2023-03-12T00:00:00"/>
    <n v="19"/>
    <s v="Africa"/>
    <x v="7"/>
    <s v="Nakuru"/>
    <s v="Corporate"/>
    <s v="Online"/>
    <x v="8"/>
    <x v="4"/>
    <x v="383"/>
    <n v="352.65"/>
    <n v="485.86"/>
    <n v="485.86"/>
    <n v="4.1000000000000002E-2"/>
    <n v="6"/>
    <x v="383"/>
    <n v="2115.8999999999996"/>
    <n v="679.73844000000008"/>
    <n v="0.24314247159943908"/>
    <d v="2025-08-11T00:00:00"/>
    <s v="Q1-2023"/>
    <s v="Africa → Kenya → Nakuru"/>
    <s v="Low"/>
    <x v="1"/>
    <x v="0"/>
    <x v="1"/>
  </r>
  <r>
    <s v="ORD-2023-373538"/>
    <x v="194"/>
    <d v="2023-03-25T00:00:00"/>
    <n v="25"/>
    <s v="Africa"/>
    <x v="7"/>
    <s v="Nairobi"/>
    <s v="Corporate"/>
    <s v="Retail"/>
    <x v="14"/>
    <x v="4"/>
    <x v="384"/>
    <n v="1460.76"/>
    <n v="-30.66"/>
    <n v="30.66"/>
    <n v="0.13100000000000001"/>
    <n v="12"/>
    <x v="384"/>
    <n v="17529.12"/>
    <n v="-17209.397519999999"/>
    <n v="-53.826047890032626"/>
    <d v="2025-07-23T00:00:00"/>
    <s v="Q1-2023"/>
    <s v="Africa → Kenya → Nairobi"/>
    <s v="Low"/>
    <x v="1"/>
    <x v="0"/>
    <x v="1"/>
  </r>
  <r>
    <s v="ORD-2023-949710"/>
    <x v="308"/>
    <d v="2023-04-01T00:00:00"/>
    <n v="25"/>
    <s v="Africa"/>
    <x v="7"/>
    <s v="Nairobi"/>
    <s v="Consumer"/>
    <s v="Marketplace"/>
    <x v="0"/>
    <x v="3"/>
    <x v="385"/>
    <n v="1024.0999999999999"/>
    <n v="918.19"/>
    <n v="918.19"/>
    <n v="0.189"/>
    <n v="10"/>
    <x v="385"/>
    <n v="10241"/>
    <n v="-2794.4790999999996"/>
    <n v="-0.37527311579827827"/>
    <d v="2025-08-02T00:00:00"/>
    <s v="Q1-2023"/>
    <s v="Africa → Kenya → Nairobi"/>
    <s v="Medium"/>
    <x v="2"/>
    <x v="0"/>
    <x v="2"/>
  </r>
  <r>
    <s v="ORD-2023-835010"/>
    <x v="309"/>
    <d v="2023-04-15T00:00:00"/>
    <n v="23"/>
    <s v="Africa"/>
    <x v="7"/>
    <s v="Mombasa"/>
    <s v="Small Business"/>
    <s v="Retail"/>
    <x v="5"/>
    <x v="5"/>
    <x v="386"/>
    <n v="875.36"/>
    <n v="1178.6199999999999"/>
    <n v="1178.6199999999999"/>
    <n v="0.151"/>
    <n v="53"/>
    <x v="386"/>
    <n v="46394.080000000002"/>
    <n v="6640.2841399999888"/>
    <n v="0.12520719815685888"/>
    <d v="2025-07-19T00:00:00"/>
    <s v="Q1-2023"/>
    <s v="Africa → Kenya → Mombasa"/>
    <s v="Medium"/>
    <x v="2"/>
    <x v="0"/>
    <x v="2"/>
  </r>
  <r>
    <s v="ORD-2023-613287"/>
    <x v="310"/>
    <d v="2023-04-12T00:00:00"/>
    <n v="12"/>
    <s v="Africa"/>
    <x v="7"/>
    <s v="Mombasa"/>
    <s v="Small Business"/>
    <s v="Online"/>
    <x v="5"/>
    <x v="2"/>
    <x v="387"/>
    <n v="304.22000000000003"/>
    <n v="393.31"/>
    <n v="393.31"/>
    <n v="0.26500000000000001"/>
    <n v="15"/>
    <x v="387"/>
    <n v="4563.3"/>
    <n v="-227.05725000000075"/>
    <n v="-5.2362670424759034E-2"/>
    <d v="2025-06-24T00:00:00"/>
    <s v="Q1-2023"/>
    <s v="Africa → Kenya → Mombasa"/>
    <s v="Low"/>
    <x v="2"/>
    <x v="0"/>
    <x v="2"/>
  </r>
  <r>
    <s v="ORD-2023-419187"/>
    <x v="310"/>
    <d v="2023-04-05T00:00:00"/>
    <n v="5"/>
    <s v="Africa"/>
    <x v="7"/>
    <s v="Nakuru"/>
    <s v="Education"/>
    <s v="Marketplace"/>
    <x v="7"/>
    <x v="6"/>
    <x v="388"/>
    <n v="533.26"/>
    <n v="385.72"/>
    <n v="385.72"/>
    <n v="0"/>
    <n v="15"/>
    <x v="388"/>
    <n v="7998.9"/>
    <n v="-2213.0999999999995"/>
    <n v="-0.38250544436378708"/>
    <d v="2025-07-09T00:00:00"/>
    <s v="Q1-2023"/>
    <s v="Africa → Kenya → Nakuru"/>
    <s v="Low"/>
    <x v="2"/>
    <x v="0"/>
    <x v="2"/>
  </r>
  <r>
    <s v="ORD-2023-897079"/>
    <x v="197"/>
    <d v="2023-05-14T00:00:00"/>
    <n v="30"/>
    <s v="Africa"/>
    <x v="7"/>
    <s v="Nakuru"/>
    <s v="Consumer"/>
    <s v="Marketplace"/>
    <x v="3"/>
    <x v="2"/>
    <x v="389"/>
    <n v="209.25"/>
    <n v="434.8"/>
    <n v="434.8"/>
    <n v="0"/>
    <n v="9"/>
    <x v="389"/>
    <n v="1883.25"/>
    <n v="2029.9500000000003"/>
    <n v="0.51874425022999082"/>
    <d v="2025-06-24T00:00:00"/>
    <s v="Q2-2023"/>
    <s v="Africa → Kenya → Nakuru"/>
    <s v="Low"/>
    <x v="3"/>
    <x v="0"/>
    <x v="3"/>
  </r>
  <r>
    <s v="ORD-2023-937291"/>
    <x v="266"/>
    <d v="2023-04-23T00:00:00"/>
    <n v="1"/>
    <s v="Africa"/>
    <x v="7"/>
    <s v="Nairobi"/>
    <s v="Small Business"/>
    <s v="Direct"/>
    <x v="6"/>
    <x v="6"/>
    <x v="390"/>
    <n v="756.51"/>
    <n v="850.8"/>
    <n v="850.8"/>
    <n v="7.3999999999999996E-2"/>
    <n v="9"/>
    <x v="390"/>
    <n v="6808.59"/>
    <n v="281.97720000000027"/>
    <n v="3.9767932810791252E-2"/>
    <d v="2025-06-09T00:00:00"/>
    <s v="Q2-2023"/>
    <s v="Africa → Kenya → Nairobi"/>
    <s v="Medium"/>
    <x v="3"/>
    <x v="0"/>
    <x v="3"/>
  </r>
  <r>
    <s v="ORD-2023-251563"/>
    <x v="106"/>
    <d v="2023-06-07T00:00:00"/>
    <n v="27"/>
    <s v="Africa"/>
    <x v="7"/>
    <s v="Mombasa"/>
    <s v="Corporate"/>
    <s v="Online"/>
    <x v="9"/>
    <x v="2"/>
    <x v="391"/>
    <n v="12.85"/>
    <n v="15.41"/>
    <n v="15.41"/>
    <n v="0.13700000000000001"/>
    <n v="39"/>
    <x v="391"/>
    <n v="501.15"/>
    <n v="17.504369999999994"/>
    <n v="3.3749585489851353E-2"/>
    <d v="2025-04-27T00:00:00"/>
    <s v="Q2-2023"/>
    <s v="Africa → Kenya → Mombasa"/>
    <s v="Low"/>
    <x v="4"/>
    <x v="0"/>
    <x v="4"/>
  </r>
  <r>
    <s v="ORD-2023-931633"/>
    <x v="311"/>
    <d v="2023-05-22T00:00:00"/>
    <n v="8"/>
    <s v="Africa"/>
    <x v="7"/>
    <s v="Mombasa"/>
    <s v="Small Business"/>
    <s v="Distributor"/>
    <x v="8"/>
    <x v="3"/>
    <x v="392"/>
    <n v="432.01"/>
    <n v="913.78"/>
    <n v="913.78"/>
    <n v="4.9000000000000002E-2"/>
    <n v="12"/>
    <x v="392"/>
    <n v="5184.12"/>
    <n v="5243.9373600000008"/>
    <n v="0.50286809699711899"/>
    <d v="2025-05-19T00:00:00"/>
    <s v="Q2-2023"/>
    <s v="Africa → Kenya → Mombasa"/>
    <s v="Medium"/>
    <x v="4"/>
    <x v="0"/>
    <x v="4"/>
  </r>
  <r>
    <s v="ORD-2023-536542"/>
    <x v="312"/>
    <d v="2023-06-18T00:00:00"/>
    <n v="8"/>
    <s v="Africa"/>
    <x v="7"/>
    <s v="Nakuru"/>
    <s v="Enterprise"/>
    <s v="Direct"/>
    <x v="15"/>
    <x v="2"/>
    <x v="393"/>
    <n v="894.23"/>
    <n v="1421.55"/>
    <n v="1421.55"/>
    <n v="0.109"/>
    <n v="3"/>
    <x v="393"/>
    <n v="2682.69"/>
    <n v="1117.1131499999997"/>
    <n v="0.29399237431549574"/>
    <d v="2025-04-17T00:00:00"/>
    <s v="Q2-2023"/>
    <s v="Africa → Kenya → Nakuru"/>
    <s v="Medium"/>
    <x v="5"/>
    <x v="0"/>
    <x v="5"/>
  </r>
  <r>
    <s v="ORD-2023-286720"/>
    <x v="313"/>
    <d v="2023-07-09T00:00:00"/>
    <n v="1"/>
    <s v="Africa"/>
    <x v="7"/>
    <s v="Nairobi"/>
    <s v="Consumer"/>
    <s v="Online"/>
    <x v="0"/>
    <x v="6"/>
    <x v="394"/>
    <n v="1258.72"/>
    <n v="2797.41"/>
    <n v="2797.41"/>
    <n v="0"/>
    <n v="7"/>
    <x v="394"/>
    <n v="8811.0400000000009"/>
    <n v="10770.829999999998"/>
    <n v="0.55004093071805704"/>
    <d v="2025-03-23T00:00:00"/>
    <s v="Q3-2023"/>
    <s v="Africa → Kenya → Nairobi"/>
    <s v="High"/>
    <x v="6"/>
    <x v="0"/>
    <x v="6"/>
  </r>
  <r>
    <s v="ORD-2023-261081"/>
    <x v="66"/>
    <d v="2023-08-19T00:00:00"/>
    <n v="26"/>
    <s v="Africa"/>
    <x v="7"/>
    <s v="Nairobi"/>
    <s v="Enterprise"/>
    <s v="Distributor"/>
    <x v="3"/>
    <x v="5"/>
    <x v="395"/>
    <n v="661.45"/>
    <n v="1634.86"/>
    <n v="1634.86"/>
    <n v="0.56499999999999995"/>
    <n v="24"/>
    <x v="395"/>
    <n v="15874.800000000001"/>
    <n v="1193.1384000000016"/>
    <n v="6.9905244092045793E-2"/>
    <d v="2025-02-21T00:00:00"/>
    <s v="Q3-2023"/>
    <s v="Africa → Kenya → Nairobi"/>
    <s v="Medium"/>
    <x v="6"/>
    <x v="0"/>
    <x v="6"/>
  </r>
  <r>
    <s v="ORD-2023-274037"/>
    <x v="314"/>
    <d v="2023-08-25T00:00:00"/>
    <n v="10"/>
    <s v="Africa"/>
    <x v="7"/>
    <s v="Nairobi"/>
    <s v="Small Business"/>
    <s v="Retail"/>
    <x v="1"/>
    <x v="2"/>
    <x v="396"/>
    <n v="91.85"/>
    <n v="111.29"/>
    <n v="111.29"/>
    <n v="0"/>
    <n v="6"/>
    <x v="396"/>
    <n v="551.09999999999991"/>
    <n v="116.6400000000001"/>
    <n v="0.17467876718483258"/>
    <d v="2025-02-15T00:00:00"/>
    <s v="Q3-2023"/>
    <s v="Africa → Kenya → Nairobi"/>
    <s v="Low"/>
    <x v="7"/>
    <x v="0"/>
    <x v="7"/>
  </r>
  <r>
    <s v="ORD-2023-755337"/>
    <x v="71"/>
    <d v="2023-09-14T00:00:00"/>
    <n v="6"/>
    <s v="Africa"/>
    <x v="7"/>
    <s v="Nakuru"/>
    <s v="Education"/>
    <s v="Direct"/>
    <x v="14"/>
    <x v="5"/>
    <x v="397"/>
    <n v="251.03"/>
    <n v="411.48"/>
    <n v="411.48"/>
    <n v="0.16500000000000001"/>
    <n v="3"/>
    <x v="397"/>
    <n v="753.09"/>
    <n v="277.66739999999993"/>
    <n v="0.26938191275658069"/>
    <d v="2024-12-17T00:00:00"/>
    <s v="Q3-2023"/>
    <s v="Africa → Kenya → Nakuru"/>
    <s v="Low"/>
    <x v="8"/>
    <x v="0"/>
    <x v="8"/>
  </r>
  <r>
    <s v="ORD-2023-378104"/>
    <x v="315"/>
    <d v="2023-10-20T00:00:00"/>
    <n v="2"/>
    <s v="Africa"/>
    <x v="7"/>
    <s v="Kisumu"/>
    <s v="Consumer"/>
    <s v="Retail"/>
    <x v="9"/>
    <x v="2"/>
    <x v="398"/>
    <n v="774.12"/>
    <n v="908.3"/>
    <n v="908.3"/>
    <n v="0"/>
    <n v="30"/>
    <x v="398"/>
    <n v="23223.599999999999"/>
    <n v="4025.4000000000015"/>
    <n v="0.14772652207420461"/>
    <d v="2024-12-15T00:00:00"/>
    <s v="Q4-2023"/>
    <s v="Africa → Kenya → Kisumu"/>
    <s v="Medium"/>
    <x v="9"/>
    <x v="0"/>
    <x v="9"/>
  </r>
  <r>
    <s v="ORD-2023-842488"/>
    <x v="316"/>
    <d v="2023-11-02T00:00:00"/>
    <n v="2"/>
    <s v="Africa"/>
    <x v="7"/>
    <s v="Kisumu"/>
    <s v="Education"/>
    <s v="Retail"/>
    <x v="13"/>
    <x v="5"/>
    <x v="399"/>
    <n v="867.89"/>
    <n v="1349.94"/>
    <n v="1349.94"/>
    <n v="0.184"/>
    <n v="10"/>
    <x v="399"/>
    <n v="8678.9"/>
    <n v="2336.6104000000032"/>
    <n v="0.21212003031652557"/>
    <d v="2024-11-30T00:00:00"/>
    <s v="Q4-2023"/>
    <s v="Africa → Kenya → Kisumu"/>
    <s v="Medium"/>
    <x v="9"/>
    <x v="0"/>
    <x v="9"/>
  </r>
  <r>
    <s v="ORD-2023-178249"/>
    <x v="317"/>
    <d v="2024-01-20T00:00:00"/>
    <n v="22"/>
    <s v="Africa"/>
    <x v="7"/>
    <s v="Kisumu"/>
    <s v="Corporate"/>
    <s v="Direct"/>
    <x v="11"/>
    <x v="2"/>
    <x v="400"/>
    <n v="1395.49"/>
    <n v="1679.42"/>
    <n v="1679.42"/>
    <n v="0.20300000000000001"/>
    <n v="12"/>
    <x v="400"/>
    <n v="16745.88"/>
    <n v="-683.90712000000167"/>
    <n v="-4.2579272490964493E-2"/>
    <d v="2024-10-13T00:00:00"/>
    <s v="Q4-2023"/>
    <s v="Africa → Kenya → Kisumu"/>
    <s v="High"/>
    <x v="11"/>
    <x v="0"/>
    <x v="11"/>
  </r>
  <r>
    <s v="ORD-2024-647571"/>
    <x v="318"/>
    <d v="2024-02-28T00:00:00"/>
    <n v="22"/>
    <s v="Africa"/>
    <x v="7"/>
    <s v="Kisumu"/>
    <s v="Non-Profit"/>
    <s v="Online"/>
    <x v="12"/>
    <x v="0"/>
    <x v="401"/>
    <n v="834.93"/>
    <n v="1588.53"/>
    <n v="1588.53"/>
    <n v="0.126"/>
    <n v="6"/>
    <x v="401"/>
    <n v="5009.58"/>
    <n v="3320.6713199999995"/>
    <n v="0.39862798761274343"/>
    <d v="2024-08-10T00:00:00"/>
    <s v="Q1-2024"/>
    <s v="Africa → Kenya → Kisumu"/>
    <s v="Medium"/>
    <x v="13"/>
    <x v="0"/>
    <x v="13"/>
  </r>
  <r>
    <s v="ORD-2024-979401"/>
    <x v="319"/>
    <d v="2024-02-09T00:00:00"/>
    <n v="1"/>
    <s v="Africa"/>
    <x v="7"/>
    <s v="Mombasa"/>
    <s v="Corporate"/>
    <s v="Direct"/>
    <x v="8"/>
    <x v="1"/>
    <x v="402"/>
    <n v="1233.52"/>
    <n v="1543.76"/>
    <n v="1543.76"/>
    <n v="0.126"/>
    <n v="13"/>
    <x v="402"/>
    <n v="16035.76"/>
    <n v="1504.4411200000013"/>
    <n v="8.5771030201277493E-2"/>
    <d v="2024-08-30T00:00:00"/>
    <s v="Q1-2024"/>
    <s v="Africa → Kenya → Mombasa"/>
    <s v="Medium"/>
    <x v="13"/>
    <x v="0"/>
    <x v="13"/>
  </r>
  <r>
    <s v="ORD-2024-968374"/>
    <x v="320"/>
    <d v="2024-03-03T00:00:00"/>
    <n v="21"/>
    <s v="Africa"/>
    <x v="7"/>
    <s v="Kisumu"/>
    <s v="Enterprise"/>
    <s v="Online"/>
    <x v="7"/>
    <x v="2"/>
    <x v="403"/>
    <n v="516.86"/>
    <n v="852.54"/>
    <n v="852.54"/>
    <n v="5.0999999999999997E-2"/>
    <n v="14"/>
    <x v="403"/>
    <n v="7236.04"/>
    <n v="4090.8064399999994"/>
    <n v="0.36116022775355994"/>
    <d v="2024-09-04T00:00:00"/>
    <s v="Q1-2024"/>
    <s v="Africa → Kenya → Kisumu"/>
    <s v="Medium"/>
    <x v="13"/>
    <x v="0"/>
    <x v="13"/>
  </r>
  <r>
    <s v="ORD-2024-201376"/>
    <x v="24"/>
    <d v="2024-03-04T00:00:00"/>
    <n v="15"/>
    <s v="Africa"/>
    <x v="7"/>
    <s v="Kisumu"/>
    <s v="Education"/>
    <s v="Direct"/>
    <x v="12"/>
    <x v="3"/>
    <x v="404"/>
    <n v="928.68"/>
    <n v="2145.17"/>
    <n v="2145.17"/>
    <n v="0.13600000000000001"/>
    <n v="16"/>
    <x v="404"/>
    <n v="14858.88"/>
    <n v="14795.950080000001"/>
    <n v="0.49893896003062177"/>
    <d v="2024-07-28T00:00:00"/>
    <s v="Q1-2024"/>
    <s v="Africa → Kenya → Kisumu"/>
    <s v="High"/>
    <x v="13"/>
    <x v="0"/>
    <x v="13"/>
  </r>
  <r>
    <s v="ORD-2024-275203"/>
    <x v="321"/>
    <d v="2024-04-06T00:00:00"/>
    <n v="26"/>
    <s v="Africa"/>
    <x v="7"/>
    <s v="Kisumu"/>
    <s v="Corporate"/>
    <s v="Retail"/>
    <x v="5"/>
    <x v="1"/>
    <x v="405"/>
    <n v="279.24"/>
    <n v="608.9"/>
    <n v="608.9"/>
    <n v="0.112"/>
    <n v="9"/>
    <x v="405"/>
    <n v="2513.16"/>
    <n v="2353.1687999999995"/>
    <n v="0.48356140670149533"/>
    <d v="2024-06-30T00:00:00"/>
    <s v="Q1-2024"/>
    <s v="Africa → Kenya → Kisumu"/>
    <s v="Low"/>
    <x v="29"/>
    <x v="0"/>
    <x v="29"/>
  </r>
  <r>
    <s v="ORD-2024-364080"/>
    <x v="322"/>
    <d v="2024-04-27T00:00:00"/>
    <n v="11"/>
    <s v="Africa"/>
    <x v="7"/>
    <s v="Nakuru"/>
    <s v="Enterprise"/>
    <s v="Online"/>
    <x v="0"/>
    <x v="3"/>
    <x v="406"/>
    <n v="401.3"/>
    <n v="826.47"/>
    <n v="826.47"/>
    <n v="0.22500000000000001"/>
    <n v="13"/>
    <x v="406"/>
    <n v="5216.9000000000005"/>
    <n v="3109.7852499999999"/>
    <n v="0.37347217489696755"/>
    <d v="2024-06-05T00:00:00"/>
    <s v="Q2-2024"/>
    <s v="Africa → Kenya → Nakuru"/>
    <s v="Medium"/>
    <x v="14"/>
    <x v="0"/>
    <x v="14"/>
  </r>
  <r>
    <s v="ORD-2024-833375"/>
    <x v="323"/>
    <d v="2024-05-10T00:00:00"/>
    <n v="16"/>
    <s v="Africa"/>
    <x v="7"/>
    <s v="Kisumu"/>
    <s v="Non-Profit"/>
    <s v="Online"/>
    <x v="1"/>
    <x v="0"/>
    <x v="407"/>
    <n v="513.30999999999995"/>
    <n v="1186.26"/>
    <n v="1186.26"/>
    <n v="9.4E-2"/>
    <n v="15"/>
    <x v="407"/>
    <n v="7699.65"/>
    <n v="8421.6234000000022"/>
    <n v="0.52239194702820446"/>
    <d v="2024-05-27T00:00:00"/>
    <s v="Q2-2024"/>
    <s v="Africa → Kenya → Kisumu"/>
    <s v="Medium"/>
    <x v="14"/>
    <x v="0"/>
    <x v="14"/>
  </r>
  <r>
    <s v="ORD-2024-555229"/>
    <x v="166"/>
    <d v="2024-05-22T00:00:00"/>
    <n v="4"/>
    <s v="Africa"/>
    <x v="7"/>
    <s v="Nairobi"/>
    <s v="Corporate"/>
    <s v="Direct"/>
    <x v="15"/>
    <x v="5"/>
    <x v="408"/>
    <n v="857.42"/>
    <n v="1658.92"/>
    <n v="1658.92"/>
    <n v="0.122"/>
    <n v="9"/>
    <x v="408"/>
    <n v="7716.78"/>
    <n v="5392.0058400000007"/>
    <n v="0.41132763215544305"/>
    <d v="2024-05-04T00:00:00"/>
    <s v="Q2-2024"/>
    <s v="Africa → Kenya → Nairobi"/>
    <s v="High"/>
    <x v="15"/>
    <x v="0"/>
    <x v="15"/>
  </r>
  <r>
    <s v="ORD-2024-819778"/>
    <x v="324"/>
    <d v="2024-06-15T00:00:00"/>
    <n v="13"/>
    <s v="Africa"/>
    <x v="7"/>
    <s v="Mombasa"/>
    <s v="Education"/>
    <s v="Online"/>
    <x v="13"/>
    <x v="2"/>
    <x v="409"/>
    <n v="1295.18"/>
    <n v="3024.03"/>
    <n v="3024.03"/>
    <n v="0.192"/>
    <n v="8"/>
    <x v="409"/>
    <n v="10361.44"/>
    <n v="9185.8899200000033"/>
    <n v="0.46993067378483178"/>
    <d v="2024-05-10T00:00:00"/>
    <s v="Q2-2024"/>
    <s v="Africa → Kenya → Mombasa"/>
    <s v="High"/>
    <x v="16"/>
    <x v="0"/>
    <x v="16"/>
  </r>
  <r>
    <s v="ORD-2024-166150"/>
    <x v="324"/>
    <d v="2024-06-08T00:00:00"/>
    <n v="6"/>
    <s v="Africa"/>
    <x v="7"/>
    <s v="Kisumu"/>
    <s v="Consumer"/>
    <s v="Marketplace"/>
    <x v="4"/>
    <x v="5"/>
    <x v="410"/>
    <n v="292.94"/>
    <n v="356.55"/>
    <n v="356.55"/>
    <n v="0.22900000000000001"/>
    <n v="2"/>
    <x v="410"/>
    <n v="585.88"/>
    <n v="-36.079899999999952"/>
    <n v="-6.5623669402751925E-2"/>
    <d v="2024-05-01T00:00:00"/>
    <s v="Q2-2024"/>
    <s v="Africa → Kenya → Kisumu"/>
    <s v="Low"/>
    <x v="16"/>
    <x v="0"/>
    <x v="16"/>
  </r>
  <r>
    <s v="ORD-2024-713332"/>
    <x v="325"/>
    <d v="2024-06-23T00:00:00"/>
    <n v="18"/>
    <s v="Africa"/>
    <x v="7"/>
    <s v="Nairobi"/>
    <s v="Consumer"/>
    <s v="Distributor"/>
    <x v="0"/>
    <x v="6"/>
    <x v="411"/>
    <n v="1208.74"/>
    <n v="1594.78"/>
    <n v="1594.78"/>
    <n v="5.8999999999999997E-2"/>
    <n v="39"/>
    <x v="411"/>
    <n v="47140.86"/>
    <n v="11385.971219999999"/>
    <n v="0.1945427589817838"/>
    <d v="2024-04-18T00:00:00"/>
    <s v="Q2-2024"/>
    <s v="Africa → Kenya → Nairobi"/>
    <s v="Medium"/>
    <x v="16"/>
    <x v="0"/>
    <x v="16"/>
  </r>
  <r>
    <s v="ORD-2024-878493"/>
    <x v="326"/>
    <d v="2024-06-20T00:00:00"/>
    <n v="1"/>
    <s v="Africa"/>
    <x v="7"/>
    <s v="Kisumu"/>
    <s v="Small Business"/>
    <s v="Direct"/>
    <x v="9"/>
    <x v="6"/>
    <x v="412"/>
    <n v="231.63"/>
    <n v="537.39"/>
    <n v="537.39"/>
    <n v="0.08"/>
    <n v="12"/>
    <x v="412"/>
    <n v="2779.56"/>
    <n v="3153.2256000000002"/>
    <n v="0.53149158129024587"/>
    <d v="2024-03-16T00:00:00"/>
    <s v="Q2-2024"/>
    <s v="Africa → Kenya → Kisumu"/>
    <s v="Low"/>
    <x v="16"/>
    <x v="0"/>
    <x v="16"/>
  </r>
  <r>
    <s v="ORD-2024-341535"/>
    <x v="327"/>
    <d v="2024-06-30T00:00:00"/>
    <n v="5"/>
    <s v="Africa"/>
    <x v="7"/>
    <s v="Kisumu"/>
    <s v="Education"/>
    <s v="Direct"/>
    <x v="3"/>
    <x v="4"/>
    <x v="413"/>
    <n v="1323.55"/>
    <n v="3230.35"/>
    <n v="3230.35"/>
    <n v="2.1999999999999999E-2"/>
    <n v="26"/>
    <x v="413"/>
    <n v="34412.299999999996"/>
    <n v="47729.039799999991"/>
    <n v="0.58105991351263542"/>
    <d v="2024-03-15T00:00:00"/>
    <s v="Q2-2024"/>
    <s v="Africa → Kenya → Kisumu"/>
    <s v="High"/>
    <x v="16"/>
    <x v="0"/>
    <x v="16"/>
  </r>
  <r>
    <s v="ORD-2024-442776"/>
    <x v="30"/>
    <d v="2024-07-21T00:00:00"/>
    <n v="21"/>
    <s v="Africa"/>
    <x v="7"/>
    <s v="Kisumu"/>
    <s v="Small Business"/>
    <s v="Retail"/>
    <x v="12"/>
    <x v="6"/>
    <x v="414"/>
    <n v="753.43"/>
    <n v="1787.2"/>
    <n v="1787.2"/>
    <n v="7.2999999999999995E-2"/>
    <n v="9"/>
    <x v="414"/>
    <n v="6780.87"/>
    <n v="8129.7396000000017"/>
    <n v="0.54523187301476939"/>
    <d v="2024-03-13T00:00:00"/>
    <s v="Q2-2024"/>
    <s v="Africa → Kenya → Kisumu"/>
    <s v="High"/>
    <x v="16"/>
    <x v="0"/>
    <x v="16"/>
  </r>
  <r>
    <s v="ORD-2024-855073"/>
    <x v="328"/>
    <d v="2024-07-19T00:00:00"/>
    <n v="0"/>
    <s v="Africa"/>
    <x v="7"/>
    <s v="Kisumu"/>
    <s v="Small Business"/>
    <s v="Retail"/>
    <x v="4"/>
    <x v="2"/>
    <x v="415"/>
    <n v="857.24"/>
    <n v="758.23"/>
    <n v="758.23"/>
    <n v="0.125"/>
    <n v="6"/>
    <x v="415"/>
    <n v="5143.4400000000005"/>
    <n v="-1162.7325000000005"/>
    <n v="-0.29209192084572921"/>
    <d v="2024-03-06T00:00:00"/>
    <s v="Q3-2024"/>
    <s v="Africa → Kenya → Kisumu"/>
    <s v="Low"/>
    <x v="17"/>
    <x v="0"/>
    <x v="17"/>
  </r>
  <r>
    <s v="ORD-2024-798002"/>
    <x v="168"/>
    <d v="2024-07-25T00:00:00"/>
    <n v="1"/>
    <s v="Africa"/>
    <x v="7"/>
    <s v="Mombasa"/>
    <s v="Non-Profit"/>
    <s v="Direct"/>
    <x v="9"/>
    <x v="6"/>
    <x v="416"/>
    <n v="1494.4"/>
    <n v="3661.07"/>
    <n v="3661.07"/>
    <n v="7.1999999999999995E-2"/>
    <n v="7"/>
    <x v="416"/>
    <n v="10460.800000000001"/>
    <n v="13321.51072"/>
    <n v="0.56014366630897339"/>
    <d v="2024-03-07T00:00:00"/>
    <s v="Q3-2024"/>
    <s v="Africa → Kenya → Mombasa"/>
    <s v="High"/>
    <x v="17"/>
    <x v="0"/>
    <x v="17"/>
  </r>
  <r>
    <s v="ORD-2024-689872"/>
    <x v="329"/>
    <d v="2024-08-09T00:00:00"/>
    <n v="6"/>
    <s v="Africa"/>
    <x v="7"/>
    <s v="Mombasa"/>
    <s v="Consumer"/>
    <s v="Marketplace"/>
    <x v="15"/>
    <x v="6"/>
    <x v="417"/>
    <n v="643.21"/>
    <n v="1112.81"/>
    <n v="1112.81"/>
    <n v="0.14099999999999999"/>
    <n v="4"/>
    <x v="417"/>
    <n v="2572.84"/>
    <n v="1250.7751599999997"/>
    <n v="0.32711847496702562"/>
    <d v="2024-03-04T00:00:00"/>
    <s v="Q3-2024"/>
    <s v="Africa → Kenya → Mombasa"/>
    <s v="Medium"/>
    <x v="18"/>
    <x v="0"/>
    <x v="18"/>
  </r>
  <r>
    <s v="ORD-2024-687100"/>
    <x v="330"/>
    <d v="2024-10-07T00:00:00"/>
    <n v="27"/>
    <s v="Africa"/>
    <x v="7"/>
    <s v="Kisumu"/>
    <s v="Consumer"/>
    <s v="Retail"/>
    <x v="11"/>
    <x v="3"/>
    <x v="418"/>
    <n v="1248.3900000000001"/>
    <n v="1805.11"/>
    <n v="1805.11"/>
    <n v="0.20300000000000001"/>
    <n v="11"/>
    <x v="418"/>
    <n v="13732.29"/>
    <n v="2093.1093699999965"/>
    <n v="0.13226265707820786"/>
    <d v="2024-01-27T00:00:00"/>
    <s v="Q3-2024"/>
    <s v="Africa → Kenya → Kisumu"/>
    <s v="High"/>
    <x v="19"/>
    <x v="0"/>
    <x v="19"/>
  </r>
  <r>
    <s v="ORD-2024-805860"/>
    <x v="331"/>
    <d v="2024-10-02T00:00:00"/>
    <n v="19"/>
    <s v="Africa"/>
    <x v="7"/>
    <s v="Mombasa"/>
    <s v="Small Business"/>
    <s v="Retail"/>
    <x v="3"/>
    <x v="2"/>
    <x v="419"/>
    <n v="1338.99"/>
    <n v="1765.76"/>
    <n v="1765.76"/>
    <n v="0.126"/>
    <n v="24"/>
    <x v="419"/>
    <n v="32135.760000000002"/>
    <n v="4902.8217599999989"/>
    <n v="0.1323706666677725"/>
    <d v="2024-01-25T00:00:00"/>
    <s v="Q3-2024"/>
    <s v="Africa → Kenya → Mombasa"/>
    <s v="High"/>
    <x v="19"/>
    <x v="0"/>
    <x v="19"/>
  </r>
  <r>
    <s v="ORD-2024-998320"/>
    <x v="332"/>
    <d v="2024-11-14T00:00:00"/>
    <n v="20"/>
    <s v="Africa"/>
    <x v="7"/>
    <s v="Mombasa"/>
    <s v="Corporate"/>
    <s v="Direct"/>
    <x v="15"/>
    <x v="3"/>
    <x v="420"/>
    <n v="1396.48"/>
    <n v="3204.5"/>
    <n v="3204.5"/>
    <n v="0.318"/>
    <n v="14"/>
    <x v="420"/>
    <n v="19550.72"/>
    <n v="11045.845999999998"/>
    <n v="0.36101587348070363"/>
    <d v="2023-12-06T00:00:00"/>
    <s v="Q4-2024"/>
    <s v="Africa → Kenya → Mombasa"/>
    <s v="High"/>
    <x v="32"/>
    <x v="0"/>
    <x v="32"/>
  </r>
  <r>
    <s v="ORD-2024-333192"/>
    <x v="333"/>
    <d v="2024-11-04T00:00:00"/>
    <n v="6"/>
    <s v="Africa"/>
    <x v="7"/>
    <s v="Nairobi"/>
    <s v="Corporate"/>
    <s v="Distributor"/>
    <x v="3"/>
    <x v="3"/>
    <x v="421"/>
    <n v="805.81"/>
    <n v="1823.04"/>
    <n v="1823.04"/>
    <n v="0"/>
    <n v="11"/>
    <x v="421"/>
    <n v="8863.91"/>
    <n v="11189.529999999999"/>
    <n v="0.55798556257679477"/>
    <d v="2023-12-19T00:00:00"/>
    <s v="Q4-2024"/>
    <s v="Africa → Kenya → Nairobi"/>
    <s v="High"/>
    <x v="32"/>
    <x v="0"/>
    <x v="32"/>
  </r>
  <r>
    <s v="ORD-2024-320972"/>
    <x v="334"/>
    <d v="2024-11-08T00:00:00"/>
    <n v="0"/>
    <s v="Africa"/>
    <x v="7"/>
    <s v="Nakuru"/>
    <s v="Enterprise"/>
    <s v="Marketplace"/>
    <x v="3"/>
    <x v="4"/>
    <x v="422"/>
    <n v="803.28"/>
    <n v="1009"/>
    <n v="1009"/>
    <n v="0.11"/>
    <n v="4"/>
    <x v="422"/>
    <n v="3213.12"/>
    <n v="378.92000000000007"/>
    <n v="0.10548880302001093"/>
    <d v="2023-11-15T00:00:00"/>
    <s v="Q4-2024"/>
    <s v="Africa → Kenya → Nakuru"/>
    <s v="Medium"/>
    <x v="20"/>
    <x v="0"/>
    <x v="20"/>
  </r>
  <r>
    <s v="ORD-2024-508213"/>
    <x v="335"/>
    <d v="2024-12-15T00:00:00"/>
    <n v="23"/>
    <s v="Africa"/>
    <x v="7"/>
    <s v="Mombasa"/>
    <s v="Non-Profit"/>
    <s v="Distributor"/>
    <x v="5"/>
    <x v="1"/>
    <x v="423"/>
    <n v="1335.76"/>
    <n v="2665.91"/>
    <n v="2665.91"/>
    <n v="0.21099999999999999"/>
    <n v="40"/>
    <x v="423"/>
    <n v="53430.400000000001"/>
    <n v="30705.719600000004"/>
    <n v="0.36495288522909253"/>
    <d v="2023-10-25T00:00:00"/>
    <s v="Q4-2024"/>
    <s v="Africa → Kenya → Mombasa"/>
    <s v="High"/>
    <x v="20"/>
    <x v="0"/>
    <x v="20"/>
  </r>
  <r>
    <s v="ORD-2024-266562"/>
    <x v="336"/>
    <d v="2024-12-24T00:00:00"/>
    <n v="27"/>
    <s v="Africa"/>
    <x v="7"/>
    <s v="Mombasa"/>
    <s v="Corporate"/>
    <s v="Distributor"/>
    <x v="7"/>
    <x v="3"/>
    <x v="424"/>
    <n v="143.33000000000001"/>
    <n v="233.51"/>
    <n v="233.51"/>
    <n v="0.16300000000000001"/>
    <n v="14"/>
    <x v="424"/>
    <n v="2006.6200000000001"/>
    <n v="729.65017999999986"/>
    <n v="0.26665867476580835"/>
    <d v="2023-10-30T00:00:00"/>
    <s v="Q4-2024"/>
    <s v="Africa → Kenya → Mombasa"/>
    <s v="Low"/>
    <x v="20"/>
    <x v="0"/>
    <x v="20"/>
  </r>
  <r>
    <s v="ORD-2024-331226"/>
    <x v="174"/>
    <d v="2024-12-19T00:00:00"/>
    <n v="19"/>
    <s v="Africa"/>
    <x v="7"/>
    <s v="Kisumu"/>
    <s v="Corporate"/>
    <s v="Online"/>
    <x v="11"/>
    <x v="2"/>
    <x v="425"/>
    <n v="1195.98"/>
    <n v="1841.9"/>
    <n v="1841.9"/>
    <n v="5.5E-2"/>
    <n v="19"/>
    <x v="425"/>
    <n v="22723.62"/>
    <n v="10347.694500000001"/>
    <n v="0.31289032977506842"/>
    <d v="2023-10-21T00:00:00"/>
    <s v="Q4-2024"/>
    <s v="Africa → Kenya → Kisumu"/>
    <s v="High"/>
    <x v="20"/>
    <x v="0"/>
    <x v="20"/>
  </r>
  <r>
    <s v="ORD-2025-146850"/>
    <x v="178"/>
    <d v="2025-02-14T00:00:00"/>
    <n v="24"/>
    <s v="Africa"/>
    <x v="7"/>
    <s v="Nairobi"/>
    <s v="Small Business"/>
    <s v="Retail"/>
    <x v="9"/>
    <x v="5"/>
    <x v="426"/>
    <n v="1030.44"/>
    <n v="2562.84"/>
    <n v="2562.84"/>
    <n v="0.14799999999999999"/>
    <n v="13"/>
    <x v="426"/>
    <n v="13395.720000000001"/>
    <n v="14990.295839999995"/>
    <n v="0.52808734852027039"/>
    <d v="2023-08-26T00:00:00"/>
    <s v="Q1-2025"/>
    <s v="Africa → Kenya → Nairobi"/>
    <s v="High"/>
    <x v="21"/>
    <x v="0"/>
    <x v="21"/>
  </r>
  <r>
    <s v="ORD-2025-564184"/>
    <x v="337"/>
    <d v="2025-02-06T00:00:00"/>
    <n v="8"/>
    <s v="Africa"/>
    <x v="7"/>
    <s v="Kisumu"/>
    <s v="Education"/>
    <s v="Retail"/>
    <x v="7"/>
    <x v="2"/>
    <x v="427"/>
    <n v="1445.27"/>
    <n v="2691.45"/>
    <n v="2691.45"/>
    <n v="0"/>
    <n v="9"/>
    <x v="427"/>
    <n v="13007.43"/>
    <n v="11215.619999999999"/>
    <n v="0.46301436028906351"/>
    <d v="2023-08-21T00:00:00"/>
    <s v="Q1-2025"/>
    <s v="Africa → Kenya → Kisumu"/>
    <s v="High"/>
    <x v="21"/>
    <x v="0"/>
    <x v="21"/>
  </r>
  <r>
    <s v="ORD-2025-332931"/>
    <x v="89"/>
    <d v="2025-03-01T00:00:00"/>
    <n v="14"/>
    <s v="Africa"/>
    <x v="7"/>
    <s v="Mombasa"/>
    <s v="Education"/>
    <s v="Direct"/>
    <x v="11"/>
    <x v="5"/>
    <x v="428"/>
    <n v="1162.8599999999999"/>
    <n v="1447.68"/>
    <n v="1447.68"/>
    <n v="8.6999999999999994E-2"/>
    <n v="12"/>
    <x v="428"/>
    <n v="13954.32"/>
    <n v="1906.4620800000012"/>
    <n v="0.12019975247021369"/>
    <d v="2023-08-08T00:00:00"/>
    <s v="Q1-2025"/>
    <s v="Africa → Kenya → Mombasa"/>
    <s v="Medium"/>
    <x v="22"/>
    <x v="0"/>
    <x v="22"/>
  </r>
  <r>
    <s v="ORD-2025-662997"/>
    <x v="338"/>
    <d v="2025-04-04T00:00:00"/>
    <n v="4"/>
    <s v="Africa"/>
    <x v="7"/>
    <s v="Nakuru"/>
    <s v="Corporate"/>
    <s v="Direct"/>
    <x v="5"/>
    <x v="6"/>
    <x v="429"/>
    <n v="862.08"/>
    <n v="1952.83"/>
    <n v="1952.83"/>
    <n v="0"/>
    <n v="7"/>
    <x v="429"/>
    <n v="6034.56"/>
    <n v="7635.2499999999991"/>
    <n v="0.5585483631447693"/>
    <d v="2023-07-08T00:00:00"/>
    <s v="Q1-2025"/>
    <s v="Africa → Kenya → Nakuru"/>
    <s v="High"/>
    <x v="23"/>
    <x v="0"/>
    <x v="23"/>
  </r>
  <r>
    <s v="ORD-2025-608069"/>
    <x v="339"/>
    <d v="2025-04-30T00:00:00"/>
    <n v="18"/>
    <s v="Africa"/>
    <x v="7"/>
    <s v="Kisumu"/>
    <s v="Corporate"/>
    <s v="Marketplace"/>
    <x v="8"/>
    <x v="4"/>
    <x v="430"/>
    <n v="1119.04"/>
    <n v="1299.02"/>
    <n v="1299.02"/>
    <n v="2.5000000000000001E-2"/>
    <n v="14"/>
    <x v="430"/>
    <n v="15666.56"/>
    <n v="2065.0630000000001"/>
    <n v="0.11646215352085933"/>
    <d v="2023-06-17T00:00:00"/>
    <s v="Q2-2025"/>
    <s v="Africa → Kenya → Kisumu"/>
    <s v="Medium"/>
    <x v="24"/>
    <x v="0"/>
    <x v="24"/>
  </r>
  <r>
    <s v="ORD-2025-762301"/>
    <x v="340"/>
    <d v="2025-05-13T00:00:00"/>
    <n v="11"/>
    <s v="Africa"/>
    <x v="7"/>
    <s v="Nakuru"/>
    <s v="Small Business"/>
    <s v="Online"/>
    <x v="4"/>
    <x v="5"/>
    <x v="431"/>
    <n v="1057.5999999999999"/>
    <n v="1437.06"/>
    <n v="1437.06"/>
    <n v="0.20499999999999999"/>
    <n v="4"/>
    <x v="431"/>
    <n v="4230.3999999999996"/>
    <n v="339.45080000000053"/>
    <n v="7.4280499485891424E-2"/>
    <d v="2023-05-11T00:00:00"/>
    <s v="Q2-2025"/>
    <s v="Africa → Kenya → Nakuru"/>
    <s v="Medium"/>
    <x v="25"/>
    <x v="0"/>
    <x v="25"/>
  </r>
  <r>
    <s v="ORD-2025-155182"/>
    <x v="341"/>
    <d v="2025-08-03T00:00:00"/>
    <n v="23"/>
    <s v="Africa"/>
    <x v="7"/>
    <s v="Nakuru"/>
    <s v="Small Business"/>
    <s v="Retail"/>
    <x v="5"/>
    <x v="2"/>
    <x v="432"/>
    <n v="389.93"/>
    <n v="486.13"/>
    <n v="486.13"/>
    <n v="0.13200000000000001"/>
    <n v="17"/>
    <x v="432"/>
    <n v="6628.81"/>
    <n v="544.52427999999873"/>
    <n v="7.5909508569562828E-2"/>
    <d v="2023-04-11T00:00:00"/>
    <s v="Q3-2025"/>
    <s v="Africa → Kenya → Nakuru"/>
    <s v="Low"/>
    <x v="26"/>
    <x v="0"/>
    <x v="26"/>
  </r>
  <r>
    <s v="ORD-2025-649633"/>
    <x v="342"/>
    <d v="2025-07-31T00:00:00"/>
    <n v="12"/>
    <s v="Africa"/>
    <x v="7"/>
    <s v="Nairobi"/>
    <s v="Small Business"/>
    <s v="Marketplace"/>
    <x v="13"/>
    <x v="5"/>
    <x v="433"/>
    <n v="619.64"/>
    <n v="861.16"/>
    <n v="861.16"/>
    <n v="0.113"/>
    <n v="14"/>
    <x v="433"/>
    <n v="8674.9599999999991"/>
    <n v="2018.9248800000005"/>
    <n v="0.18879246435276761"/>
    <d v="2023-03-13T00:00:00"/>
    <s v="Q3-2025"/>
    <s v="Africa → Kenya → Nairobi"/>
    <s v="Medium"/>
    <x v="26"/>
    <x v="0"/>
    <x v="26"/>
  </r>
  <r>
    <s v="ORD-2025-863978"/>
    <x v="99"/>
    <d v="2025-08-19T00:00:00"/>
    <n v="12"/>
    <s v="Africa"/>
    <x v="7"/>
    <s v="Nakuru"/>
    <s v="Corporate"/>
    <s v="Marketplace"/>
    <x v="3"/>
    <x v="1"/>
    <x v="434"/>
    <n v="601.51"/>
    <n v="679.35"/>
    <n v="679.35"/>
    <n v="0.188"/>
    <n v="3"/>
    <x v="434"/>
    <n v="1804.53"/>
    <n v="-149.63339999999971"/>
    <n v="-9.0418579626062243E-2"/>
    <d v="2023-02-28T00:00:00"/>
    <s v="Q3-2025"/>
    <s v="Africa → Kenya → Nakuru"/>
    <s v="Low"/>
    <x v="27"/>
    <x v="0"/>
    <x v="27"/>
  </r>
  <r>
    <s v="ORD-2025-762212"/>
    <x v="343"/>
    <d v="2025-09-24T00:00:00"/>
    <n v="30"/>
    <s v="Africa"/>
    <x v="7"/>
    <s v="Nairobi"/>
    <s v="Consumer"/>
    <s v="Direct"/>
    <x v="7"/>
    <x v="1"/>
    <x v="435"/>
    <n v="589.14"/>
    <n v="1300.58"/>
    <n v="1300.58"/>
    <n v="5.5E-2"/>
    <n v="11"/>
    <x v="435"/>
    <n v="6480.54"/>
    <n v="7038.989099999998"/>
    <n v="0.52065342275863724"/>
    <d v="2023-01-30T00:00:00"/>
    <s v="Q3-2025"/>
    <s v="Africa → Kenya → Nairobi"/>
    <s v="Medium"/>
    <x v="27"/>
    <x v="0"/>
    <x v="27"/>
  </r>
  <r>
    <s v="ORD-2025-725646"/>
    <x v="304"/>
    <d v="2025-09-30T00:00:00"/>
    <n v="20"/>
    <s v="Africa"/>
    <x v="7"/>
    <s v="Mombasa"/>
    <s v="Corporate"/>
    <s v="Direct"/>
    <x v="11"/>
    <x v="2"/>
    <x v="436"/>
    <n v="1009.48"/>
    <n v="1088.81"/>
    <n v="1088.81"/>
    <n v="0.16"/>
    <n v="6"/>
    <x v="436"/>
    <n v="6056.88"/>
    <n v="-569.27760000000035"/>
    <n v="-0.10373885688219693"/>
    <d v="2023-01-22T00:00:00"/>
    <s v="Q3-2025"/>
    <s v="Africa → Kenya → Mombasa"/>
    <s v="Medium"/>
    <x v="28"/>
    <x v="0"/>
    <x v="28"/>
  </r>
  <r>
    <s v="ORD-2025-244832"/>
    <x v="344"/>
    <d v="2025-09-28T00:00:00"/>
    <n v="17"/>
    <s v="Africa"/>
    <x v="7"/>
    <s v="Nairobi"/>
    <s v="Non-Profit"/>
    <s v="Distributor"/>
    <x v="9"/>
    <x v="6"/>
    <x v="437"/>
    <n v="891.46"/>
    <n v="728.61"/>
    <n v="728.61"/>
    <n v="0.185"/>
    <n v="6"/>
    <x v="437"/>
    <n v="5348.76"/>
    <n v="-1785.8571000000006"/>
    <n v="-0.50123653383874167"/>
    <d v="2023-01-10T00:00:00"/>
    <s v="Q3-2025"/>
    <s v="Africa → Kenya → Nairobi"/>
    <s v="Low"/>
    <x v="28"/>
    <x v="0"/>
    <x v="28"/>
  </r>
  <r>
    <s v="ORD-2023-112666"/>
    <x v="345"/>
    <d v="2023-01-15T00:00:00"/>
    <n v="2"/>
    <s v="Africa"/>
    <x v="8"/>
    <s v="Abuja"/>
    <s v="Education"/>
    <s v="Online"/>
    <x v="13"/>
    <x v="3"/>
    <x v="438"/>
    <n v="28.38"/>
    <n v="47.22"/>
    <n v="47.22"/>
    <n v="0.19400000000000001"/>
    <n v="18"/>
    <x v="438"/>
    <n v="510.84"/>
    <n v="174.22776000000005"/>
    <n v="0.25432193743871417"/>
    <d v="2025-09-14T00:00:00"/>
    <s v="Q1-2023"/>
    <s v="Africa → Nigeria → Abuja"/>
    <s v="Low"/>
    <x v="0"/>
    <x v="0"/>
    <x v="0"/>
  </r>
  <r>
    <s v="ORD-2023-960380"/>
    <x v="346"/>
    <d v="2023-02-12T00:00:00"/>
    <n v="1"/>
    <s v="Africa"/>
    <x v="8"/>
    <s v="Port Harcourt"/>
    <s v="Non-Profit"/>
    <s v="Direct"/>
    <x v="0"/>
    <x v="5"/>
    <x v="439"/>
    <n v="944.61"/>
    <n v="839.04"/>
    <n v="839.04"/>
    <n v="5.8999999999999997E-2"/>
    <n v="6"/>
    <x v="439"/>
    <n v="5667.66"/>
    <n v="-930.44016000000011"/>
    <n v="-0.19641059343363726"/>
    <d v="2025-08-28T00:00:00"/>
    <s v="Q1-2023"/>
    <s v="Africa → Nigeria → Port Harcourt"/>
    <s v="Medium"/>
    <x v="1"/>
    <x v="0"/>
    <x v="1"/>
  </r>
  <r>
    <s v="ORD-2023-545150"/>
    <x v="347"/>
    <d v="2023-04-08T00:00:00"/>
    <n v="2"/>
    <s v="Africa"/>
    <x v="8"/>
    <s v="Abuja"/>
    <s v="Small Business"/>
    <s v="Marketplace"/>
    <x v="12"/>
    <x v="0"/>
    <x v="440"/>
    <n v="720.35"/>
    <n v="1571.66"/>
    <n v="1571.66"/>
    <n v="0.107"/>
    <n v="23"/>
    <x v="440"/>
    <n v="16568.05"/>
    <n v="15712.274740000001"/>
    <n v="0.4867446305622265"/>
    <d v="2025-06-24T00:00:00"/>
    <s v="Q2-2023"/>
    <s v="Africa → Nigeria → Abuja"/>
    <s v="Medium"/>
    <x v="3"/>
    <x v="0"/>
    <x v="3"/>
  </r>
  <r>
    <s v="ORD-2023-125739"/>
    <x v="348"/>
    <d v="2023-05-18T00:00:00"/>
    <n v="17"/>
    <s v="Africa"/>
    <x v="8"/>
    <s v="Port Harcourt"/>
    <s v="Corporate"/>
    <s v="Direct"/>
    <x v="8"/>
    <x v="1"/>
    <x v="441"/>
    <n v="327.97"/>
    <n v="299.94"/>
    <n v="299.94"/>
    <n v="4.9000000000000002E-2"/>
    <n v="3"/>
    <x v="441"/>
    <n v="983.91000000000008"/>
    <n v="-128.18118000000015"/>
    <n v="-0.14979182306843442"/>
    <d v="2025-06-03T00:00:00"/>
    <s v="Q2-2023"/>
    <s v="Africa → Nigeria → Port Harcourt"/>
    <s v="Low"/>
    <x v="4"/>
    <x v="0"/>
    <x v="4"/>
  </r>
  <r>
    <s v="ORD-2023-898009"/>
    <x v="349"/>
    <d v="2023-05-16T00:00:00"/>
    <n v="12"/>
    <s v="Africa"/>
    <x v="8"/>
    <s v="Abuja"/>
    <s v="Small Business"/>
    <s v="Marketplace"/>
    <x v="9"/>
    <x v="2"/>
    <x v="442"/>
    <n v="77.739999999999995"/>
    <n v="147.12"/>
    <n v="147.12"/>
    <n v="0"/>
    <n v="15"/>
    <x v="442"/>
    <n v="1166.0999999999999"/>
    <n v="1040.7000000000003"/>
    <n v="0.47158781946710177"/>
    <d v="2025-05-15T00:00:00"/>
    <s v="Q2-2023"/>
    <s v="Africa → Nigeria → Abuja"/>
    <s v="Low"/>
    <x v="4"/>
    <x v="0"/>
    <x v="4"/>
  </r>
  <r>
    <s v="ORD-2023-632893"/>
    <x v="350"/>
    <d v="2023-05-07T00:00:00"/>
    <n v="2"/>
    <s v="Africa"/>
    <x v="8"/>
    <s v="Port Harcourt"/>
    <s v="Non-Profit"/>
    <s v="Marketplace"/>
    <x v="4"/>
    <x v="1"/>
    <x v="443"/>
    <n v="1269.6500000000001"/>
    <n v="2462.77"/>
    <n v="2462.77"/>
    <n v="0.107"/>
    <n v="8"/>
    <x v="443"/>
    <n v="10157.200000000001"/>
    <n v="7436.8288800000009"/>
    <n v="0.42269050089225502"/>
    <d v="2025-05-17T00:00:00"/>
    <s v="Q2-2023"/>
    <s v="Africa → Nigeria → Port Harcourt"/>
    <s v="High"/>
    <x v="4"/>
    <x v="0"/>
    <x v="4"/>
  </r>
  <r>
    <s v="ORD-2023-638181"/>
    <x v="231"/>
    <d v="2023-06-07T00:00:00"/>
    <n v="18"/>
    <s v="Africa"/>
    <x v="8"/>
    <s v="Port Harcourt"/>
    <s v="Enterprise"/>
    <s v="Distributor"/>
    <x v="6"/>
    <x v="1"/>
    <x v="444"/>
    <n v="1120.06"/>
    <n v="2068.21"/>
    <n v="2068.21"/>
    <n v="7.8E-2"/>
    <n v="12"/>
    <x v="444"/>
    <n v="13440.72"/>
    <n v="9441.9554400000034"/>
    <n v="0.41262462795303284"/>
    <d v="2025-04-27T00:00:00"/>
    <s v="Q2-2023"/>
    <s v="Africa → Nigeria → Port Harcourt"/>
    <s v="High"/>
    <x v="4"/>
    <x v="0"/>
    <x v="4"/>
  </r>
  <r>
    <s v="ORD-2023-128295"/>
    <x v="7"/>
    <d v="2023-07-03T00:00:00"/>
    <n v="10"/>
    <s v="Africa"/>
    <x v="8"/>
    <s v="Abuja"/>
    <s v="Consumer"/>
    <s v="Online"/>
    <x v="9"/>
    <x v="3"/>
    <x v="445"/>
    <n v="337.75"/>
    <n v="548.89"/>
    <n v="548.89"/>
    <n v="0"/>
    <n v="13"/>
    <x v="445"/>
    <n v="4390.75"/>
    <n v="2744.8199999999997"/>
    <n v="0.38466723751571352"/>
    <d v="2025-04-09T00:00:00"/>
    <s v="Q2-2023"/>
    <s v="Africa → Nigeria → Abuja"/>
    <s v="Low"/>
    <x v="5"/>
    <x v="0"/>
    <x v="5"/>
  </r>
  <r>
    <s v="ORD-2023-159821"/>
    <x v="151"/>
    <d v="2023-07-08T00:00:00"/>
    <n v="7"/>
    <s v="Africa"/>
    <x v="8"/>
    <s v="Port Harcourt"/>
    <s v="Corporate"/>
    <s v="Retail"/>
    <x v="4"/>
    <x v="6"/>
    <x v="446"/>
    <n v="834.26"/>
    <n v="1780.56"/>
    <n v="1780.56"/>
    <n v="1.4E-2"/>
    <n v="47"/>
    <x v="446"/>
    <n v="39210.22"/>
    <n v="43304.491519999996"/>
    <n v="0.5248093427497933"/>
    <d v="2025-03-30T00:00:00"/>
    <s v="Q3-2023"/>
    <s v="Africa → Nigeria → Port Harcourt"/>
    <s v="High"/>
    <x v="6"/>
    <x v="0"/>
    <x v="6"/>
  </r>
  <r>
    <s v="ORD-2023-479747"/>
    <x v="351"/>
    <d v="2023-07-14T00:00:00"/>
    <n v="0"/>
    <s v="Africa"/>
    <x v="8"/>
    <s v="Lagos"/>
    <s v="Education"/>
    <s v="Retail"/>
    <x v="14"/>
    <x v="5"/>
    <x v="447"/>
    <n v="956.38"/>
    <n v="1454.22"/>
    <n v="1454.22"/>
    <n v="3.9E-2"/>
    <n v="19"/>
    <x v="447"/>
    <n v="18171.22"/>
    <n v="8381.3829799999985"/>
    <n v="0.31565202802576603"/>
    <d v="2025-03-11T00:00:00"/>
    <s v="Q3-2023"/>
    <s v="Africa → Nigeria → Lagos"/>
    <s v="Medium"/>
    <x v="6"/>
    <x v="0"/>
    <x v="6"/>
  </r>
  <r>
    <s v="ORD-2023-660608"/>
    <x v="352"/>
    <d v="2023-08-10T00:00:00"/>
    <n v="16"/>
    <s v="Africa"/>
    <x v="8"/>
    <s v="Port Harcourt"/>
    <s v="Corporate"/>
    <s v="Distributor"/>
    <x v="14"/>
    <x v="5"/>
    <x v="448"/>
    <n v="506.83"/>
    <n v="441.74"/>
    <n v="441.74"/>
    <n v="0.24"/>
    <n v="9"/>
    <x v="448"/>
    <n v="4561.47"/>
    <n v="-1539.9684000000002"/>
    <n v="-0.50966989393618067"/>
    <d v="2025-02-16T00:00:00"/>
    <s v="Q3-2023"/>
    <s v="Africa → Nigeria → Port Harcourt"/>
    <s v="Low"/>
    <x v="6"/>
    <x v="0"/>
    <x v="6"/>
  </r>
  <r>
    <s v="ORD-2023-334213"/>
    <x v="68"/>
    <d v="2023-08-23T00:00:00"/>
    <n v="4"/>
    <s v="Africa"/>
    <x v="8"/>
    <s v="Abuja"/>
    <s v="Small Business"/>
    <s v="Online"/>
    <x v="9"/>
    <x v="0"/>
    <x v="449"/>
    <n v="790.63"/>
    <n v="1382.31"/>
    <n v="1382.31"/>
    <n v="0.10100000000000001"/>
    <n v="7"/>
    <x v="449"/>
    <n v="5534.41"/>
    <n v="3164.4668300000012"/>
    <n v="0.36377878338116448"/>
    <d v="2025-01-21T00:00:00"/>
    <s v="Q3-2023"/>
    <s v="Africa → Nigeria → Abuja"/>
    <s v="Medium"/>
    <x v="7"/>
    <x v="0"/>
    <x v="7"/>
  </r>
  <r>
    <s v="ORD-2023-732585"/>
    <x v="353"/>
    <d v="2023-09-16T00:00:00"/>
    <n v="22"/>
    <s v="Africa"/>
    <x v="8"/>
    <s v="Abuja"/>
    <s v="Corporate"/>
    <s v="Marketplace"/>
    <x v="11"/>
    <x v="2"/>
    <x v="450"/>
    <n v="1196.83"/>
    <n v="2513.5100000000002"/>
    <n v="2513.5100000000002"/>
    <n v="8.3000000000000004E-2"/>
    <n v="7"/>
    <x v="450"/>
    <n v="8377.81"/>
    <n v="7756.4106900000006"/>
    <n v="0.48074281609445374"/>
    <d v="2025-01-10T00:00:00"/>
    <s v="Q3-2023"/>
    <s v="Africa → Nigeria → Abuja"/>
    <s v="High"/>
    <x v="7"/>
    <x v="0"/>
    <x v="7"/>
  </r>
  <r>
    <s v="ORD-2023-502205"/>
    <x v="112"/>
    <d v="2023-10-11T00:00:00"/>
    <n v="2"/>
    <s v="Africa"/>
    <x v="8"/>
    <s v="Port Harcourt"/>
    <s v="Education"/>
    <s v="Marketplace"/>
    <x v="12"/>
    <x v="4"/>
    <x v="451"/>
    <n v="391.16"/>
    <n v="902.47"/>
    <n v="902.47"/>
    <n v="4.0000000000000001E-3"/>
    <n v="12"/>
    <x v="451"/>
    <n v="4693.92"/>
    <n v="6092.4014399999996"/>
    <n v="0.56482661618139207"/>
    <d v="2024-12-21T00:00:00"/>
    <s v="Q4-2023"/>
    <s v="Africa → Nigeria → Port Harcourt"/>
    <s v="Medium"/>
    <x v="9"/>
    <x v="0"/>
    <x v="9"/>
  </r>
  <r>
    <s v="ORD-2023-208944"/>
    <x v="354"/>
    <d v="2024-01-06T00:00:00"/>
    <n v="16"/>
    <s v="Africa"/>
    <x v="8"/>
    <s v="Port Harcourt"/>
    <s v="Corporate"/>
    <s v="Marketplace"/>
    <x v="12"/>
    <x v="1"/>
    <x v="452"/>
    <n v="932.61"/>
    <n v="1982.98"/>
    <n v="1982.98"/>
    <n v="0.14399999999999999"/>
    <n v="16"/>
    <x v="452"/>
    <n v="14921.76"/>
    <n v="12237.134079999998"/>
    <n v="0.45057556629345635"/>
    <d v="2024-10-17T00:00:00"/>
    <s v="Q4-2023"/>
    <s v="Africa → Nigeria → Port Harcourt"/>
    <s v="High"/>
    <x v="11"/>
    <x v="0"/>
    <x v="11"/>
  </r>
  <r>
    <s v="ORD-2024-853298"/>
    <x v="355"/>
    <d v="2024-03-26T00:00:00"/>
    <n v="20"/>
    <s v="Africa"/>
    <x v="8"/>
    <s v="Port Harcourt"/>
    <s v="Consumer"/>
    <s v="Marketplace"/>
    <x v="14"/>
    <x v="2"/>
    <x v="453"/>
    <n v="65.64"/>
    <n v="151.88"/>
    <n v="151.88"/>
    <n v="0.16700000000000001"/>
    <n v="23"/>
    <x v="453"/>
    <n v="1509.72"/>
    <n v="1400.1489199999999"/>
    <n v="0.48117250587356353"/>
    <d v="2024-07-18T00:00:00"/>
    <s v="Q1-2024"/>
    <s v="Africa → Nigeria → Port Harcourt"/>
    <s v="Low"/>
    <x v="29"/>
    <x v="0"/>
    <x v="29"/>
  </r>
  <r>
    <s v="ORD-2024-243988"/>
    <x v="356"/>
    <d v="2024-04-06T00:00:00"/>
    <n v="24"/>
    <s v="Africa"/>
    <x v="8"/>
    <s v="Abuja"/>
    <s v="Consumer"/>
    <s v="Distributor"/>
    <x v="11"/>
    <x v="1"/>
    <x v="454"/>
    <n v="1232.78"/>
    <n v="1731.75"/>
    <n v="1731.75"/>
    <n v="9.2999999999999999E-2"/>
    <n v="16"/>
    <x v="454"/>
    <n v="19724.48"/>
    <n v="5406.6759999999995"/>
    <n v="0.21513837246484005"/>
    <d v="2024-07-15T00:00:00"/>
    <s v="Q1-2024"/>
    <s v="Africa → Nigeria → Abuja"/>
    <s v="High"/>
    <x v="29"/>
    <x v="0"/>
    <x v="29"/>
  </r>
  <r>
    <s v="ORD-2024-310809"/>
    <x v="357"/>
    <d v="2024-04-09T00:00:00"/>
    <n v="4"/>
    <s v="Africa"/>
    <x v="8"/>
    <s v="Lagos"/>
    <s v="Non-Profit"/>
    <s v="Direct"/>
    <x v="12"/>
    <x v="1"/>
    <x v="455"/>
    <n v="395.07"/>
    <n v="970.27"/>
    <n v="970.27"/>
    <n v="0.123"/>
    <n v="38"/>
    <x v="455"/>
    <n v="15012.66"/>
    <n v="17322.55802"/>
    <n v="0.53571799049833657"/>
    <d v="2024-06-23T00:00:00"/>
    <s v="Q2-2024"/>
    <s v="Africa → Nigeria → Lagos"/>
    <s v="Medium"/>
    <x v="14"/>
    <x v="0"/>
    <x v="14"/>
  </r>
  <r>
    <s v="ORD-2024-599522"/>
    <x v="358"/>
    <d v="2024-05-06T00:00:00"/>
    <n v="17"/>
    <s v="Africa"/>
    <x v="8"/>
    <s v="Port Harcourt"/>
    <s v="Non-Profit"/>
    <s v="Online"/>
    <x v="4"/>
    <x v="3"/>
    <x v="456"/>
    <n v="865.33"/>
    <n v="1395.64"/>
    <n v="1395.64"/>
    <n v="0.17499999999999999"/>
    <n v="13"/>
    <x v="456"/>
    <n v="11249.29"/>
    <n v="3718.9489999999987"/>
    <n v="0.24845601409758347"/>
    <d v="2024-06-19T00:00:00"/>
    <s v="Q2-2024"/>
    <s v="Africa → Nigeria → Port Harcourt"/>
    <s v="Medium"/>
    <x v="14"/>
    <x v="0"/>
    <x v="14"/>
  </r>
  <r>
    <s v="ORD-2024-247032"/>
    <x v="359"/>
    <d v="2024-05-19T00:00:00"/>
    <n v="28"/>
    <s v="Africa"/>
    <x v="8"/>
    <s v="Lagos"/>
    <s v="Corporate"/>
    <s v="Distributor"/>
    <x v="4"/>
    <x v="5"/>
    <x v="457"/>
    <n v="187.22"/>
    <n v="309.47000000000003"/>
    <n v="309.47000000000003"/>
    <n v="0"/>
    <n v="5"/>
    <x v="457"/>
    <n v="936.1"/>
    <n v="611.25000000000011"/>
    <n v="0.39503021294471197"/>
    <d v="2024-05-28T00:00:00"/>
    <s v="Q2-2024"/>
    <s v="Africa → Nigeria → Lagos"/>
    <s v="Low"/>
    <x v="14"/>
    <x v="0"/>
    <x v="14"/>
  </r>
  <r>
    <s v="ORD-2024-589570"/>
    <x v="360"/>
    <d v="2024-05-29T00:00:00"/>
    <n v="25"/>
    <s v="Africa"/>
    <x v="8"/>
    <s v="Abuja"/>
    <s v="Non-Profit"/>
    <s v="Marketplace"/>
    <x v="13"/>
    <x v="0"/>
    <x v="458"/>
    <n v="1295.3399999999999"/>
    <n v="2530.81"/>
    <n v="2530.81"/>
    <n v="3.1E-2"/>
    <n v="6"/>
    <x v="458"/>
    <n v="7772.0399999999991"/>
    <n v="6942.0893400000004"/>
    <n v="0.4717974933880798"/>
    <d v="2024-06-10T00:00:00"/>
    <s v="Q2-2024"/>
    <s v="Africa → Nigeria → Abuja"/>
    <s v="High"/>
    <x v="15"/>
    <x v="0"/>
    <x v="15"/>
  </r>
  <r>
    <s v="ORD-2024-527858"/>
    <x v="361"/>
    <d v="2024-05-12T00:00:00"/>
    <n v="5"/>
    <s v="Africa"/>
    <x v="8"/>
    <s v="Abuja"/>
    <s v="Non-Profit"/>
    <s v="Distributor"/>
    <x v="11"/>
    <x v="6"/>
    <x v="459"/>
    <n v="1163.99"/>
    <n v="1617.85"/>
    <n v="1617.85"/>
    <n v="0.127"/>
    <n v="14"/>
    <x v="459"/>
    <n v="16295.86"/>
    <n v="3477.5026999999973"/>
    <n v="0.17586804797749436"/>
    <d v="2024-06-02T00:00:00"/>
    <s v="Q2-2024"/>
    <s v="Africa → Nigeria → Abuja"/>
    <s v="Medium"/>
    <x v="15"/>
    <x v="0"/>
    <x v="15"/>
  </r>
  <r>
    <s v="ORD-2024-638884"/>
    <x v="362"/>
    <d v="2024-05-28T00:00:00"/>
    <n v="2"/>
    <s v="Africa"/>
    <x v="8"/>
    <s v="Abuja"/>
    <s v="Enterprise"/>
    <s v="Online"/>
    <x v="8"/>
    <x v="5"/>
    <x v="460"/>
    <n v="1227.08"/>
    <n v="1896.62"/>
    <n v="1896.62"/>
    <n v="0"/>
    <n v="18"/>
    <x v="460"/>
    <n v="22087.439999999999"/>
    <n v="12051.719999999998"/>
    <n v="0.353017473189147"/>
    <d v="2024-05-18T00:00:00"/>
    <s v="Q2-2024"/>
    <s v="Africa → Nigeria → Abuja"/>
    <s v="High"/>
    <x v="15"/>
    <x v="0"/>
    <x v="15"/>
  </r>
  <r>
    <s v="ORD-2024-566589"/>
    <x v="363"/>
    <d v="2024-07-09T00:00:00"/>
    <n v="28"/>
    <s v="Africa"/>
    <x v="8"/>
    <s v="Port Harcourt"/>
    <s v="Corporate"/>
    <s v="Marketplace"/>
    <x v="14"/>
    <x v="2"/>
    <x v="461"/>
    <n v="895.54"/>
    <n v="1045"/>
    <n v="1045"/>
    <n v="0.216"/>
    <n v="15"/>
    <x v="461"/>
    <n v="13433.099999999999"/>
    <n v="-1143.8999999999978"/>
    <n v="-9.3081730299775234E-2"/>
    <d v="2024-03-30T00:00:00"/>
    <s v="Q2-2024"/>
    <s v="Africa → Nigeria → Port Harcourt"/>
    <s v="Medium"/>
    <x v="16"/>
    <x v="0"/>
    <x v="16"/>
  </r>
  <r>
    <s v="ORD-2024-787018"/>
    <x v="364"/>
    <d v="2024-06-28T00:00:00"/>
    <n v="5"/>
    <s v="Africa"/>
    <x v="8"/>
    <s v="Port Harcourt"/>
    <s v="Non-Profit"/>
    <s v="Direct"/>
    <x v="3"/>
    <x v="5"/>
    <x v="462"/>
    <n v="242.31"/>
    <n v="587.95000000000005"/>
    <n v="587.95000000000005"/>
    <n v="0.22900000000000001"/>
    <n v="6"/>
    <x v="462"/>
    <n v="1453.8600000000001"/>
    <n v="1265.9967000000001"/>
    <n v="0.46546448568411714"/>
    <d v="2024-03-27T00:00:00"/>
    <s v="Q2-2024"/>
    <s v="Africa → Nigeria → Port Harcourt"/>
    <s v="Low"/>
    <x v="16"/>
    <x v="0"/>
    <x v="16"/>
  </r>
  <r>
    <s v="ORD-2024-423853"/>
    <x v="286"/>
    <d v="2024-09-08T00:00:00"/>
    <n v="5"/>
    <s v="Africa"/>
    <x v="8"/>
    <s v="Lagos"/>
    <s v="Small Business"/>
    <s v="Direct"/>
    <x v="12"/>
    <x v="3"/>
    <x v="463"/>
    <n v="197.63"/>
    <n v="325.79000000000002"/>
    <n v="325.79000000000002"/>
    <n v="0.11600000000000001"/>
    <n v="10"/>
    <x v="463"/>
    <n v="1976.3"/>
    <n v="903.68360000000007"/>
    <n v="0.31378081458519419"/>
    <d v="2024-01-25T00:00:00"/>
    <s v="Q3-2024"/>
    <s v="Africa → Nigeria → Lagos"/>
    <s v="Low"/>
    <x v="19"/>
    <x v="0"/>
    <x v="19"/>
  </r>
  <r>
    <s v="ORD-2024-997336"/>
    <x v="365"/>
    <d v="2024-11-02T00:00:00"/>
    <n v="29"/>
    <s v="Africa"/>
    <x v="8"/>
    <s v="Abuja"/>
    <s v="Corporate"/>
    <s v="Distributor"/>
    <x v="8"/>
    <x v="5"/>
    <x v="464"/>
    <n v="412.09"/>
    <n v="968.94"/>
    <n v="968.94"/>
    <n v="9.9000000000000005E-2"/>
    <n v="23"/>
    <x v="464"/>
    <n v="9478.07"/>
    <n v="10601.273620000004"/>
    <n v="0.52796913189137418"/>
    <d v="2024-01-02T00:00:00"/>
    <s v="Q4-2024"/>
    <s v="Africa → Nigeria → Abuja"/>
    <s v="Medium"/>
    <x v="32"/>
    <x v="0"/>
    <x v="32"/>
  </r>
  <r>
    <s v="ORD-2024-966651"/>
    <x v="366"/>
    <d v="2024-11-08T00:00:00"/>
    <n v="25"/>
    <s v="Africa"/>
    <x v="8"/>
    <s v="Lagos"/>
    <s v="Enterprise"/>
    <s v="Online"/>
    <x v="13"/>
    <x v="4"/>
    <x v="465"/>
    <n v="859.35"/>
    <n v="1825.61"/>
    <n v="1825.61"/>
    <n v="0.187"/>
    <n v="24"/>
    <x v="465"/>
    <n v="20624.400000000001"/>
    <n v="14996.902319999994"/>
    <n v="0.42100937762681989"/>
    <d v="2023-12-21T00:00:00"/>
    <s v="Q4-2024"/>
    <s v="Africa → Nigeria → Lagos"/>
    <s v="High"/>
    <x v="32"/>
    <x v="0"/>
    <x v="32"/>
  </r>
  <r>
    <s v="ORD-2024-640340"/>
    <x v="367"/>
    <d v="2024-10-29T00:00:00"/>
    <n v="7"/>
    <s v="Africa"/>
    <x v="8"/>
    <s v="Port Harcourt"/>
    <s v="Enterprise"/>
    <s v="Distributor"/>
    <x v="3"/>
    <x v="0"/>
    <x v="466"/>
    <n v="1023.06"/>
    <n v="1355.61"/>
    <n v="1355.61"/>
    <n v="0.153"/>
    <n v="23"/>
    <x v="466"/>
    <n v="23530.379999999997"/>
    <n v="2878.2584100000022"/>
    <n v="0.10898927711888809"/>
    <d v="2024-01-01T00:00:00"/>
    <s v="Q4-2024"/>
    <s v="Africa → Nigeria → Port Harcourt"/>
    <s v="Medium"/>
    <x v="32"/>
    <x v="0"/>
    <x v="32"/>
  </r>
  <r>
    <s v="ORD-2024-358795"/>
    <x v="367"/>
    <d v="2024-10-23T00:00:00"/>
    <n v="1"/>
    <s v="Africa"/>
    <x v="8"/>
    <s v="Port Harcourt"/>
    <s v="Education"/>
    <s v="Online"/>
    <x v="9"/>
    <x v="3"/>
    <x v="467"/>
    <n v="1084.3900000000001"/>
    <n v="759.33"/>
    <n v="759.33"/>
    <n v="0.23699999999999999"/>
    <n v="31"/>
    <x v="467"/>
    <n v="33616.090000000004"/>
    <n v="-15655.657510000005"/>
    <n v="-0.87167486187856302"/>
    <d v="2023-12-28T00:00:00"/>
    <s v="Q4-2024"/>
    <s v="Africa → Nigeria → Port Harcourt"/>
    <s v="Low"/>
    <x v="32"/>
    <x v="0"/>
    <x v="32"/>
  </r>
  <r>
    <s v="ORD-2024-837651"/>
    <x v="176"/>
    <d v="2024-12-19T00:00:00"/>
    <n v="9"/>
    <s v="Africa"/>
    <x v="8"/>
    <s v="Lagos"/>
    <s v="Corporate"/>
    <s v="Retail"/>
    <x v="13"/>
    <x v="0"/>
    <x v="468"/>
    <n v="488.68"/>
    <n v="984.36"/>
    <n v="984.36"/>
    <n v="5.8999999999999997E-2"/>
    <n v="14"/>
    <x v="468"/>
    <n v="6841.52"/>
    <n v="6126.4386400000003"/>
    <n v="0.47242891576649876"/>
    <d v="2023-10-25T00:00:00"/>
    <s v="Q4-2024"/>
    <s v="Africa → Nigeria → Lagos"/>
    <s v="Medium"/>
    <x v="30"/>
    <x v="0"/>
    <x v="30"/>
  </r>
  <r>
    <s v="ORD-2025-460466"/>
    <x v="368"/>
    <d v="2025-02-16T00:00:00"/>
    <n v="9"/>
    <s v="Africa"/>
    <x v="8"/>
    <s v="Lagos"/>
    <s v="Small Business"/>
    <s v="Distributor"/>
    <x v="5"/>
    <x v="3"/>
    <x v="469"/>
    <n v="90.68"/>
    <n v="118.17"/>
    <n v="118.17"/>
    <n v="0.13500000000000001"/>
    <n v="21"/>
    <x v="469"/>
    <n v="1904.2800000000002"/>
    <n v="242.27804999999989"/>
    <n v="0.11286815653552899"/>
    <d v="2023-07-26T00:00:00"/>
    <s v="Q1-2025"/>
    <s v="Africa → Nigeria → Lagos"/>
    <s v="Low"/>
    <x v="22"/>
    <x v="0"/>
    <x v="22"/>
  </r>
  <r>
    <s v="ORD-2025-881624"/>
    <x v="369"/>
    <d v="2025-03-21T00:00:00"/>
    <n v="28"/>
    <s v="Africa"/>
    <x v="8"/>
    <s v="Abuja"/>
    <s v="Enterprise"/>
    <s v="Marketplace"/>
    <x v="14"/>
    <x v="2"/>
    <x v="470"/>
    <n v="1437.39"/>
    <n v="1388.31"/>
    <n v="1388.31"/>
    <n v="0.13800000000000001"/>
    <n v="18"/>
    <x v="470"/>
    <n v="25873.02"/>
    <n v="-4332.002040000003"/>
    <n v="-0.20110479681341872"/>
    <d v="2023-07-24T00:00:00"/>
    <s v="Q1-2025"/>
    <s v="Africa → Nigeria → Abuja"/>
    <s v="Medium"/>
    <x v="22"/>
    <x v="0"/>
    <x v="22"/>
  </r>
  <r>
    <s v="ORD-2025-501927"/>
    <x v="370"/>
    <d v="2025-03-24T00:00:00"/>
    <n v="21"/>
    <s v="Africa"/>
    <x v="8"/>
    <s v="Abuja"/>
    <s v="Enterprise"/>
    <s v="Direct"/>
    <x v="15"/>
    <x v="5"/>
    <x v="471"/>
    <n v="555.95000000000005"/>
    <n v="468.09"/>
    <n v="468.09"/>
    <n v="0.14199999999999999"/>
    <n v="11"/>
    <x v="471"/>
    <n v="6115.4500000000007"/>
    <n v="-1697.6165800000008"/>
    <n v="-0.38426450674095375"/>
    <d v="2023-07-18T00:00:00"/>
    <s v="Q1-2025"/>
    <s v="Africa → Nigeria → Abuja"/>
    <s v="Low"/>
    <x v="23"/>
    <x v="0"/>
    <x v="23"/>
  </r>
  <r>
    <s v="ORD-2025-944081"/>
    <x v="371"/>
    <d v="2025-03-26T00:00:00"/>
    <n v="1"/>
    <s v="Africa"/>
    <x v="8"/>
    <s v="Lagos"/>
    <s v="Education"/>
    <s v="Distributor"/>
    <x v="2"/>
    <x v="5"/>
    <x v="472"/>
    <n v="1450.43"/>
    <n v="1994.67"/>
    <n v="1994.67"/>
    <n v="0.1"/>
    <n v="24"/>
    <x v="472"/>
    <n v="34810.32"/>
    <n v="8274.5520000000033"/>
    <n v="0.19205237513529116"/>
    <d v="2023-07-05T00:00:00"/>
    <s v="Q1-2025"/>
    <s v="Africa → Nigeria → Lagos"/>
    <s v="High"/>
    <x v="23"/>
    <x v="0"/>
    <x v="23"/>
  </r>
  <r>
    <s v="ORD-2025-168148"/>
    <x v="372"/>
    <d v="2025-04-02T00:00:00"/>
    <n v="4"/>
    <s v="Africa"/>
    <x v="8"/>
    <s v="Lagos"/>
    <s v="Non-Profit"/>
    <s v="Marketplace"/>
    <x v="2"/>
    <x v="2"/>
    <x v="473"/>
    <n v="259.93"/>
    <n v="255.94"/>
    <n v="255.94"/>
    <n v="7.1999999999999995E-2"/>
    <n v="22"/>
    <x v="473"/>
    <n v="5718.46"/>
    <n v="-493.1889599999995"/>
    <n v="-9.4385335463861311E-2"/>
    <d v="2023-07-07T00:00:00"/>
    <s v="Q1-2025"/>
    <s v="Africa → Nigeria → Lagos"/>
    <s v="Low"/>
    <x v="23"/>
    <x v="0"/>
    <x v="23"/>
  </r>
  <r>
    <s v="ORD-2025-440093"/>
    <x v="90"/>
    <d v="2025-04-26T00:00:00"/>
    <n v="10"/>
    <s v="Africa"/>
    <x v="8"/>
    <s v="Port Harcourt"/>
    <s v="Enterprise"/>
    <s v="Marketplace"/>
    <x v="8"/>
    <x v="6"/>
    <x v="474"/>
    <n v="1457.44"/>
    <n v="1996.81"/>
    <n v="1996.81"/>
    <n v="0.126"/>
    <n v="23"/>
    <x v="474"/>
    <n v="33521.120000000003"/>
    <n v="6618.7546199999924"/>
    <n v="0.16489225944672353"/>
    <d v="2023-06-22T00:00:00"/>
    <s v="Q2-2025"/>
    <s v="Africa → Nigeria → Port Harcourt"/>
    <s v="High"/>
    <x v="24"/>
    <x v="0"/>
    <x v="24"/>
  </r>
  <r>
    <s v="ORD-2025-828263"/>
    <x v="51"/>
    <d v="2025-05-30T00:00:00"/>
    <n v="13"/>
    <s v="Africa"/>
    <x v="8"/>
    <s v="Lagos"/>
    <s v="Consumer"/>
    <s v="Distributor"/>
    <x v="8"/>
    <x v="5"/>
    <x v="475"/>
    <n v="66.400000000000006"/>
    <n v="141.43"/>
    <n v="141.43"/>
    <n v="0.107"/>
    <n v="8"/>
    <x v="475"/>
    <n v="531.20000000000005"/>
    <n v="479.17592000000002"/>
    <n v="0.47425508715607551"/>
    <d v="2023-05-07T00:00:00"/>
    <s v="Q2-2025"/>
    <s v="Africa → Nigeria → Lagos"/>
    <s v="Low"/>
    <x v="25"/>
    <x v="0"/>
    <x v="25"/>
  </r>
  <r>
    <s v="ORD-2025-580047"/>
    <x v="373"/>
    <d v="2025-06-29T00:00:00"/>
    <n v="15"/>
    <s v="Africa"/>
    <x v="8"/>
    <s v="Port Harcourt"/>
    <s v="Consumer"/>
    <s v="Marketplace"/>
    <x v="3"/>
    <x v="5"/>
    <x v="476"/>
    <n v="730.99"/>
    <n v="1242.8399999999999"/>
    <n v="1242.8399999999999"/>
    <n v="0.12"/>
    <n v="10"/>
    <x v="476"/>
    <n v="7309.9"/>
    <n v="3627.0920000000006"/>
    <n v="0.33163524303574515"/>
    <d v="2023-05-05T00:00:00"/>
    <s v="Q2-2025"/>
    <s v="Africa → Nigeria → Port Harcourt"/>
    <s v="Medium"/>
    <x v="31"/>
    <x v="0"/>
    <x v="31"/>
  </r>
  <r>
    <s v="ORD-2025-929414"/>
    <x v="374"/>
    <d v="2025-07-11T00:00:00"/>
    <n v="15"/>
    <s v="Africa"/>
    <x v="8"/>
    <s v="Port Harcourt"/>
    <s v="Small Business"/>
    <s v="Online"/>
    <x v="4"/>
    <x v="6"/>
    <x v="477"/>
    <n v="1170.1500000000001"/>
    <n v="2115.19"/>
    <n v="2115.19"/>
    <n v="9.1999999999999998E-2"/>
    <n v="23"/>
    <x v="477"/>
    <n v="26913.45"/>
    <n v="17260.177960000005"/>
    <n v="0.39073489674946776"/>
    <d v="2023-04-16T00:00:00"/>
    <s v="Q2-2025"/>
    <s v="Africa → Nigeria → Port Harcourt"/>
    <s v="High"/>
    <x v="31"/>
    <x v="0"/>
    <x v="31"/>
  </r>
  <r>
    <s v="ORD-2025-650841"/>
    <x v="142"/>
    <d v="2025-07-06T00:00:00"/>
    <n v="3"/>
    <s v="Africa"/>
    <x v="8"/>
    <s v="Lagos"/>
    <s v="Consumer"/>
    <s v="Online"/>
    <x v="10"/>
    <x v="6"/>
    <x v="478"/>
    <n v="1313.3"/>
    <n v="2884.34"/>
    <n v="2884.34"/>
    <n v="0.157"/>
    <n v="42"/>
    <x v="478"/>
    <n v="55158.6"/>
    <n v="46964.342039999996"/>
    <n v="0.45988042551305253"/>
    <d v="2023-03-23T00:00:00"/>
    <s v="Q3-2025"/>
    <s v="Africa → Nigeria → Lagos"/>
    <s v="High"/>
    <x v="26"/>
    <x v="0"/>
    <x v="26"/>
  </r>
  <r>
    <s v="ORD-2025-629393"/>
    <x v="375"/>
    <d v="2025-08-07T00:00:00"/>
    <n v="17"/>
    <s v="Africa"/>
    <x v="8"/>
    <s v="Lagos"/>
    <s v="Enterprise"/>
    <s v="Direct"/>
    <x v="3"/>
    <x v="5"/>
    <x v="479"/>
    <n v="1204.95"/>
    <n v="2065.73"/>
    <n v="2065.73"/>
    <n v="0.13600000000000001"/>
    <n v="10"/>
    <x v="479"/>
    <n v="12049.5"/>
    <n v="5798.4071999999978"/>
    <n v="0.32487882949100039"/>
    <d v="2023-03-07T00:00:00"/>
    <s v="Q3-2025"/>
    <s v="Africa → Nigeria → Lagos"/>
    <s v="High"/>
    <x v="26"/>
    <x v="0"/>
    <x v="26"/>
  </r>
  <r>
    <s v="ORD-2025-922513"/>
    <x v="376"/>
    <d v="2025-08-28T00:00:00"/>
    <n v="2"/>
    <s v="Africa"/>
    <x v="8"/>
    <s v="Port Harcourt"/>
    <s v="Small Business"/>
    <s v="Retail"/>
    <x v="4"/>
    <x v="5"/>
    <x v="480"/>
    <n v="521.05999999999995"/>
    <n v="1240.31"/>
    <n v="1240.31"/>
    <n v="0.14599999999999999"/>
    <n v="18"/>
    <x v="480"/>
    <n v="9379.0799999999981"/>
    <n v="9686.9653199999993"/>
    <n v="0.50807417885650974"/>
    <d v="2023-01-26T00:00:00"/>
    <s v="Q3-2025"/>
    <s v="Africa → Nigeria → Port Harcourt"/>
    <s v="Medium"/>
    <x v="27"/>
    <x v="0"/>
    <x v="27"/>
  </r>
  <r>
    <s v="ORD-2025-803803"/>
    <x v="377"/>
    <d v="2025-09-05T00:00:00"/>
    <n v="8"/>
    <s v="Africa"/>
    <x v="8"/>
    <s v="Port Harcourt"/>
    <s v="Small Business"/>
    <s v="Marketplace"/>
    <x v="6"/>
    <x v="6"/>
    <x v="481"/>
    <n v="1271.0999999999999"/>
    <n v="1932.42"/>
    <n v="1932.42"/>
    <n v="0.25"/>
    <n v="21"/>
    <x v="481"/>
    <n v="26693.1"/>
    <n v="3742.5149999999994"/>
    <n v="0.12296498690760807"/>
    <d v="2023-02-11T00:00:00"/>
    <s v="Q3-2025"/>
    <s v="Africa → Nigeria → Port Harcourt"/>
    <s v="High"/>
    <x v="27"/>
    <x v="0"/>
    <x v="27"/>
  </r>
  <r>
    <s v="ORD-2023-689428"/>
    <x v="378"/>
    <d v="2023-01-30T00:00:00"/>
    <n v="23"/>
    <s v="Africa"/>
    <x v="9"/>
    <s v="Cape Town"/>
    <s v="Consumer"/>
    <s v="Online"/>
    <x v="4"/>
    <x v="3"/>
    <x v="482"/>
    <n v="299.02"/>
    <n v="724.7"/>
    <n v="724.7"/>
    <n v="0.14000000000000001"/>
    <n v="5"/>
    <x v="482"/>
    <n v="1495.1"/>
    <n v="1621.1100000000001"/>
    <n v="0.52021847051386139"/>
    <d v="2025-09-12T00:00:00"/>
    <s v="Q1-2023"/>
    <s v="Africa → South Africa → Cape Town"/>
    <s v="Low"/>
    <x v="0"/>
    <x v="0"/>
    <x v="0"/>
  </r>
  <r>
    <s v="ORD-2023-159379"/>
    <x v="379"/>
    <d v="2023-02-11T00:00:00"/>
    <n v="3"/>
    <s v="Africa"/>
    <x v="9"/>
    <s v="Cape Town"/>
    <s v="Corporate"/>
    <s v="Direct"/>
    <x v="3"/>
    <x v="4"/>
    <x v="483"/>
    <n v="1410.05"/>
    <n v="2763.95"/>
    <n v="2763.95"/>
    <n v="0.161"/>
    <n v="26"/>
    <x v="483"/>
    <n v="36661.299999999996"/>
    <n v="23631.505299999997"/>
    <n v="0.39194569206750779"/>
    <d v="2025-08-07T00:00:00"/>
    <s v="Q1-2023"/>
    <s v="Africa → South Africa → Cape Town"/>
    <s v="High"/>
    <x v="1"/>
    <x v="0"/>
    <x v="1"/>
  </r>
  <r>
    <s v="ORD-2023-480975"/>
    <x v="380"/>
    <d v="2023-02-26T00:00:00"/>
    <n v="11"/>
    <s v="Africa"/>
    <x v="9"/>
    <s v="Johannesburg"/>
    <s v="Non-Profit"/>
    <s v="Retail"/>
    <x v="12"/>
    <x v="6"/>
    <x v="484"/>
    <n v="498.5"/>
    <n v="755.87"/>
    <n v="755.87"/>
    <n v="0.13"/>
    <n v="40"/>
    <x v="484"/>
    <n v="19940"/>
    <n v="6364.275999999998"/>
    <n v="0.24194834330357537"/>
    <d v="2025-08-30T00:00:00"/>
    <s v="Q1-2023"/>
    <s v="Africa → South Africa → Johannesburg"/>
    <s v="Low"/>
    <x v="1"/>
    <x v="0"/>
    <x v="1"/>
  </r>
  <r>
    <s v="ORD-2023-281890"/>
    <x v="381"/>
    <d v="2023-04-04T00:00:00"/>
    <n v="22"/>
    <s v="Africa"/>
    <x v="9"/>
    <s v="Durban"/>
    <s v="Small Business"/>
    <s v="Retail"/>
    <x v="4"/>
    <x v="1"/>
    <x v="485"/>
    <n v="1113.7"/>
    <n v="1620.6"/>
    <n v="1620.6"/>
    <n v="0.13900000000000001"/>
    <n v="11"/>
    <x v="485"/>
    <n v="12250.7"/>
    <n v="3098.002599999998"/>
    <n v="0.20184133348182787"/>
    <d v="2025-07-21T00:00:00"/>
    <s v="Q1-2023"/>
    <s v="Africa → South Africa → Durban"/>
    <s v="Medium"/>
    <x v="2"/>
    <x v="0"/>
    <x v="2"/>
  </r>
  <r>
    <s v="ORD-2023-946143"/>
    <x v="195"/>
    <d v="2023-03-30T00:00:00"/>
    <n v="16"/>
    <s v="Africa"/>
    <x v="9"/>
    <s v="Cape Town"/>
    <s v="Consumer"/>
    <s v="Distributor"/>
    <x v="12"/>
    <x v="1"/>
    <x v="486"/>
    <n v="1309.77"/>
    <n v="1589.07"/>
    <n v="1589.07"/>
    <n v="0.10199999999999999"/>
    <n v="10"/>
    <x v="486"/>
    <n v="13097.7"/>
    <n v="1172.1485999999986"/>
    <n v="8.2141628328137886E-2"/>
    <d v="2025-07-24T00:00:00"/>
    <s v="Q1-2023"/>
    <s v="Africa → South Africa → Cape Town"/>
    <s v="Medium"/>
    <x v="2"/>
    <x v="0"/>
    <x v="2"/>
  </r>
  <r>
    <s v="ORD-2023-144816"/>
    <x v="229"/>
    <d v="2023-05-29T00:00:00"/>
    <n v="22"/>
    <s v="Africa"/>
    <x v="9"/>
    <s v="Durban"/>
    <s v="Education"/>
    <s v="Distributor"/>
    <x v="12"/>
    <x v="5"/>
    <x v="487"/>
    <n v="653.86"/>
    <n v="931.84"/>
    <n v="931.84"/>
    <n v="0.121"/>
    <n v="12"/>
    <x v="487"/>
    <n v="7846.32"/>
    <n v="1982.7283200000002"/>
    <n v="0.20172129136506273"/>
    <d v="2025-05-16T00:00:00"/>
    <s v="Q2-2023"/>
    <s v="Africa → South Africa → Durban"/>
    <s v="Medium"/>
    <x v="4"/>
    <x v="0"/>
    <x v="4"/>
  </r>
  <r>
    <s v="ORD-2023-704111"/>
    <x v="107"/>
    <d v="2023-06-15T00:00:00"/>
    <n v="29"/>
    <s v="Africa"/>
    <x v="9"/>
    <s v="Durban"/>
    <s v="Enterprise"/>
    <s v="Retail"/>
    <x v="12"/>
    <x v="5"/>
    <x v="488"/>
    <n v="40.89"/>
    <n v="62.82"/>
    <n v="62.82"/>
    <n v="0.129"/>
    <n v="17"/>
    <x v="488"/>
    <n v="695.13"/>
    <n v="235.04574000000002"/>
    <n v="0.25268960465470752"/>
    <d v="2025-05-19T00:00:00"/>
    <s v="Q2-2023"/>
    <s v="Africa → South Africa → Durban"/>
    <s v="Low"/>
    <x v="4"/>
    <x v="0"/>
    <x v="4"/>
  </r>
  <r>
    <s v="ORD-2023-382272"/>
    <x v="382"/>
    <d v="2023-05-20T00:00:00"/>
    <n v="2"/>
    <s v="Africa"/>
    <x v="9"/>
    <s v="Durban"/>
    <s v="Corporate"/>
    <s v="Distributor"/>
    <x v="4"/>
    <x v="1"/>
    <x v="489"/>
    <n v="917.88"/>
    <n v="1347.92"/>
    <n v="1347.92"/>
    <n v="0.34300000000000003"/>
    <n v="5"/>
    <x v="489"/>
    <n v="4589.3999999999996"/>
    <n v="-161.48279999999886"/>
    <n v="-3.6469245630880096E-2"/>
    <d v="2025-05-16T00:00:00"/>
    <s v="Q2-2023"/>
    <s v="Africa → South Africa → Durban"/>
    <s v="Medium"/>
    <x v="4"/>
    <x v="0"/>
    <x v="4"/>
  </r>
  <r>
    <s v="ORD-2023-497686"/>
    <x v="383"/>
    <d v="2023-07-23T00:00:00"/>
    <n v="20"/>
    <s v="Africa"/>
    <x v="9"/>
    <s v="Johannesburg"/>
    <s v="Small Business"/>
    <s v="Distributor"/>
    <x v="8"/>
    <x v="6"/>
    <x v="490"/>
    <n v="1001.96"/>
    <n v="1254.95"/>
    <n v="1254.95"/>
    <n v="4.4999999999999998E-2"/>
    <n v="18"/>
    <x v="490"/>
    <n v="18035.28"/>
    <n v="3537.3105000000032"/>
    <n v="0.16397244920585699"/>
    <d v="2025-03-24T00:00:00"/>
    <s v="Q3-2023"/>
    <s v="Africa → South Africa → Johannesburg"/>
    <s v="Medium"/>
    <x v="6"/>
    <x v="0"/>
    <x v="6"/>
  </r>
  <r>
    <s v="ORD-2023-621393"/>
    <x v="384"/>
    <d v="2023-07-13T00:00:00"/>
    <n v="6"/>
    <s v="Africa"/>
    <x v="9"/>
    <s v="Cape Town"/>
    <s v="Small Business"/>
    <s v="Marketplace"/>
    <x v="7"/>
    <x v="5"/>
    <x v="491"/>
    <n v="612.59"/>
    <n v="1424.74"/>
    <n v="1424.74"/>
    <n v="4.3999999999999997E-2"/>
    <n v="15"/>
    <x v="491"/>
    <n v="9188.85"/>
    <n v="11241.921599999996"/>
    <n v="0.55024459281802152"/>
    <d v="2025-03-29T00:00:00"/>
    <s v="Q3-2023"/>
    <s v="Africa → South Africa → Cape Town"/>
    <s v="Medium"/>
    <x v="6"/>
    <x v="0"/>
    <x v="6"/>
  </r>
  <r>
    <s v="ORD-2023-825084"/>
    <x v="351"/>
    <d v="2023-07-21T00:00:00"/>
    <n v="7"/>
    <s v="Africa"/>
    <x v="9"/>
    <s v="Durban"/>
    <s v="Enterprise"/>
    <s v="Marketplace"/>
    <x v="10"/>
    <x v="0"/>
    <x v="492"/>
    <n v="620.74"/>
    <n v="1330.07"/>
    <n v="1330.07"/>
    <n v="0.29899999999999999"/>
    <n v="28"/>
    <x v="492"/>
    <n v="17380.72"/>
    <n v="8725.8939600000012"/>
    <n v="0.33424073965967516"/>
    <d v="2025-03-14T00:00:00"/>
    <s v="Q3-2023"/>
    <s v="Africa → South Africa → Durban"/>
    <s v="Medium"/>
    <x v="6"/>
    <x v="0"/>
    <x v="6"/>
  </r>
  <r>
    <s v="ORD-2023-369150"/>
    <x v="9"/>
    <d v="2023-08-10T00:00:00"/>
    <n v="23"/>
    <s v="Africa"/>
    <x v="9"/>
    <s v="Johannesburg"/>
    <s v="Small Business"/>
    <s v="Retail"/>
    <x v="11"/>
    <x v="1"/>
    <x v="493"/>
    <n v="1271.56"/>
    <n v="995.47"/>
    <n v="995.47"/>
    <n v="0.192"/>
    <n v="13"/>
    <x v="493"/>
    <n v="16530.28"/>
    <n v="-6073.8631199999982"/>
    <n v="-0.58087423155607754"/>
    <d v="2025-03-11T00:00:00"/>
    <s v="Q3-2023"/>
    <s v="Africa → South Africa → Johannesburg"/>
    <s v="Medium"/>
    <x v="6"/>
    <x v="0"/>
    <x v="6"/>
  </r>
  <r>
    <s v="ORD-2023-525643"/>
    <x v="385"/>
    <d v="2023-09-03T00:00:00"/>
    <n v="17"/>
    <s v="Africa"/>
    <x v="9"/>
    <s v="Durban"/>
    <s v="Enterprise"/>
    <s v="Retail"/>
    <x v="4"/>
    <x v="2"/>
    <x v="494"/>
    <n v="676.37"/>
    <n v="1276.67"/>
    <n v="1276.67"/>
    <n v="6.6000000000000003E-2"/>
    <n v="10"/>
    <x v="494"/>
    <n v="6763.7"/>
    <n v="5160.3977999999997"/>
    <n v="0.4327705027712872"/>
    <d v="2025-02-15T00:00:00"/>
    <s v="Q3-2023"/>
    <s v="Africa → South Africa → Durban"/>
    <s v="Medium"/>
    <x v="7"/>
    <x v="0"/>
    <x v="7"/>
  </r>
  <r>
    <s v="ORD-2023-749324"/>
    <x v="68"/>
    <d v="2023-09-07T00:00:00"/>
    <n v="19"/>
    <s v="Africa"/>
    <x v="9"/>
    <s v="Johannesburg"/>
    <s v="Enterprise"/>
    <s v="Retail"/>
    <x v="0"/>
    <x v="0"/>
    <x v="495"/>
    <n v="494.61"/>
    <n v="605.23"/>
    <n v="605.23"/>
    <n v="0.20399999999999999"/>
    <n v="18"/>
    <x v="495"/>
    <n v="8902.98"/>
    <n v="-231.24455999999918"/>
    <n v="-2.6666468505639647E-2"/>
    <d v="2025-01-27T00:00:00"/>
    <s v="Q3-2023"/>
    <s v="Africa → South Africa → Johannesburg"/>
    <s v="Low"/>
    <x v="7"/>
    <x v="0"/>
    <x v="7"/>
  </r>
  <r>
    <s v="ORD-2023-640022"/>
    <x v="386"/>
    <d v="2023-09-20T00:00:00"/>
    <n v="27"/>
    <s v="Africa"/>
    <x v="9"/>
    <s v="Durban"/>
    <s v="Small Business"/>
    <s v="Marketplace"/>
    <x v="3"/>
    <x v="3"/>
    <x v="496"/>
    <n v="1399.64"/>
    <n v="3342.11"/>
    <n v="3342.11"/>
    <n v="0"/>
    <n v="10"/>
    <x v="496"/>
    <n v="13996.400000000001"/>
    <n v="19424.699999999997"/>
    <n v="0.58121067229983447"/>
    <d v="2025-01-29T00:00:00"/>
    <s v="Q3-2023"/>
    <s v="Africa → South Africa → Durban"/>
    <s v="High"/>
    <x v="7"/>
    <x v="0"/>
    <x v="7"/>
  </r>
  <r>
    <s v="ORD-2023-713375"/>
    <x v="387"/>
    <d v="2023-09-10T00:00:00"/>
    <n v="15"/>
    <s v="Africa"/>
    <x v="9"/>
    <s v="Cape Town"/>
    <s v="Non-Profit"/>
    <s v="Direct"/>
    <x v="1"/>
    <x v="1"/>
    <x v="497"/>
    <n v="241.14"/>
    <n v="496.52"/>
    <n v="496.52"/>
    <n v="9.2999999999999999E-2"/>
    <n v="10"/>
    <x v="497"/>
    <n v="2411.3999999999996"/>
    <n v="2092.0364"/>
    <n v="0.46454223268257994"/>
    <d v="2025-01-22T00:00:00"/>
    <s v="Q3-2023"/>
    <s v="Africa → South Africa → Cape Town"/>
    <s v="Low"/>
    <x v="7"/>
    <x v="0"/>
    <x v="7"/>
  </r>
  <r>
    <s v="ORD-2023-835226"/>
    <x v="388"/>
    <d v="2023-11-05T00:00:00"/>
    <n v="10"/>
    <s v="Africa"/>
    <x v="9"/>
    <s v="Cape Town"/>
    <s v="Non-Profit"/>
    <s v="Online"/>
    <x v="14"/>
    <x v="6"/>
    <x v="498"/>
    <n v="20.38"/>
    <n v="42.56"/>
    <n v="42.56"/>
    <n v="7.1999999999999995E-2"/>
    <n v="11"/>
    <x v="498"/>
    <n v="224.17999999999998"/>
    <n v="210.27248000000006"/>
    <n v="0.48399419885921713"/>
    <d v="2024-11-20T00:00:00"/>
    <s v="Q4-2023"/>
    <s v="Africa → South Africa → Cape Town"/>
    <s v="Low"/>
    <x v="9"/>
    <x v="0"/>
    <x v="9"/>
  </r>
  <r>
    <s v="ORD-2023-825495"/>
    <x v="389"/>
    <d v="2023-11-30T00:00:00"/>
    <n v="1"/>
    <s v="Africa"/>
    <x v="9"/>
    <s v="Durban"/>
    <s v="Small Business"/>
    <s v="Marketplace"/>
    <x v="6"/>
    <x v="6"/>
    <x v="499"/>
    <n v="275.56"/>
    <n v="630.72"/>
    <n v="630.72"/>
    <n v="0.107"/>
    <n v="23"/>
    <x v="499"/>
    <n v="6337.88"/>
    <n v="6616.4780800000017"/>
    <n v="0.5107530638831933"/>
    <d v="2024-11-12T00:00:00"/>
    <s v="Q4-2023"/>
    <s v="Africa → South Africa → Durban"/>
    <s v="Low"/>
    <x v="10"/>
    <x v="0"/>
    <x v="10"/>
  </r>
  <r>
    <s v="ORD-2023-841426"/>
    <x v="241"/>
    <d v="2023-12-23T00:00:00"/>
    <n v="1"/>
    <s v="Africa"/>
    <x v="9"/>
    <s v="Cape Town"/>
    <s v="Non-Profit"/>
    <s v="Marketplace"/>
    <x v="0"/>
    <x v="1"/>
    <x v="500"/>
    <n v="1186.18"/>
    <n v="1285.0899999999999"/>
    <n v="1285.0899999999999"/>
    <n v="7.0000000000000007E-2"/>
    <n v="11"/>
    <x v="500"/>
    <n v="13047.980000000001"/>
    <n v="98.49069999999665"/>
    <n v="7.4917977796121861E-3"/>
    <d v="2024-10-25T00:00:00"/>
    <s v="Q4-2023"/>
    <s v="Africa → South Africa → Cape Town"/>
    <s v="Medium"/>
    <x v="11"/>
    <x v="0"/>
    <x v="11"/>
  </r>
  <r>
    <s v="ORD-2023-974506"/>
    <x v="390"/>
    <d v="2024-01-01T00:00:00"/>
    <n v="4"/>
    <s v="Africa"/>
    <x v="9"/>
    <s v="Cape Town"/>
    <s v="Education"/>
    <s v="Distributor"/>
    <x v="4"/>
    <x v="3"/>
    <x v="501"/>
    <n v="1141.8"/>
    <n v="2318.7399999999998"/>
    <n v="2318.7399999999998"/>
    <n v="0.107"/>
    <n v="32"/>
    <x v="501"/>
    <n v="36537.599999999999"/>
    <n v="29722.714239999994"/>
    <n v="0.44857490612468304"/>
    <d v="2024-10-24T00:00:00"/>
    <s v="Q4-2023"/>
    <s v="Africa → South Africa → Cape Town"/>
    <s v="High"/>
    <x v="11"/>
    <x v="0"/>
    <x v="11"/>
  </r>
  <r>
    <s v="ORD-2024-296582"/>
    <x v="276"/>
    <d v="2024-02-02T00:00:00"/>
    <n v="22"/>
    <s v="Africa"/>
    <x v="9"/>
    <s v="Durban"/>
    <s v="Consumer"/>
    <s v="Online"/>
    <x v="12"/>
    <x v="4"/>
    <x v="502"/>
    <n v="1206.2"/>
    <n v="1759.79"/>
    <n v="1759.79"/>
    <n v="0"/>
    <n v="6"/>
    <x v="502"/>
    <n v="7237.2000000000007"/>
    <n v="3321.5399999999991"/>
    <n v="0.31457730751964713"/>
    <d v="2024-09-10T00:00:00"/>
    <s v="Q1-2024"/>
    <s v="Africa → South Africa → Durban"/>
    <s v="High"/>
    <x v="12"/>
    <x v="0"/>
    <x v="12"/>
  </r>
  <r>
    <s v="ORD-2024-892173"/>
    <x v="391"/>
    <d v="2024-02-03T00:00:00"/>
    <n v="16"/>
    <s v="Africa"/>
    <x v="9"/>
    <s v="Cape Town"/>
    <s v="Non-Profit"/>
    <s v="Distributor"/>
    <x v="11"/>
    <x v="3"/>
    <x v="503"/>
    <n v="666.23"/>
    <n v="1382.91"/>
    <n v="1382.91"/>
    <n v="0.17599999999999999"/>
    <n v="13"/>
    <x v="503"/>
    <n v="8660.99"/>
    <n v="6152.7419200000022"/>
    <n v="0.41534043907553048"/>
    <d v="2024-08-31T00:00:00"/>
    <s v="Q1-2024"/>
    <s v="Africa → South Africa → Cape Town"/>
    <s v="Medium"/>
    <x v="12"/>
    <x v="0"/>
    <x v="12"/>
  </r>
  <r>
    <s v="ORD-2024-838925"/>
    <x v="392"/>
    <d v="2024-01-28T00:00:00"/>
    <n v="1"/>
    <s v="Africa"/>
    <x v="9"/>
    <s v="Cape Town"/>
    <s v="Enterprise"/>
    <s v="Direct"/>
    <x v="13"/>
    <x v="1"/>
    <x v="504"/>
    <n v="109.75"/>
    <n v="124.25"/>
    <n v="124.25"/>
    <n v="0.12"/>
    <n v="19"/>
    <x v="504"/>
    <n v="2085.25"/>
    <n v="-7.7899999999999636"/>
    <n v="-3.7497713554051405E-3"/>
    <d v="2024-09-09T00:00:00"/>
    <s v="Q1-2024"/>
    <s v="Africa → South Africa → Cape Town"/>
    <s v="Low"/>
    <x v="12"/>
    <x v="0"/>
    <x v="12"/>
  </r>
  <r>
    <s v="ORD-2024-277241"/>
    <x v="207"/>
    <d v="2024-01-30T00:00:00"/>
    <n v="2"/>
    <s v="Africa"/>
    <x v="9"/>
    <s v="Cape Town"/>
    <s v="Consumer"/>
    <s v="Direct"/>
    <x v="8"/>
    <x v="5"/>
    <x v="505"/>
    <n v="798.45"/>
    <n v="1592.02"/>
    <n v="1592.02"/>
    <n v="6.6000000000000003E-2"/>
    <n v="18"/>
    <x v="505"/>
    <n v="14372.1"/>
    <n v="12392.940239999998"/>
    <n v="0.46302714768494585"/>
    <d v="2024-09-03T00:00:00"/>
    <s v="Q1-2024"/>
    <s v="Africa → South Africa → Cape Town"/>
    <s v="Medium"/>
    <x v="12"/>
    <x v="0"/>
    <x v="12"/>
  </r>
  <r>
    <s v="ORD-2024-419248"/>
    <x v="393"/>
    <d v="2024-03-16T00:00:00"/>
    <n v="12"/>
    <s v="Africa"/>
    <x v="9"/>
    <s v="Johannesburg"/>
    <s v="Enterprise"/>
    <s v="Distributor"/>
    <x v="3"/>
    <x v="0"/>
    <x v="506"/>
    <n v="441.08"/>
    <n v="1054.29"/>
    <n v="1054.29"/>
    <n v="0.23699999999999999"/>
    <n v="6"/>
    <x v="506"/>
    <n v="2646.48"/>
    <n v="2180.0596199999995"/>
    <n v="0.45168169985932899"/>
    <d v="2024-07-09T00:00:00"/>
    <s v="Q1-2024"/>
    <s v="Africa → South Africa → Johannesburg"/>
    <s v="Medium"/>
    <x v="29"/>
    <x v="0"/>
    <x v="29"/>
  </r>
  <r>
    <s v="ORD-2024-939873"/>
    <x v="394"/>
    <d v="2024-05-07T00:00:00"/>
    <n v="25"/>
    <s v="Africa"/>
    <x v="9"/>
    <s v="Johannesburg"/>
    <s v="Education"/>
    <s v="Distributor"/>
    <x v="4"/>
    <x v="6"/>
    <x v="507"/>
    <n v="1376.51"/>
    <n v="1455.91"/>
    <n v="1455.91"/>
    <n v="0.185"/>
    <n v="17"/>
    <x v="507"/>
    <n v="23400.67"/>
    <n v="-3229.0369499999979"/>
    <n v="-0.1600781127634085"/>
    <d v="2024-06-03T00:00:00"/>
    <s v="Q2-2024"/>
    <s v="Africa → South Africa → Johannesburg"/>
    <s v="Medium"/>
    <x v="14"/>
    <x v="0"/>
    <x v="14"/>
  </r>
  <r>
    <s v="ORD-2024-155337"/>
    <x v="395"/>
    <d v="2024-05-27T00:00:00"/>
    <n v="6"/>
    <s v="Africa"/>
    <x v="9"/>
    <s v="Johannesburg"/>
    <s v="Non-Profit"/>
    <s v="Online"/>
    <x v="3"/>
    <x v="1"/>
    <x v="508"/>
    <n v="1157.51"/>
    <n v="1394.3"/>
    <n v="1394.3"/>
    <n v="0.27800000000000002"/>
    <n v="12"/>
    <x v="508"/>
    <n v="13890.119999999999"/>
    <n v="-1809.9048000000003"/>
    <n v="-0.14982388724333326"/>
    <d v="2024-05-26T00:00:00"/>
    <s v="Q2-2024"/>
    <s v="Africa → South Africa → Johannesburg"/>
    <s v="Medium"/>
    <x v="15"/>
    <x v="0"/>
    <x v="15"/>
  </r>
  <r>
    <s v="ORD-2024-970848"/>
    <x v="28"/>
    <d v="2024-06-03T00:00:00"/>
    <n v="11"/>
    <s v="Africa"/>
    <x v="9"/>
    <s v="Johannesburg"/>
    <s v="Small Business"/>
    <s v="Distributor"/>
    <x v="8"/>
    <x v="3"/>
    <x v="509"/>
    <n v="180.89"/>
    <n v="249.57"/>
    <n v="249.57"/>
    <n v="2.1999999999999999E-2"/>
    <n v="8"/>
    <x v="509"/>
    <n v="1447.12"/>
    <n v="505.51567999999997"/>
    <n v="0.25888888806948362"/>
    <d v="2024-05-18T00:00:00"/>
    <s v="Q2-2024"/>
    <s v="Africa → South Africa → Johannesburg"/>
    <s v="Low"/>
    <x v="15"/>
    <x v="0"/>
    <x v="15"/>
  </r>
  <r>
    <s v="ORD-2024-427031"/>
    <x v="396"/>
    <d v="2024-06-24T00:00:00"/>
    <n v="16"/>
    <s v="Africa"/>
    <x v="9"/>
    <s v="Durban"/>
    <s v="Education"/>
    <s v="Distributor"/>
    <x v="15"/>
    <x v="0"/>
    <x v="510"/>
    <n v="597.85"/>
    <n v="741.92"/>
    <n v="741.92"/>
    <n v="3.1E-2"/>
    <n v="7"/>
    <x v="510"/>
    <n v="4184.95"/>
    <n v="847.49335999999948"/>
    <n v="0.16840594108544515"/>
    <d v="2024-04-06T00:00:00"/>
    <s v="Q2-2024"/>
    <s v="Africa → South Africa → Durban"/>
    <s v="Low"/>
    <x v="16"/>
    <x v="0"/>
    <x v="16"/>
  </r>
  <r>
    <s v="ORD-2024-580808"/>
    <x v="278"/>
    <d v="2024-07-03T00:00:00"/>
    <n v="17"/>
    <s v="Africa"/>
    <x v="9"/>
    <s v="Johannesburg"/>
    <s v="Enterprise"/>
    <s v="Marketplace"/>
    <x v="8"/>
    <x v="2"/>
    <x v="511"/>
    <n v="1173.83"/>
    <n v="2328.9"/>
    <n v="2328.9"/>
    <n v="0.12"/>
    <n v="17"/>
    <x v="511"/>
    <n v="19955.11"/>
    <n v="14885.234000000004"/>
    <n v="0.42724130393201637"/>
    <d v="2024-04-09T00:00:00"/>
    <s v="Q2-2024"/>
    <s v="Africa → South Africa → Johannesburg"/>
    <s v="High"/>
    <x v="16"/>
    <x v="0"/>
    <x v="16"/>
  </r>
  <r>
    <s v="ORD-2024-919471"/>
    <x v="397"/>
    <d v="2024-07-26T00:00:00"/>
    <n v="27"/>
    <s v="Africa"/>
    <x v="9"/>
    <s v="Durban"/>
    <s v="Enterprise"/>
    <s v="Distributor"/>
    <x v="7"/>
    <x v="4"/>
    <x v="512"/>
    <n v="5.36"/>
    <n v="4.37"/>
    <n v="4.37"/>
    <n v="0.11799999999999999"/>
    <n v="9"/>
    <x v="512"/>
    <n v="48.24"/>
    <n v="-13.550940000000004"/>
    <n v="-0.39064016148030545"/>
    <d v="2024-04-03T00:00:00"/>
    <s v="Q2-2024"/>
    <s v="Africa → South Africa → Durban"/>
    <s v="Low"/>
    <x v="16"/>
    <x v="0"/>
    <x v="16"/>
  </r>
  <r>
    <s v="ORD-2024-167215"/>
    <x v="398"/>
    <d v="2024-08-23T00:00:00"/>
    <n v="2"/>
    <s v="Africa"/>
    <x v="9"/>
    <s v="Johannesburg"/>
    <s v="Education"/>
    <s v="Retail"/>
    <x v="6"/>
    <x v="1"/>
    <x v="513"/>
    <n v="1432.52"/>
    <n v="3036.87"/>
    <n v="3036.87"/>
    <n v="0"/>
    <n v="9"/>
    <x v="513"/>
    <n v="12892.68"/>
    <n v="14439.149999999998"/>
    <n v="0.52829064135112791"/>
    <d v="2024-02-01T00:00:00"/>
    <s v="Q3-2024"/>
    <s v="Africa → South Africa → Johannesburg"/>
    <s v="High"/>
    <x v="18"/>
    <x v="0"/>
    <x v="18"/>
  </r>
  <r>
    <s v="ORD-2024-972999"/>
    <x v="399"/>
    <d v="2024-10-04T00:00:00"/>
    <n v="28"/>
    <s v="Africa"/>
    <x v="9"/>
    <s v="Cape Town"/>
    <s v="Corporate"/>
    <s v="Marketplace"/>
    <x v="0"/>
    <x v="0"/>
    <x v="514"/>
    <n v="1174.17"/>
    <n v="1641.61"/>
    <n v="1641.61"/>
    <n v="0.122"/>
    <n v="9"/>
    <x v="514"/>
    <n v="10567.53"/>
    <n v="2404.4722199999997"/>
    <n v="0.18535860380079394"/>
    <d v="2024-01-11T00:00:00"/>
    <s v="Q3-2024"/>
    <s v="Africa → South Africa → Cape Town"/>
    <s v="High"/>
    <x v="19"/>
    <x v="0"/>
    <x v="19"/>
  </r>
  <r>
    <s v="ORD-2024-686712"/>
    <x v="400"/>
    <d v="2024-10-23T00:00:00"/>
    <n v="21"/>
    <s v="Africa"/>
    <x v="9"/>
    <s v="Durban"/>
    <s v="Corporate"/>
    <s v="Marketplace"/>
    <x v="4"/>
    <x v="1"/>
    <x v="515"/>
    <n v="1095.6099999999999"/>
    <n v="2366.5100000000002"/>
    <n v="2366.5100000000002"/>
    <n v="0.152"/>
    <n v="9"/>
    <x v="515"/>
    <n v="9860.49"/>
    <n v="8200.7143200000046"/>
    <n v="0.4540513564158607"/>
    <d v="2023-12-22T00:00:00"/>
    <s v="Q4-2024"/>
    <s v="Africa → South Africa → Durban"/>
    <s v="High"/>
    <x v="32"/>
    <x v="0"/>
    <x v="32"/>
  </r>
  <r>
    <s v="ORD-2025-636162"/>
    <x v="401"/>
    <d v="2025-01-20T00:00:00"/>
    <n v="13"/>
    <s v="Africa"/>
    <x v="9"/>
    <s v="Cape Town"/>
    <s v="Corporate"/>
    <s v="Direct"/>
    <x v="12"/>
    <x v="4"/>
    <x v="516"/>
    <n v="432.13"/>
    <n v="1034.6600000000001"/>
    <n v="1034.6600000000001"/>
    <n v="9.1999999999999998E-2"/>
    <n v="7"/>
    <x v="516"/>
    <n v="3024.91"/>
    <n v="3551.3889600000011"/>
    <n v="0.54002851476204794"/>
    <d v="2023-08-24T00:00:00"/>
    <s v="Q1-2025"/>
    <s v="Africa → South Africa → Cape Town"/>
    <s v="Medium"/>
    <x v="21"/>
    <x v="0"/>
    <x v="21"/>
  </r>
  <r>
    <s v="ORD-2025-473192"/>
    <x v="46"/>
    <d v="2025-04-29T00:00:00"/>
    <n v="30"/>
    <s v="Africa"/>
    <x v="9"/>
    <s v="Durban"/>
    <s v="Consumer"/>
    <s v="Marketplace"/>
    <x v="9"/>
    <x v="0"/>
    <x v="517"/>
    <n v="194.6"/>
    <n v="314.87"/>
    <n v="314.87"/>
    <n v="0.29299999999999998"/>
    <n v="25"/>
    <x v="517"/>
    <n v="4865"/>
    <n v="700.32725000000028"/>
    <n v="0.1258375686712763"/>
    <d v="2023-06-15T00:00:00"/>
    <s v="Q1-2025"/>
    <s v="Africa → South Africa → Durban"/>
    <s v="Low"/>
    <x v="23"/>
    <x v="0"/>
    <x v="23"/>
  </r>
  <r>
    <s v="ORD-2025-306251"/>
    <x v="402"/>
    <d v="2025-04-19T00:00:00"/>
    <n v="9"/>
    <s v="Africa"/>
    <x v="9"/>
    <s v="Durban"/>
    <s v="Enterprise"/>
    <m/>
    <x v="2"/>
    <x v="4"/>
    <x v="518"/>
    <n v="113.74"/>
    <n v="165.7"/>
    <n v="165.7"/>
    <n v="0.124"/>
    <n v="13"/>
    <x v="518"/>
    <n v="1478.62"/>
    <n v="408.37159999999994"/>
    <n v="0.21641410592394794"/>
    <d v="2023-06-03T00:00:00"/>
    <s v="Q2-2025"/>
    <s v="Africa → South Africa → Durban"/>
    <s v="Low"/>
    <x v="24"/>
    <x v="0"/>
    <x v="24"/>
  </r>
  <r>
    <s v="ORD-2025-700847"/>
    <x v="403"/>
    <d v="2025-05-21T00:00:00"/>
    <n v="2"/>
    <s v="Africa"/>
    <x v="9"/>
    <s v="Johannesburg"/>
    <s v="Non-Profit"/>
    <s v="Distributor"/>
    <x v="13"/>
    <x v="6"/>
    <x v="519"/>
    <n v="1263.8399999999999"/>
    <n v="2281.7199999999998"/>
    <n v="2281.7199999999998"/>
    <n v="7.8E-2"/>
    <n v="15"/>
    <x v="519"/>
    <n v="18957.599999999999"/>
    <n v="12598.587599999999"/>
    <n v="0.39924301882398494"/>
    <d v="2023-04-18T00:00:00"/>
    <s v="Q2-2025"/>
    <s v="Africa → South Africa → Johannesburg"/>
    <s v="High"/>
    <x v="25"/>
    <x v="0"/>
    <x v="25"/>
  </r>
  <r>
    <s v="ORD-2025-485946"/>
    <x v="186"/>
    <d v="2025-06-30T00:00:00"/>
    <n v="15"/>
    <s v="Africa"/>
    <x v="9"/>
    <s v="Johannesburg"/>
    <s v="Small Business"/>
    <s v="Direct"/>
    <x v="5"/>
    <x v="0"/>
    <x v="520"/>
    <n v="1487.59"/>
    <n v="1480.83"/>
    <n v="1480.83"/>
    <n v="8.9999999999999993E-3"/>
    <n v="11"/>
    <x v="520"/>
    <n v="16363.49"/>
    <n v="-220.9621700000007"/>
    <n v="-1.3688201273492908E-2"/>
    <d v="2023-04-19T00:00:00"/>
    <s v="Q2-2025"/>
    <s v="Africa → South Africa → Johannesburg"/>
    <s v="Medium"/>
    <x v="31"/>
    <x v="0"/>
    <x v="31"/>
  </r>
  <r>
    <s v="ORD-2025-262434"/>
    <x v="404"/>
    <d v="2025-06-21T00:00:00"/>
    <n v="2"/>
    <s v="Africa"/>
    <x v="9"/>
    <s v="Johannesburg"/>
    <s v="Small Business"/>
    <m/>
    <x v="15"/>
    <x v="2"/>
    <x v="521"/>
    <n v="1466.27"/>
    <n v="3589.89"/>
    <n v="3589.89"/>
    <n v="9.7000000000000003E-2"/>
    <n v="9"/>
    <x v="521"/>
    <n v="13196.43"/>
    <n v="15978.606029999999"/>
    <n v="0.54768076425234147"/>
    <d v="2023-04-06T00:00:00"/>
    <s v="Q2-2025"/>
    <s v="Africa → South Africa → Johannesburg"/>
    <s v="High"/>
    <x v="31"/>
    <x v="0"/>
    <x v="31"/>
  </r>
  <r>
    <s v="ORD-2025-908258"/>
    <x v="405"/>
    <d v="2025-06-27T00:00:00"/>
    <n v="6"/>
    <s v="Africa"/>
    <x v="9"/>
    <s v="Durban"/>
    <s v="Enterprise"/>
    <s v="Distributor"/>
    <x v="1"/>
    <x v="2"/>
    <x v="522"/>
    <n v="93.91"/>
    <n v="99.04"/>
    <n v="99.04"/>
    <n v="5.7000000000000002E-2"/>
    <n v="6"/>
    <x v="522"/>
    <n v="563.46"/>
    <n v="-3.0916800000001103"/>
    <n v="-5.5172283829323376E-3"/>
    <d v="2023-04-26T00:00:00"/>
    <s v="Q2-2025"/>
    <s v="Africa → South Africa → Durban"/>
    <s v="Low"/>
    <x v="31"/>
    <x v="0"/>
    <x v="31"/>
  </r>
  <r>
    <s v="ORD-2025-312803"/>
    <x v="94"/>
    <d v="2025-07-14T00:00:00"/>
    <n v="20"/>
    <s v="Africa"/>
    <x v="9"/>
    <s v="Johannesburg"/>
    <s v="Enterprise"/>
    <s v="Marketplace"/>
    <x v="9"/>
    <x v="6"/>
    <x v="523"/>
    <n v="1151.06"/>
    <n v="2821.36"/>
    <n v="2821.36"/>
    <n v="0.248"/>
    <n v="20"/>
    <x v="523"/>
    <n v="23021.199999999997"/>
    <n v="19412.054400000008"/>
    <n v="0.45747267501594235"/>
    <d v="2023-03-27T00:00:00"/>
    <s v="Q2-2025"/>
    <s v="Africa → South Africa → Johannesburg"/>
    <s v="High"/>
    <x v="31"/>
    <x v="0"/>
    <x v="31"/>
  </r>
  <r>
    <s v="ORD-2025-678688"/>
    <x v="406"/>
    <d v="2025-07-17T00:00:00"/>
    <n v="1"/>
    <s v="Africa"/>
    <x v="9"/>
    <s v="Durban"/>
    <s v="Small Business"/>
    <s v="Distributor"/>
    <x v="7"/>
    <x v="4"/>
    <x v="524"/>
    <n v="1198.9000000000001"/>
    <n v="2941.2"/>
    <n v="2941.2"/>
    <n v="5.0999999999999997E-2"/>
    <n v="24"/>
    <x v="524"/>
    <n v="28773.600000000002"/>
    <n v="38215.171199999982"/>
    <n v="0.57047129713583977"/>
    <d v="2023-03-17T00:00:00"/>
    <s v="Q3-2025"/>
    <s v="Africa → South Africa → Durban"/>
    <s v="High"/>
    <x v="26"/>
    <x v="0"/>
    <x v="26"/>
  </r>
  <r>
    <s v="ORD-2025-474710"/>
    <x v="407"/>
    <d v="2025-08-06T00:00:00"/>
    <n v="13"/>
    <s v="Africa"/>
    <x v="9"/>
    <s v="Johannesburg"/>
    <s v="Education"/>
    <s v="Marketplace"/>
    <x v="0"/>
    <x v="4"/>
    <x v="525"/>
    <n v="1463.9"/>
    <n v="2633.02"/>
    <n v="2633.02"/>
    <n v="8.4000000000000005E-2"/>
    <n v="4"/>
    <x v="525"/>
    <n v="5855.6"/>
    <n v="3791.7852800000001"/>
    <n v="0.39303761277791527"/>
    <d v="2023-02-23T00:00:00"/>
    <s v="Q3-2025"/>
    <s v="Africa → South Africa → Johannesburg"/>
    <s v="High"/>
    <x v="26"/>
    <x v="0"/>
    <x v="26"/>
  </r>
  <r>
    <s v="ORD-2025-588029"/>
    <x v="408"/>
    <d v="2025-09-23T00:00:00"/>
    <n v="9"/>
    <s v="Africa"/>
    <x v="9"/>
    <s v="Durban"/>
    <s v="Non-Profit"/>
    <s v="Online"/>
    <x v="0"/>
    <x v="1"/>
    <x v="526"/>
    <n v="1310.3"/>
    <n v="2875.8"/>
    <n v="2875.8"/>
    <n v="8.3000000000000004E-2"/>
    <n v="5"/>
    <x v="526"/>
    <n v="6551.5"/>
    <n v="6634.0429999999997"/>
    <n v="0.50313005691157353"/>
    <d v="2023-01-13T00:00:00"/>
    <s v="Q3-2025"/>
    <s v="Africa → South Africa → Durban"/>
    <s v="High"/>
    <x v="28"/>
    <x v="0"/>
    <x v="28"/>
  </r>
  <r>
    <s v="ORD-2023-780206"/>
    <x v="409"/>
    <d v="2023-02-03T00:00:00"/>
    <n v="15"/>
    <s v="Europe"/>
    <x v="10"/>
    <s v="London"/>
    <s v="Enterprise"/>
    <s v="Distributor"/>
    <x v="2"/>
    <x v="5"/>
    <x v="527"/>
    <n v="873.06"/>
    <n v="2101.5500000000002"/>
    <n v="2101.5500000000002"/>
    <n v="6.6000000000000003E-2"/>
    <n v="10"/>
    <x v="527"/>
    <n v="8730.5999999999985"/>
    <n v="10897.877"/>
    <n v="0.55520746719167269"/>
    <d v="2025-09-15T00:00:00"/>
    <s v="Q1-2023"/>
    <s v="Europe → United Kingdom → London"/>
    <s v="High"/>
    <x v="0"/>
    <x v="0"/>
    <x v="0"/>
  </r>
  <r>
    <s v="ORD-2023-430904"/>
    <x v="410"/>
    <d v="2023-01-31T00:00:00"/>
    <n v="4"/>
    <s v="Europe"/>
    <x v="10"/>
    <s v="Manchester"/>
    <s v="Enterprise"/>
    <s v="Online"/>
    <x v="1"/>
    <x v="6"/>
    <x v="528"/>
    <n v="941.2"/>
    <n v="668.02"/>
    <n v="668.02"/>
    <n v="0.22"/>
    <n v="16"/>
    <x v="528"/>
    <n v="15059.2"/>
    <n v="-6722.3104000000003"/>
    <n v="-0.80633314371825193"/>
    <d v="2025-09-08T00:00:00"/>
    <s v="Q1-2023"/>
    <s v="Europe → United Kingdom → Manchester"/>
    <s v="Low"/>
    <x v="0"/>
    <x v="0"/>
    <x v="0"/>
  </r>
  <r>
    <s v="ORD-2023-735274"/>
    <x v="60"/>
    <d v="2023-03-08T00:00:00"/>
    <n v="13"/>
    <s v="Europe"/>
    <x v="10"/>
    <s v="Manchester"/>
    <s v="Small Business"/>
    <s v="Direct"/>
    <x v="5"/>
    <x v="3"/>
    <x v="529"/>
    <n v="307.37"/>
    <n v="462.61"/>
    <n v="462.61"/>
    <n v="0.188"/>
    <n v="11"/>
    <x v="529"/>
    <n v="3381.07"/>
    <n v="750.9625200000005"/>
    <n v="0.18174167709599739"/>
    <d v="2025-08-20T00:00:00"/>
    <s v="Q1-2023"/>
    <s v="Europe → United Kingdom → Manchester"/>
    <s v="Low"/>
    <x v="1"/>
    <x v="0"/>
    <x v="1"/>
  </r>
  <r>
    <s v="ORD-2023-548874"/>
    <x v="411"/>
    <d v="2023-04-09T00:00:00"/>
    <n v="21"/>
    <s v="Europe"/>
    <x v="10"/>
    <s v="Manchester"/>
    <s v="Consumer"/>
    <s v="Retail"/>
    <x v="11"/>
    <x v="5"/>
    <x v="530"/>
    <n v="1082.17"/>
    <n v="1234.0999999999999"/>
    <n v="1234.0999999999999"/>
    <n v="0.189"/>
    <n v="16"/>
    <x v="530"/>
    <n v="17314.72"/>
    <n v="-1301.0384000000031"/>
    <n v="-8.124542703534228E-2"/>
    <d v="2025-07-11T00:00:00"/>
    <s v="Q1-2023"/>
    <s v="Europe → United Kingdom → Manchester"/>
    <s v="Medium"/>
    <x v="2"/>
    <x v="0"/>
    <x v="2"/>
  </r>
  <r>
    <s v="ORD-2023-868734"/>
    <x v="347"/>
    <d v="2023-04-27T00:00:00"/>
    <n v="21"/>
    <s v="Europe"/>
    <x v="10"/>
    <s v="Manchester"/>
    <s v="Enterprise"/>
    <s v="Distributor"/>
    <x v="14"/>
    <x v="3"/>
    <x v="531"/>
    <n v="1084.79"/>
    <n v="2484.9899999999998"/>
    <n v="2484.9899999999998"/>
    <n v="3.4000000000000002E-2"/>
    <n v="18"/>
    <x v="531"/>
    <n v="19526.22"/>
    <n v="23682.78611999999"/>
    <n v="0.54809837685755114"/>
    <d v="2025-06-24T00:00:00"/>
    <s v="Q2-2023"/>
    <s v="Europe → United Kingdom → Manchester"/>
    <s v="High"/>
    <x v="3"/>
    <x v="0"/>
    <x v="3"/>
  </r>
  <r>
    <s v="ORD-2023-294716"/>
    <x v="412"/>
    <d v="2023-04-25T00:00:00"/>
    <n v="15"/>
    <s v="Europe"/>
    <x v="10"/>
    <s v="London"/>
    <s v="Small Business"/>
    <s v="Retail"/>
    <x v="0"/>
    <x v="3"/>
    <x v="532"/>
    <n v="405.66"/>
    <n v="962.51"/>
    <n v="962.51"/>
    <n v="0.19"/>
    <n v="7"/>
    <x v="532"/>
    <n v="2839.6200000000003"/>
    <n v="2617.8116999999997"/>
    <n v="0.47967832561239376"/>
    <d v="2025-06-19T00:00:00"/>
    <s v="Q2-2023"/>
    <s v="Europe → United Kingdom → London"/>
    <s v="Medium"/>
    <x v="3"/>
    <x v="0"/>
    <x v="3"/>
  </r>
  <r>
    <s v="ORD-2023-256951"/>
    <x v="3"/>
    <d v="2023-05-07T00:00:00"/>
    <n v="18"/>
    <s v="Europe"/>
    <x v="10"/>
    <s v="London"/>
    <s v="Non-Profit"/>
    <s v="Direct"/>
    <x v="15"/>
    <x v="4"/>
    <x v="533"/>
    <n v="516.96"/>
    <n v="745.38"/>
    <n v="745.38"/>
    <n v="0.19700000000000001"/>
    <n v="4"/>
    <x v="533"/>
    <n v="2067.84"/>
    <n v="326.32055999999966"/>
    <n v="0.13629852794835101"/>
    <d v="2025-06-14T00:00:00"/>
    <s v="Q2-2023"/>
    <s v="Europe → United Kingdom → London"/>
    <s v="Low"/>
    <x v="3"/>
    <x v="0"/>
    <x v="3"/>
  </r>
  <r>
    <s v="ORD-2023-501220"/>
    <x v="3"/>
    <d v="2023-05-07T00:00:00"/>
    <n v="18"/>
    <s v="Europe"/>
    <x v="10"/>
    <s v="Birmingham"/>
    <s v="Enterprise"/>
    <s v="Retail"/>
    <x v="1"/>
    <x v="6"/>
    <x v="534"/>
    <n v="1089.1500000000001"/>
    <n v="1088.2"/>
    <n v="1088.2"/>
    <n v="5.0999999999999997E-2"/>
    <n v="15"/>
    <x v="534"/>
    <n v="16337.250000000002"/>
    <n v="-846.72300000000178"/>
    <n v="-5.4660696824582002E-2"/>
    <d v="2025-06-21T00:00:00"/>
    <s v="Q2-2023"/>
    <s v="Europe → United Kingdom → Birmingham"/>
    <s v="Medium"/>
    <x v="3"/>
    <x v="0"/>
    <x v="3"/>
  </r>
  <r>
    <s v="ORD-2023-927385"/>
    <x v="413"/>
    <d v="2023-06-20T00:00:00"/>
    <n v="22"/>
    <s v="Europe"/>
    <x v="10"/>
    <s v="London"/>
    <s v="Small Business"/>
    <s v="Direct"/>
    <x v="12"/>
    <x v="1"/>
    <x v="535"/>
    <n v="1295.3900000000001"/>
    <n v="2905.06"/>
    <n v="2905.06"/>
    <n v="0.14799999999999999"/>
    <n v="8"/>
    <x v="535"/>
    <n v="10363.120000000001"/>
    <n v="9437.7689599999994"/>
    <n v="0.47663359857556614"/>
    <d v="2025-05-12T00:00:00"/>
    <s v="Q2-2023"/>
    <s v="Europe → United Kingdom → London"/>
    <s v="High"/>
    <x v="4"/>
    <x v="0"/>
    <x v="4"/>
  </r>
  <r>
    <s v="ORD-2023-386663"/>
    <x v="414"/>
    <d v="2023-06-28T00:00:00"/>
    <n v="23"/>
    <s v="Europe"/>
    <x v="10"/>
    <s v="Birmingham"/>
    <s v="Corporate"/>
    <s v="Direct"/>
    <x v="12"/>
    <x v="3"/>
    <x v="536"/>
    <n v="605.82000000000005"/>
    <n v="771.12"/>
    <n v="771.12"/>
    <n v="0.13200000000000001"/>
    <n v="19"/>
    <x v="536"/>
    <n v="11510.580000000002"/>
    <n v="1206.7310399999988"/>
    <n v="9.4888851597986767E-2"/>
    <d v="2025-04-14T00:00:00"/>
    <s v="Q2-2023"/>
    <s v="Europe → United Kingdom → Birmingham"/>
    <s v="Low"/>
    <x v="5"/>
    <x v="0"/>
    <x v="5"/>
  </r>
  <r>
    <s v="ORD-2023-290279"/>
    <x v="415"/>
    <d v="2023-06-16T00:00:00"/>
    <n v="2"/>
    <s v="Europe"/>
    <x v="10"/>
    <s v="Manchester"/>
    <s v="Non-Profit"/>
    <s v="Direct"/>
    <x v="12"/>
    <x v="1"/>
    <x v="537"/>
    <n v="357.36"/>
    <n v="703.62"/>
    <n v="703.62"/>
    <n v="0.25700000000000001"/>
    <n v="20"/>
    <x v="537"/>
    <n v="7147.2000000000007"/>
    <n v="3308.5931999999993"/>
    <n v="0.31643636563125593"/>
    <d v="2025-04-12T00:00:00"/>
    <s v="Q2-2023"/>
    <s v="Europe → United Kingdom → Manchester"/>
    <s v="Low"/>
    <x v="5"/>
    <x v="0"/>
    <x v="5"/>
  </r>
  <r>
    <s v="ORD-2023-173313"/>
    <x v="416"/>
    <d v="2023-07-12T00:00:00"/>
    <n v="27"/>
    <s v="Europe"/>
    <x v="10"/>
    <s v="Manchester"/>
    <s v="Consumer"/>
    <s v="Direct"/>
    <x v="14"/>
    <x v="5"/>
    <x v="538"/>
    <n v="751.28"/>
    <n v="1111.8800000000001"/>
    <n v="1111.8800000000001"/>
    <n v="0.13500000000000001"/>
    <n v="7"/>
    <x v="538"/>
    <n v="5258.96"/>
    <n v="1473.4734000000008"/>
    <n v="0.21886193482433863"/>
    <d v="2025-04-06T00:00:00"/>
    <s v="Q2-2023"/>
    <s v="Europe → United Kingdom → Manchester"/>
    <s v="Medium"/>
    <x v="5"/>
    <x v="0"/>
    <x v="5"/>
  </r>
  <r>
    <s v="ORD-2023-920483"/>
    <x v="417"/>
    <d v="2023-08-01T00:00:00"/>
    <n v="30"/>
    <s v="Europe"/>
    <x v="10"/>
    <s v="Birmingham"/>
    <s v="Small Business"/>
    <s v="Retail"/>
    <x v="7"/>
    <x v="1"/>
    <x v="539"/>
    <n v="137.46"/>
    <n v="188.3"/>
    <n v="188.3"/>
    <n v="3.7999999999999999E-2"/>
    <n v="37"/>
    <x v="539"/>
    <n v="5086.0200000000004"/>
    <n v="1616.3301999999994"/>
    <n v="0.24115872071262398"/>
    <d v="2025-03-31T00:00:00"/>
    <s v="Q3-2023"/>
    <s v="Europe → United Kingdom → Birmingham"/>
    <s v="Low"/>
    <x v="6"/>
    <x v="0"/>
    <x v="6"/>
  </r>
  <r>
    <s v="ORD-2023-569862"/>
    <x v="418"/>
    <d v="2023-08-13T00:00:00"/>
    <n v="28"/>
    <s v="Europe"/>
    <x v="10"/>
    <s v="Manchester"/>
    <s v="Non-Profit"/>
    <s v="Online"/>
    <x v="9"/>
    <x v="6"/>
    <x v="540"/>
    <n v="1039.03"/>
    <n v="2545.81"/>
    <n v="2545.81"/>
    <n v="0.216"/>
    <n v="21"/>
    <x v="540"/>
    <n v="21819.63"/>
    <n v="20094.585840000003"/>
    <n v="0.47942172929364774"/>
    <d v="2025-03-10T00:00:00"/>
    <s v="Q3-2023"/>
    <s v="Europe → United Kingdom → Manchester"/>
    <s v="High"/>
    <x v="6"/>
    <x v="0"/>
    <x v="6"/>
  </r>
  <r>
    <s v="ORD-2023-197661"/>
    <x v="419"/>
    <d v="2023-08-22T00:00:00"/>
    <n v="14"/>
    <s v="Europe"/>
    <x v="10"/>
    <s v="Birmingham"/>
    <s v="Non-Profit"/>
    <s v="Direct"/>
    <x v="1"/>
    <x v="0"/>
    <x v="541"/>
    <n v="446.69"/>
    <n v="967.25"/>
    <n v="967.25"/>
    <n v="9.4E-2"/>
    <n v="10"/>
    <x v="541"/>
    <n v="4466.8999999999996"/>
    <n v="4296.3850000000002"/>
    <n v="0.49027105702941309"/>
    <d v="2025-02-04T00:00:00"/>
    <s v="Q3-2023"/>
    <s v="Europe → United Kingdom → Birmingham"/>
    <s v="Medium"/>
    <x v="7"/>
    <x v="0"/>
    <x v="7"/>
  </r>
  <r>
    <s v="ORD-2023-375011"/>
    <x v="420"/>
    <d v="2023-09-22T00:00:00"/>
    <n v="30"/>
    <s v="Europe"/>
    <x v="10"/>
    <s v="London"/>
    <s v="Consumer"/>
    <s v="Distributor"/>
    <x v="13"/>
    <x v="5"/>
    <x v="542"/>
    <n v="209.81"/>
    <n v="523"/>
    <n v="523"/>
    <n v="5.8999999999999997E-2"/>
    <n v="15"/>
    <x v="542"/>
    <n v="3147.15"/>
    <n v="4234.9950000000008"/>
    <n v="0.57368082041195356"/>
    <d v="2025-01-13T00:00:00"/>
    <s v="Q3-2023"/>
    <s v="Europe → United Kingdom → London"/>
    <s v="Low"/>
    <x v="7"/>
    <x v="0"/>
    <x v="7"/>
  </r>
  <r>
    <s v="ORD-2023-664749"/>
    <x v="421"/>
    <d v="2023-09-11T00:00:00"/>
    <n v="15"/>
    <s v="Europe"/>
    <x v="10"/>
    <s v="London"/>
    <s v="Consumer"/>
    <s v="Marketplace"/>
    <x v="1"/>
    <x v="3"/>
    <x v="543"/>
    <n v="943.79"/>
    <n v="1913.76"/>
    <n v="1913.76"/>
    <n v="9.0999999999999998E-2"/>
    <n v="9"/>
    <x v="543"/>
    <n v="8494.11"/>
    <n v="7162.3605599999992"/>
    <n v="0.45746967891338081"/>
    <d v="2025-01-20T00:00:00"/>
    <s v="Q3-2023"/>
    <s v="Europe → United Kingdom → London"/>
    <s v="High"/>
    <x v="7"/>
    <x v="0"/>
    <x v="7"/>
  </r>
  <r>
    <s v="ORD-2023-667815"/>
    <x v="422"/>
    <d v="2023-11-09T00:00:00"/>
    <n v="19"/>
    <s v="Europe"/>
    <x v="10"/>
    <s v="London"/>
    <s v="Non-Profit"/>
    <s v="Direct"/>
    <x v="4"/>
    <x v="5"/>
    <x v="544"/>
    <n v="1142.48"/>
    <n v="2105.5300000000002"/>
    <n v="2105.5300000000002"/>
    <n v="0.20699999999999999"/>
    <n v="14"/>
    <x v="544"/>
    <n v="15994.720000000001"/>
    <n v="7380.8740600000019"/>
    <n v="0.31575129346680658"/>
    <d v="2024-12-12T00:00:00"/>
    <s v="Q4-2023"/>
    <s v="Europe → United Kingdom → London"/>
    <s v="High"/>
    <x v="9"/>
    <x v="0"/>
    <x v="9"/>
  </r>
  <r>
    <s v="ORD-2023-659070"/>
    <x v="422"/>
    <d v="2023-10-21T00:00:00"/>
    <n v="0"/>
    <s v="Europe"/>
    <x v="10"/>
    <s v="Manchester"/>
    <s v="Enterprise"/>
    <s v="Distributor"/>
    <x v="9"/>
    <x v="0"/>
    <x v="545"/>
    <n v="384.19"/>
    <n v="278.35000000000002"/>
    <n v="278.35000000000002"/>
    <n v="5.6000000000000001E-2"/>
    <n v="10"/>
    <x v="545"/>
    <n v="3841.9"/>
    <n v="-1214.2760000000003"/>
    <n v="-0.46211938998882657"/>
    <d v="2024-12-10T00:00:00"/>
    <s v="Q4-2023"/>
    <s v="Europe → United Kingdom → Manchester"/>
    <s v="Low"/>
    <x v="9"/>
    <x v="0"/>
    <x v="9"/>
  </r>
  <r>
    <s v="ORD-2023-181257"/>
    <x v="423"/>
    <d v="2023-12-06T00:00:00"/>
    <n v="21"/>
    <s v="Europe"/>
    <x v="10"/>
    <s v="Manchester"/>
    <s v="Education"/>
    <s v="Direct"/>
    <x v="15"/>
    <x v="5"/>
    <x v="546"/>
    <n v="1184.99"/>
    <n v="1154.3399999999999"/>
    <n v="1154.3399999999999"/>
    <n v="2.8000000000000001E-2"/>
    <n v="5"/>
    <x v="546"/>
    <n v="5924.95"/>
    <n v="-314.85760000000028"/>
    <n v="-5.6123424990290764E-2"/>
    <d v="2024-11-02T00:00:00"/>
    <s v="Q4-2023"/>
    <s v="Europe → United Kingdom → Manchester"/>
    <s v="Medium"/>
    <x v="10"/>
    <x v="0"/>
    <x v="10"/>
  </r>
  <r>
    <s v="ORD-2024-921935"/>
    <x v="424"/>
    <d v="2024-01-27T00:00:00"/>
    <n v="26"/>
    <s v="Europe"/>
    <x v="10"/>
    <s v="Manchester"/>
    <s v="Education"/>
    <s v="Distributor"/>
    <x v="0"/>
    <x v="5"/>
    <x v="547"/>
    <n v="657.45"/>
    <n v="1325.96"/>
    <n v="1325.96"/>
    <n v="0.16700000000000001"/>
    <n v="21"/>
    <x v="547"/>
    <n v="13806.45"/>
    <n v="9388.5682799999995"/>
    <n v="0.40476658249048808"/>
    <d v="2024-10-22T00:00:00"/>
    <s v="Q1-2024"/>
    <s v="Europe → United Kingdom → Manchester"/>
    <s v="Medium"/>
    <x v="12"/>
    <x v="0"/>
    <x v="12"/>
  </r>
  <r>
    <s v="ORD-2024-207669"/>
    <x v="425"/>
    <d v="2024-02-04T00:00:00"/>
    <n v="11"/>
    <s v="Europe"/>
    <x v="10"/>
    <s v="Manchester"/>
    <s v="Consumer"/>
    <s v="Retail"/>
    <x v="7"/>
    <x v="6"/>
    <x v="548"/>
    <n v="525.34"/>
    <n v="1233.79"/>
    <n v="1233.79"/>
    <n v="0.14299999999999999"/>
    <n v="4"/>
    <x v="548"/>
    <n v="2101.36"/>
    <n v="2128.0721199999994"/>
    <n v="0.50315788494082736"/>
    <d v="2024-08-27T00:00:00"/>
    <s v="Q1-2024"/>
    <s v="Europe → United Kingdom → Manchester"/>
    <s v="Medium"/>
    <x v="12"/>
    <x v="0"/>
    <x v="12"/>
  </r>
  <r>
    <s v="ORD-2024-907733"/>
    <x v="119"/>
    <d v="2024-03-22T00:00:00"/>
    <n v="13"/>
    <s v="Europe"/>
    <x v="10"/>
    <s v="Manchester"/>
    <s v="Consumer"/>
    <s v="Online"/>
    <x v="6"/>
    <x v="6"/>
    <x v="549"/>
    <n v="985.45"/>
    <n v="1802.44"/>
    <n v="1802.44"/>
    <n v="8.9999999999999993E-3"/>
    <n v="19"/>
    <x v="549"/>
    <n v="18723.55"/>
    <n v="15214.592760000003"/>
    <n v="0.44830363486867486"/>
    <d v="2024-06-29T00:00:00"/>
    <s v="Q1-2024"/>
    <s v="Europe → United Kingdom → Manchester"/>
    <s v="High"/>
    <x v="29"/>
    <x v="0"/>
    <x v="29"/>
  </r>
  <r>
    <s v="ORD-2024-629525"/>
    <x v="426"/>
    <d v="2024-05-08T00:00:00"/>
    <n v="20"/>
    <s v="Europe"/>
    <x v="10"/>
    <s v="London"/>
    <s v="Non-Profit"/>
    <m/>
    <x v="0"/>
    <x v="6"/>
    <x v="550"/>
    <n v="645.33000000000004"/>
    <n v="1321.85"/>
    <n v="1321.85"/>
    <n v="0"/>
    <n v="10"/>
    <x v="550"/>
    <n v="6453.3"/>
    <n v="6765.2"/>
    <n v="0.51179785906116426"/>
    <d v="2024-06-16T00:00:00"/>
    <s v="Q2-2024"/>
    <s v="Europe → United Kingdom → London"/>
    <s v="Medium"/>
    <x v="14"/>
    <x v="0"/>
    <x v="14"/>
  </r>
  <r>
    <s v="ORD-2024-567435"/>
    <x v="323"/>
    <d v="2024-04-26T00:00:00"/>
    <n v="2"/>
    <s v="Europe"/>
    <x v="10"/>
    <s v="London"/>
    <s v="Non-Profit"/>
    <s v="Distributor"/>
    <x v="1"/>
    <x v="2"/>
    <x v="551"/>
    <n v="1232.77"/>
    <n v="891.73"/>
    <n v="891.73"/>
    <n v="0.16700000000000001"/>
    <n v="10"/>
    <x v="551"/>
    <n v="12327.7"/>
    <n v="-4899.589100000002"/>
    <n v="-0.65960096260813805"/>
    <d v="2024-06-04T00:00:00"/>
    <s v="Q2-2024"/>
    <s v="Europe → United Kingdom → London"/>
    <s v="Medium"/>
    <x v="14"/>
    <x v="0"/>
    <x v="14"/>
  </r>
  <r>
    <s v="ORD-2024-641220"/>
    <x v="427"/>
    <d v="2024-05-16T00:00:00"/>
    <n v="6"/>
    <s v="Europe"/>
    <x v="10"/>
    <s v="Birmingham"/>
    <s v="Non-Profit"/>
    <s v="Direct"/>
    <x v="2"/>
    <x v="6"/>
    <x v="552"/>
    <n v="210.76"/>
    <n v="221.58"/>
    <n v="221.58"/>
    <n v="8.8999999999999996E-2"/>
    <n v="5"/>
    <x v="552"/>
    <n v="1053.8"/>
    <n v="-44.50309999999979"/>
    <n v="-4.4093170205912434E-2"/>
    <d v="2024-05-19T00:00:00"/>
    <s v="Q2-2024"/>
    <s v="Europe → United Kingdom → Birmingham"/>
    <s v="Low"/>
    <x v="15"/>
    <x v="0"/>
    <x v="15"/>
  </r>
  <r>
    <s v="ORD-2024-973420"/>
    <x v="428"/>
    <d v="2024-05-24T00:00:00"/>
    <n v="12"/>
    <s v="Europe"/>
    <x v="10"/>
    <s v="Manchester"/>
    <s v="Education"/>
    <s v="Marketplace"/>
    <x v="12"/>
    <x v="3"/>
    <x v="553"/>
    <n v="111.02"/>
    <n v="172.88"/>
    <n v="172.88"/>
    <n v="0.19700000000000001"/>
    <n v="29"/>
    <x v="553"/>
    <n v="3219.58"/>
    <n v="806.27655999999934"/>
    <n v="0.20027453735212053"/>
    <d v="2024-05-23T00:00:00"/>
    <s v="Q2-2024"/>
    <s v="Europe → United Kingdom → Manchester"/>
    <s v="Low"/>
    <x v="15"/>
    <x v="0"/>
    <x v="15"/>
  </r>
  <r>
    <s v="ORD-2024-548345"/>
    <x v="429"/>
    <d v="2024-05-28T00:00:00"/>
    <n v="14"/>
    <s v="Europe"/>
    <x v="10"/>
    <s v="Birmingham"/>
    <s v="Consumer"/>
    <s v="Retail"/>
    <x v="7"/>
    <x v="4"/>
    <x v="554"/>
    <n v="1421.14"/>
    <n v="3524"/>
    <n v="3524"/>
    <n v="0"/>
    <n v="31"/>
    <x v="554"/>
    <n v="44055.340000000004"/>
    <n v="65188.659999999996"/>
    <n v="0.59672531214528945"/>
    <d v="2024-05-22T00:00:00"/>
    <s v="Q2-2024"/>
    <s v="Europe → United Kingdom → Birmingham"/>
    <s v="High"/>
    <x v="15"/>
    <x v="0"/>
    <x v="15"/>
  </r>
  <r>
    <s v="ORD-2024-223618"/>
    <x v="430"/>
    <d v="2024-06-11T00:00:00"/>
    <n v="1"/>
    <s v="Europe"/>
    <x v="10"/>
    <s v="Birmingham"/>
    <s v="Small Business"/>
    <s v="Marketplace"/>
    <x v="3"/>
    <x v="6"/>
    <x v="555"/>
    <n v="1187.1300000000001"/>
    <n v="1795.17"/>
    <n v="1795.17"/>
    <n v="1.2E-2"/>
    <n v="17"/>
    <x v="555"/>
    <n v="20181.210000000003"/>
    <n v="9970.4653199999957"/>
    <n v="0.33067699271046663"/>
    <d v="2024-04-04T00:00:00"/>
    <s v="Q2-2024"/>
    <s v="Europe → United Kingdom → Birmingham"/>
    <s v="High"/>
    <x v="16"/>
    <x v="0"/>
    <x v="16"/>
  </r>
  <r>
    <s v="ORD-2024-704056"/>
    <x v="364"/>
    <d v="2024-06-25T00:00:00"/>
    <n v="2"/>
    <s v="Europe"/>
    <x v="10"/>
    <s v="Birmingham"/>
    <s v="Small Business"/>
    <s v="Marketplace"/>
    <x v="11"/>
    <x v="5"/>
    <x v="556"/>
    <n v="951.44"/>
    <n v="1646.43"/>
    <n v="1646.43"/>
    <n v="0.11"/>
    <n v="24"/>
    <x v="556"/>
    <n v="22834.560000000001"/>
    <n v="12333.184799999999"/>
    <n v="0.35069592520473475"/>
    <d v="2024-04-05T00:00:00"/>
    <s v="Q2-2024"/>
    <s v="Europe → United Kingdom → Birmingham"/>
    <s v="High"/>
    <x v="16"/>
    <x v="0"/>
    <x v="16"/>
  </r>
  <r>
    <s v="ORD-2024-286833"/>
    <x v="431"/>
    <d v="2024-09-04T00:00:00"/>
    <n v="21"/>
    <s v="Europe"/>
    <x v="10"/>
    <s v="Manchester"/>
    <s v="Non-Profit"/>
    <s v="Online"/>
    <x v="9"/>
    <x v="2"/>
    <x v="557"/>
    <n v="1138.8"/>
    <n v="2250.81"/>
    <n v="2250.81"/>
    <n v="0.123"/>
    <n v="12"/>
    <x v="557"/>
    <n v="13665.599999999999"/>
    <n v="10021.924440000003"/>
    <n v="0.42308872188756258"/>
    <d v="2024-02-16T00:00:00"/>
    <s v="Q3-2024"/>
    <s v="Europe → United Kingdom → Manchester"/>
    <s v="High"/>
    <x v="18"/>
    <x v="0"/>
    <x v="18"/>
  </r>
  <r>
    <s v="ORD-2024-728474"/>
    <x v="34"/>
    <d v="2024-09-13T00:00:00"/>
    <n v="4"/>
    <s v="Europe"/>
    <x v="10"/>
    <s v="London"/>
    <s v="Consumer"/>
    <s v="Marketplace"/>
    <x v="8"/>
    <x v="4"/>
    <x v="558"/>
    <n v="1133.08"/>
    <n v="976.17"/>
    <n v="976.17"/>
    <n v="4.2000000000000003E-2"/>
    <n v="27"/>
    <x v="558"/>
    <n v="30593.159999999996"/>
    <n v="-5343.5467799999969"/>
    <n v="-0.21162885678452373"/>
    <d v="2024-01-12T00:00:00"/>
    <s v="Q3-2024"/>
    <s v="Europe → United Kingdom → London"/>
    <s v="Medium"/>
    <x v="19"/>
    <x v="0"/>
    <x v="19"/>
  </r>
  <r>
    <s v="ORD-2024-500511"/>
    <x v="432"/>
    <d v="2024-10-08T00:00:00"/>
    <n v="0"/>
    <s v="Europe"/>
    <x v="10"/>
    <s v="London"/>
    <s v="Corporate"/>
    <s v="Online"/>
    <x v="6"/>
    <x v="0"/>
    <x v="559"/>
    <n v="1108.1099999999999"/>
    <n v="2503.79"/>
    <n v="2503.79"/>
    <n v="0.184"/>
    <n v="19"/>
    <x v="559"/>
    <n v="21054.089999999997"/>
    <n v="17764.670160000009"/>
    <n v="0.45763105485025896"/>
    <d v="2023-12-20T00:00:00"/>
    <s v="Q4-2024"/>
    <s v="Europe → United Kingdom → London"/>
    <s v="High"/>
    <x v="32"/>
    <x v="0"/>
    <x v="32"/>
  </r>
  <r>
    <s v="ORD-2024-942981"/>
    <x v="433"/>
    <d v="2024-11-08T00:00:00"/>
    <n v="30"/>
    <s v="Europe"/>
    <x v="10"/>
    <s v="Manchester"/>
    <s v="Small Business"/>
    <s v="Distributor"/>
    <x v="9"/>
    <x v="1"/>
    <x v="560"/>
    <n v="343.85"/>
    <n v="538.04"/>
    <n v="538.04"/>
    <n v="0.13900000000000001"/>
    <n v="5"/>
    <x v="560"/>
    <n v="1719.25"/>
    <n v="597.01219999999967"/>
    <n v="0.25774810813732563"/>
    <d v="2023-12-18T00:00:00"/>
    <s v="Q4-2024"/>
    <s v="Europe → United Kingdom → Manchester"/>
    <s v="Low"/>
    <x v="32"/>
    <x v="0"/>
    <x v="32"/>
  </r>
  <r>
    <s v="ORD-2024-964950"/>
    <x v="434"/>
    <d v="2024-10-11T00:00:00"/>
    <n v="1"/>
    <s v="Europe"/>
    <x v="10"/>
    <s v="Manchester"/>
    <s v="Non-Profit"/>
    <s v="Distributor"/>
    <x v="11"/>
    <x v="1"/>
    <x v="561"/>
    <n v="1389.46"/>
    <n v="1784.7"/>
    <n v="1784.7"/>
    <n v="0.14599999999999999"/>
    <n v="33"/>
    <x v="561"/>
    <n v="45852.18"/>
    <n v="4444.2353999999978"/>
    <n v="8.8360877503011831E-2"/>
    <d v="2023-12-24T00:00:00"/>
    <s v="Q4-2024"/>
    <s v="Europe → United Kingdom → Manchester"/>
    <s v="High"/>
    <x v="32"/>
    <x v="0"/>
    <x v="32"/>
  </r>
  <r>
    <s v="ORD-2024-925626"/>
    <x v="171"/>
    <d v="2024-11-05T00:00:00"/>
    <n v="1"/>
    <s v="Europe"/>
    <x v="10"/>
    <s v="London"/>
    <s v="Corporate"/>
    <s v="Retail"/>
    <x v="3"/>
    <x v="3"/>
    <x v="562"/>
    <n v="840.68"/>
    <n v="1493.53"/>
    <n v="1493.53"/>
    <n v="0"/>
    <n v="27"/>
    <x v="562"/>
    <n v="22698.359999999997"/>
    <n v="17626.95"/>
    <n v="0.43711877230454027"/>
    <d v="2023-12-05T00:00:00"/>
    <s v="Q4-2024"/>
    <s v="Europe → United Kingdom → London"/>
    <s v="Medium"/>
    <x v="20"/>
    <x v="0"/>
    <x v="20"/>
  </r>
  <r>
    <s v="ORD-2024-496601"/>
    <x v="435"/>
    <d v="2024-11-24T00:00:00"/>
    <n v="13"/>
    <s v="Europe"/>
    <x v="10"/>
    <s v="London"/>
    <s v="Corporate"/>
    <s v="Retail"/>
    <x v="6"/>
    <x v="4"/>
    <x v="563"/>
    <n v="164.53"/>
    <n v="327.72"/>
    <n v="327.72"/>
    <n v="6.7000000000000004E-2"/>
    <n v="14"/>
    <x v="563"/>
    <n v="2303.42"/>
    <n v="1977.25864"/>
    <n v="0.46190307805960412"/>
    <d v="2023-12-05T00:00:00"/>
    <s v="Q4-2024"/>
    <s v="Europe → United Kingdom → London"/>
    <s v="Low"/>
    <x v="20"/>
    <x v="0"/>
    <x v="20"/>
  </r>
  <r>
    <s v="ORD-2024-140633"/>
    <x v="436"/>
    <d v="2024-12-26T00:00:00"/>
    <n v="19"/>
    <s v="Europe"/>
    <x v="10"/>
    <s v="London"/>
    <s v="Enterprise"/>
    <s v="Online"/>
    <x v="0"/>
    <x v="4"/>
    <x v="564"/>
    <n v="1035.24"/>
    <n v="2383.41"/>
    <n v="2383.41"/>
    <n v="0.17"/>
    <n v="15"/>
    <x v="564"/>
    <n v="15528.6"/>
    <n v="14144.854499999992"/>
    <n v="0.47668378145860962"/>
    <d v="2023-09-30T00:00:00"/>
    <s v="Q4-2024"/>
    <s v="Europe → United Kingdom → London"/>
    <s v="High"/>
    <x v="30"/>
    <x v="0"/>
    <x v="30"/>
  </r>
  <r>
    <s v="ORD-2024-930679"/>
    <x v="219"/>
    <d v="2025-01-16T00:00:00"/>
    <n v="30"/>
    <s v="Europe"/>
    <x v="10"/>
    <s v="Manchester"/>
    <s v="Corporate"/>
    <s v="Retail"/>
    <x v="0"/>
    <x v="0"/>
    <x v="565"/>
    <n v="722.87"/>
    <n v="-33.659999999999997"/>
    <n v="33.659999999999997"/>
    <n v="0.10199999999999999"/>
    <n v="28"/>
    <x v="565"/>
    <n v="20240.36"/>
    <n v="-19394.01296"/>
    <n v="-22.914965189693348"/>
    <d v="2023-10-18T00:00:00"/>
    <s v="Q4-2024"/>
    <s v="Europe → United Kingdom → Manchester"/>
    <s v="Low"/>
    <x v="30"/>
    <x v="0"/>
    <x v="30"/>
  </r>
  <r>
    <s v="ORD-2024-165942"/>
    <x v="437"/>
    <d v="2025-01-12T00:00:00"/>
    <n v="14"/>
    <s v="Europe"/>
    <x v="10"/>
    <s v="Manchester"/>
    <s v="Corporate"/>
    <s v="Direct"/>
    <x v="7"/>
    <x v="0"/>
    <x v="566"/>
    <n v="1399.72"/>
    <n v="3149.21"/>
    <n v="3149.21"/>
    <n v="0.185"/>
    <n v="12"/>
    <x v="566"/>
    <n v="16796.64"/>
    <n v="14002.633800000003"/>
    <n v="0.45464168703873797"/>
    <d v="2023-09-08T00:00:00"/>
    <s v="Q4-2024"/>
    <s v="Europe → United Kingdom → Manchester"/>
    <s v="High"/>
    <x v="30"/>
    <x v="0"/>
    <x v="30"/>
  </r>
  <r>
    <s v="ORD-2025-192876"/>
    <x v="438"/>
    <d v="2025-02-17T00:00:00"/>
    <n v="17"/>
    <s v="Europe"/>
    <x v="10"/>
    <s v="London"/>
    <s v="Enterprise"/>
    <s v="Retail"/>
    <x v="15"/>
    <x v="1"/>
    <x v="537"/>
    <n v="378.26"/>
    <n v="541.55999999999995"/>
    <n v="541.55999999999995"/>
    <n v="0.16300000000000001"/>
    <n v="25"/>
    <x v="567"/>
    <n v="9456.5"/>
    <n v="1875.6429999999982"/>
    <n v="0.16551529573885526"/>
    <d v="2023-08-30T00:00:00"/>
    <s v="Q1-2025"/>
    <s v="Europe → United Kingdom → London"/>
    <s v="Low"/>
    <x v="21"/>
    <x v="0"/>
    <x v="21"/>
  </r>
  <r>
    <s v="ORD-2025-964661"/>
    <x v="439"/>
    <d v="2025-02-25T00:00:00"/>
    <n v="21"/>
    <s v="Europe"/>
    <x v="10"/>
    <s v="Birmingham"/>
    <s v="Corporate"/>
    <s v="Marketplace"/>
    <x v="0"/>
    <x v="0"/>
    <x v="567"/>
    <n v="1016.32"/>
    <n v="2253.42"/>
    <n v="2253.42"/>
    <n v="5.5E-2"/>
    <n v="12"/>
    <x v="568"/>
    <n v="12195.84"/>
    <n v="13357.942800000001"/>
    <n v="0.52273837124419797"/>
    <d v="2023-08-30T00:00:00"/>
    <s v="Q1-2025"/>
    <s v="Europe → United Kingdom → Birmingham"/>
    <s v="High"/>
    <x v="22"/>
    <x v="0"/>
    <x v="22"/>
  </r>
  <r>
    <s v="ORD-2025-659650"/>
    <x v="439"/>
    <d v="2025-02-08T00:00:00"/>
    <n v="4"/>
    <s v="Europe"/>
    <x v="10"/>
    <s v="Manchester"/>
    <s v="Enterprise"/>
    <s v="Marketplace"/>
    <x v="11"/>
    <x v="4"/>
    <x v="568"/>
    <n v="586.21"/>
    <n v="727.22"/>
    <n v="727.22"/>
    <n v="6.8000000000000005E-2"/>
    <n v="15"/>
    <x v="569"/>
    <n v="8793.1500000000015"/>
    <n v="1373.3855999999996"/>
    <n v="0.13508884973559721"/>
    <d v="2023-08-03T00:00:00"/>
    <s v="Q1-2025"/>
    <s v="Europe → United Kingdom → Manchester"/>
    <s v="Low"/>
    <x v="22"/>
    <x v="0"/>
    <x v="22"/>
  </r>
  <r>
    <s v="ORD-2025-330203"/>
    <x v="371"/>
    <d v="2025-04-17T00:00:00"/>
    <n v="23"/>
    <s v="Europe"/>
    <x v="10"/>
    <s v="London"/>
    <s v="Consumer"/>
    <s v="Retail"/>
    <x v="15"/>
    <x v="4"/>
    <x v="569"/>
    <n v="1421.19"/>
    <n v="1808.26"/>
    <n v="1808.26"/>
    <n v="0.104"/>
    <n v="13"/>
    <x v="570"/>
    <n v="18475.47"/>
    <n v="2587.1424799999986"/>
    <n v="0.12283103449093123"/>
    <d v="2023-07-14T00:00:00"/>
    <s v="Q1-2025"/>
    <s v="Europe → United Kingdom → London"/>
    <s v="High"/>
    <x v="23"/>
    <x v="0"/>
    <x v="23"/>
  </r>
  <r>
    <s v="ORD-2025-269934"/>
    <x v="224"/>
    <d v="2025-04-10T00:00:00"/>
    <n v="6"/>
    <s v="Europe"/>
    <x v="10"/>
    <s v="Birmingham"/>
    <s v="Non-Profit"/>
    <s v="Direct"/>
    <x v="1"/>
    <x v="3"/>
    <x v="570"/>
    <n v="290.14"/>
    <n v="250.73"/>
    <n v="250.73"/>
    <n v="3.4000000000000002E-2"/>
    <n v="17"/>
    <x v="571"/>
    <n v="4932.38"/>
    <n v="-814.89194000000043"/>
    <n v="-0.19790997038131072"/>
    <d v="2023-06-20T00:00:00"/>
    <s v="Q2-2025"/>
    <s v="Europe → United Kingdom → Birmingham"/>
    <s v="Low"/>
    <x v="24"/>
    <x v="0"/>
    <x v="24"/>
  </r>
  <r>
    <s v="ORD-2025-845715"/>
    <x v="440"/>
    <d v="2025-05-04T00:00:00"/>
    <n v="20"/>
    <s v="Europe"/>
    <x v="10"/>
    <s v="Birmingham"/>
    <s v="Enterprise"/>
    <s v="Marketplace"/>
    <x v="12"/>
    <x v="0"/>
    <x v="571"/>
    <n v="1413.87"/>
    <n v="3275"/>
    <n v="3275"/>
    <n v="0.255"/>
    <n v="38"/>
    <x v="572"/>
    <n v="53727.06"/>
    <n v="38988.19"/>
    <n v="0.42051539525590453"/>
    <d v="2023-06-23T00:00:00"/>
    <s v="Q2-2025"/>
    <s v="Europe → United Kingdom → Birmingham"/>
    <s v="High"/>
    <x v="24"/>
    <x v="0"/>
    <x v="24"/>
  </r>
  <r>
    <s v="ORD-2025-745263"/>
    <x v="403"/>
    <d v="2025-05-21T00:00:00"/>
    <n v="2"/>
    <s v="Europe"/>
    <x v="10"/>
    <s v="Birmingham"/>
    <s v="Enterprise"/>
    <s v="Online"/>
    <x v="3"/>
    <x v="6"/>
    <x v="572"/>
    <n v="1015.16"/>
    <n v="2148.14"/>
    <n v="2148.14"/>
    <n v="3.7999999999999999E-2"/>
    <n v="19"/>
    <x v="573"/>
    <n v="19288.04"/>
    <n v="19975.662919999995"/>
    <n v="0.50875647059322227"/>
    <d v="2023-05-01T00:00:00"/>
    <s v="Q2-2025"/>
    <s v="Europe → United Kingdom → Birmingham"/>
    <s v="High"/>
    <x v="25"/>
    <x v="0"/>
    <x v="25"/>
  </r>
  <r>
    <s v="ORD-2025-184082"/>
    <x v="404"/>
    <d v="2025-07-12T00:00:00"/>
    <n v="23"/>
    <s v="Europe"/>
    <x v="10"/>
    <s v="London"/>
    <s v="Non-Profit"/>
    <s v="Direct"/>
    <x v="10"/>
    <x v="4"/>
    <x v="573"/>
    <n v="801.24"/>
    <n v="1959.09"/>
    <n v="1959.09"/>
    <n v="0.123"/>
    <n v="23"/>
    <x v="574"/>
    <n v="18428.52"/>
    <n v="21088.284389999997"/>
    <n v="0.53365358650651762"/>
    <d v="2023-04-19T00:00:00"/>
    <s v="Q2-2025"/>
    <s v="Europe → United Kingdom → London"/>
    <s v="High"/>
    <x v="31"/>
    <x v="0"/>
    <x v="31"/>
  </r>
  <r>
    <s v="ORD-2025-278048"/>
    <x v="441"/>
    <d v="2025-07-08T00:00:00"/>
    <n v="16"/>
    <s v="Europe"/>
    <x v="10"/>
    <s v="London"/>
    <s v="Education"/>
    <s v="Direct"/>
    <x v="4"/>
    <x v="2"/>
    <x v="574"/>
    <n v="892.73"/>
    <n v="979.84"/>
    <n v="979.84"/>
    <n v="0.17399999999999999"/>
    <n v="10"/>
    <x v="575"/>
    <n v="8927.2999999999993"/>
    <n v="-833.82159999999931"/>
    <n v="-0.10302388649112838"/>
    <d v="2023-04-10T00:00:00"/>
    <s v="Q2-2025"/>
    <s v="Europe → United Kingdom → London"/>
    <s v="Medium"/>
    <x v="31"/>
    <x v="0"/>
    <x v="31"/>
  </r>
  <r>
    <s v="ORD-2025-591006"/>
    <x v="442"/>
    <d v="2025-07-10T00:00:00"/>
    <n v="15"/>
    <s v="Europe"/>
    <x v="10"/>
    <s v="Birmingham"/>
    <s v="Non-Profit"/>
    <s v="Marketplace"/>
    <x v="0"/>
    <x v="2"/>
    <x v="575"/>
    <n v="546.83000000000004"/>
    <n v="400.84"/>
    <n v="400.84"/>
    <n v="7.8E-2"/>
    <n v="13"/>
    <x v="576"/>
    <n v="7108.7900000000009"/>
    <n v="-2304.3217600000007"/>
    <n v="-0.47962056254533608"/>
    <d v="2023-04-19T00:00:00"/>
    <s v="Q2-2025"/>
    <s v="Europe → United Kingdom → Birmingham"/>
    <s v="Low"/>
    <x v="31"/>
    <x v="0"/>
    <x v="31"/>
  </r>
  <r>
    <s v="ORD-2025-150713"/>
    <x v="341"/>
    <d v="2025-07-16T00:00:00"/>
    <n v="5"/>
    <s v="Europe"/>
    <x v="10"/>
    <s v="London"/>
    <s v="Enterprise"/>
    <s v="Online"/>
    <x v="12"/>
    <x v="3"/>
    <x v="576"/>
    <n v="930.03"/>
    <n v="1086.68"/>
    <n v="1086.68"/>
    <n v="0.109"/>
    <n v="26"/>
    <x v="577"/>
    <n v="24180.78"/>
    <n v="993.24888000000283"/>
    <n v="3.9455300728168656E-2"/>
    <d v="2023-03-19T00:00:00"/>
    <s v="Q3-2025"/>
    <s v="Europe → United Kingdom → London"/>
    <s v="Medium"/>
    <x v="26"/>
    <x v="0"/>
    <x v="26"/>
  </r>
  <r>
    <s v="ORD-2025-789245"/>
    <x v="301"/>
    <d v="2025-08-17T00:00:00"/>
    <n v="25"/>
    <s v="Europe"/>
    <x v="10"/>
    <s v="Birmingham"/>
    <s v="Education"/>
    <s v="Online"/>
    <x v="14"/>
    <x v="3"/>
    <x v="577"/>
    <n v="1142.06"/>
    <n v="1455"/>
    <n v="1455"/>
    <n v="7.8E-2"/>
    <n v="28"/>
    <x v="578"/>
    <n v="31977.68"/>
    <n v="5584.5999999999985"/>
    <n v="0.1486757459877302"/>
    <d v="2023-02-28T00:00:00"/>
    <s v="Q3-2025"/>
    <s v="Europe → United Kingdom → Birmingham"/>
    <s v="Medium"/>
    <x v="26"/>
    <x v="0"/>
    <x v="26"/>
  </r>
  <r>
    <s v="ORD-2025-537785"/>
    <x v="263"/>
    <d v="2025-08-14T00:00:00"/>
    <n v="9"/>
    <s v="Europe"/>
    <x v="10"/>
    <s v="London"/>
    <s v="Non-Profit"/>
    <s v="Direct"/>
    <x v="6"/>
    <x v="1"/>
    <x v="578"/>
    <n v="41.76"/>
    <n v="45.19"/>
    <n v="45.19"/>
    <n v="0.17899999999999999"/>
    <n v="23"/>
    <x v="579"/>
    <n v="960.4799999999999"/>
    <n v="-107.15723000000003"/>
    <n v="-0.12557643340514638"/>
    <d v="2023-02-19T00:00:00"/>
    <s v="Q3-2025"/>
    <s v="Europe → United Kingdom → London"/>
    <s v="Low"/>
    <x v="27"/>
    <x v="0"/>
    <x v="27"/>
  </r>
  <r>
    <s v="ORD-2025-737787"/>
    <x v="408"/>
    <d v="2025-09-26T00:00:00"/>
    <n v="12"/>
    <s v="Europe"/>
    <x v="10"/>
    <s v="London"/>
    <s v="Small Business"/>
    <s v="Direct"/>
    <x v="1"/>
    <x v="4"/>
    <x v="579"/>
    <n v="425.15"/>
    <n v="885.92"/>
    <n v="885.92"/>
    <n v="0.23899999999999999"/>
    <n v="13"/>
    <x v="580"/>
    <n v="5526.95"/>
    <n v="3237.4565599999996"/>
    <n v="0.3693868532725848"/>
    <d v="2023-01-21T00:00:00"/>
    <s v="Q3-2025"/>
    <s v="Europe → United Kingdom → London"/>
    <s v="Medium"/>
    <x v="28"/>
    <x v="0"/>
    <x v="28"/>
  </r>
  <r>
    <s v="ORD-2023-382017"/>
    <x v="345"/>
    <d v="2023-01-19T00:00:00"/>
    <n v="6"/>
    <s v="Americas"/>
    <x v="11"/>
    <s v="Chicago"/>
    <s v="Corporate"/>
    <s v="Direct"/>
    <x v="15"/>
    <x v="2"/>
    <x v="580"/>
    <n v="833.57"/>
    <n v="881.57"/>
    <n v="881.57"/>
    <n v="5.7000000000000002E-2"/>
    <n v="18"/>
    <x v="581"/>
    <n v="15004.26"/>
    <n v="-40.490820000000895"/>
    <n v="-2.7059238560107821E-3"/>
    <d v="2025-09-11T00:00:00"/>
    <s v="Q1-2023"/>
    <s v="Americas → USA → Chicago"/>
    <s v="Medium"/>
    <x v="0"/>
    <x v="0"/>
    <x v="0"/>
  </r>
  <r>
    <s v="ORD-2023-521818"/>
    <x v="443"/>
    <d v="2023-01-30T00:00:00"/>
    <n v="8"/>
    <s v="Americas"/>
    <x v="11"/>
    <s v="San Francisco"/>
    <s v="Small Business"/>
    <s v="Online"/>
    <x v="4"/>
    <x v="4"/>
    <x v="581"/>
    <n v="413.52"/>
    <n v="1004.34"/>
    <n v="1004.34"/>
    <n v="0.111"/>
    <n v="18"/>
    <x v="582"/>
    <n v="7443.36"/>
    <n v="8628.0886800000007"/>
    <n v="0.53685817948304593"/>
    <d v="2025-08-30T00:00:00"/>
    <s v="Q1-2023"/>
    <s v="Americas → USA → San Francisco"/>
    <s v="Medium"/>
    <x v="0"/>
    <x v="0"/>
    <x v="0"/>
  </r>
  <r>
    <s v="ORD-2023-855675"/>
    <x v="444"/>
    <d v="2023-02-28T00:00:00"/>
    <n v="23"/>
    <s v="Americas"/>
    <x v="11"/>
    <s v="Austin"/>
    <s v="Non-Profit"/>
    <s v="Distributor"/>
    <x v="11"/>
    <x v="2"/>
    <x v="582"/>
    <n v="1214.49"/>
    <n v="1533.95"/>
    <n v="1533.95"/>
    <n v="0"/>
    <n v="11"/>
    <x v="583"/>
    <n v="13359.39"/>
    <n v="3514.0600000000013"/>
    <n v="0.20825972163369086"/>
    <d v="2025-09-02T00:00:00"/>
    <s v="Q1-2023"/>
    <s v="Americas → USA → Austin"/>
    <s v="Medium"/>
    <x v="1"/>
    <x v="0"/>
    <x v="1"/>
  </r>
  <r>
    <s v="ORD-2023-286994"/>
    <x v="445"/>
    <d v="2023-03-09T00:00:00"/>
    <n v="13"/>
    <s v="Americas"/>
    <x v="11"/>
    <s v="New York"/>
    <s v="Enterprise"/>
    <s v="Online"/>
    <x v="3"/>
    <x v="1"/>
    <x v="583"/>
    <n v="6.85"/>
    <n v="10.18"/>
    <n v="10.18"/>
    <n v="4.7E-2"/>
    <n v="10"/>
    <x v="584"/>
    <n v="68.5"/>
    <n v="28.5154"/>
    <n v="0.2939265312517394"/>
    <d v="2025-08-06T00:00:00"/>
    <s v="Q1-2023"/>
    <s v="Americas → USA → New York"/>
    <s v="Low"/>
    <x v="1"/>
    <x v="0"/>
    <x v="1"/>
  </r>
  <r>
    <s v="ORD-2023-619493"/>
    <x v="446"/>
    <d v="2023-02-27T00:00:00"/>
    <n v="1"/>
    <s v="Americas"/>
    <x v="11"/>
    <s v="San Francisco"/>
    <s v="Non-Profit"/>
    <s v="Online"/>
    <x v="11"/>
    <x v="4"/>
    <x v="584"/>
    <n v="1015.91"/>
    <n v="2331.48"/>
    <n v="2331.48"/>
    <n v="0.14599999999999999"/>
    <n v="26"/>
    <x v="585"/>
    <n v="26413.66"/>
    <n v="25354.521920000003"/>
    <n v="0.48977037592669626"/>
    <d v="2025-08-01T00:00:00"/>
    <s v="Q1-2023"/>
    <s v="Americas → USA → San Francisco"/>
    <s v="High"/>
    <x v="1"/>
    <x v="0"/>
    <x v="1"/>
  </r>
  <r>
    <s v="ORD-2023-766015"/>
    <x v="447"/>
    <d v="2023-04-13T00:00:00"/>
    <n v="2"/>
    <s v="Americas"/>
    <x v="11"/>
    <s v="San Francisco"/>
    <s v="Education"/>
    <s v="Marketplace"/>
    <x v="2"/>
    <x v="4"/>
    <x v="585"/>
    <n v="32.1"/>
    <n v="70.599999999999994"/>
    <n v="70.599999999999994"/>
    <n v="0.28199999999999997"/>
    <n v="22"/>
    <x v="586"/>
    <n v="706.2"/>
    <n v="408.99759999999969"/>
    <n v="0.36674899587301818"/>
    <d v="2025-06-15T00:00:00"/>
    <s v="Q2-2023"/>
    <s v="Americas → USA → San Francisco"/>
    <s v="Low"/>
    <x v="3"/>
    <x v="0"/>
    <x v="3"/>
  </r>
  <r>
    <s v="ORD-2023-664790"/>
    <x v="198"/>
    <d v="2023-04-23T00:00:00"/>
    <n v="7"/>
    <s v="Americas"/>
    <x v="11"/>
    <s v="Austin"/>
    <s v="Corporate"/>
    <s v="Distributor"/>
    <x v="13"/>
    <x v="3"/>
    <x v="586"/>
    <n v="1099.1500000000001"/>
    <n v="1431.37"/>
    <n v="1431.37"/>
    <n v="0.104"/>
    <n v="8"/>
    <x v="587"/>
    <n v="8793.2000000000007"/>
    <n v="1466.8601599999984"/>
    <n v="0.14296798821109433"/>
    <d v="2025-07-03T00:00:00"/>
    <s v="Q2-2023"/>
    <s v="Americas → USA → Austin"/>
    <s v="Medium"/>
    <x v="3"/>
    <x v="0"/>
    <x v="3"/>
  </r>
  <r>
    <s v="ORD-2023-378676"/>
    <x v="448"/>
    <d v="2023-05-16T00:00:00"/>
    <n v="13"/>
    <s v="Americas"/>
    <x v="11"/>
    <s v="New York"/>
    <s v="Corporate"/>
    <s v="Marketplace"/>
    <x v="11"/>
    <x v="2"/>
    <x v="587"/>
    <n v="64.5"/>
    <n v="123.62"/>
    <n v="123.62"/>
    <n v="0"/>
    <n v="3"/>
    <x v="588"/>
    <n v="193.5"/>
    <n v="177.36"/>
    <n v="0.47823976702798904"/>
    <d v="2025-06-01T00:00:00"/>
    <s v="Q2-2023"/>
    <s v="Americas → USA → New York"/>
    <s v="Low"/>
    <x v="4"/>
    <x v="0"/>
    <x v="4"/>
  </r>
  <r>
    <s v="ORD-2023-177794"/>
    <x v="349"/>
    <d v="2023-05-26T00:00:00"/>
    <n v="22"/>
    <s v="Americas"/>
    <x v="11"/>
    <s v="San Francisco"/>
    <s v="Enterprise"/>
    <s v="Online"/>
    <x v="9"/>
    <x v="4"/>
    <x v="588"/>
    <n v="249.71"/>
    <n v="361.33"/>
    <n v="361.33"/>
    <n v="9.4E-2"/>
    <n v="12"/>
    <x v="589"/>
    <n v="2996.52"/>
    <n v="931.85976000000028"/>
    <n v="0.23721223937881206"/>
    <d v="2025-06-01T00:00:00"/>
    <s v="Q2-2023"/>
    <s v="Americas → USA → San Francisco"/>
    <s v="Low"/>
    <x v="4"/>
    <x v="0"/>
    <x v="4"/>
  </r>
  <r>
    <s v="ORD-2023-172095"/>
    <x v="449"/>
    <d v="2023-06-21T00:00:00"/>
    <n v="28"/>
    <s v="Americas"/>
    <x v="11"/>
    <s v="Austin"/>
    <s v="Small Business"/>
    <s v="Marketplace"/>
    <x v="2"/>
    <x v="0"/>
    <x v="589"/>
    <n v="813.97"/>
    <n v="1568.83"/>
    <n v="1568.83"/>
    <n v="1.7000000000000001E-2"/>
    <n v="15"/>
    <x v="590"/>
    <n v="12209.550000000001"/>
    <n v="10922.848349999995"/>
    <n v="0.4721883215364911"/>
    <d v="2025-05-07T00:00:00"/>
    <s v="Q2-2023"/>
    <s v="Americas → USA → Austin"/>
    <s v="Medium"/>
    <x v="4"/>
    <x v="0"/>
    <x v="4"/>
  </r>
  <r>
    <s v="ORD-2023-715175"/>
    <x v="416"/>
    <d v="2023-06-23T00:00:00"/>
    <n v="8"/>
    <s v="Americas"/>
    <x v="11"/>
    <s v="San Francisco"/>
    <s v="Consumer"/>
    <s v="Distributor"/>
    <x v="13"/>
    <x v="0"/>
    <x v="590"/>
    <n v="1097.0899999999999"/>
    <n v="2182.31"/>
    <n v="2182.31"/>
    <n v="0.112"/>
    <n v="9"/>
    <x v="591"/>
    <n v="9873.81"/>
    <n v="7567.2115200000026"/>
    <n v="0.43387432962699546"/>
    <d v="2025-03-30T00:00:00"/>
    <s v="Q2-2023"/>
    <s v="Americas → USA → San Francisco"/>
    <s v="High"/>
    <x v="5"/>
    <x v="0"/>
    <x v="5"/>
  </r>
  <r>
    <s v="ORD-2023-651638"/>
    <x v="450"/>
    <d v="2023-06-24T00:00:00"/>
    <n v="7"/>
    <s v="Americas"/>
    <x v="11"/>
    <s v="San Francisco"/>
    <s v="Corporate"/>
    <s v="Retail"/>
    <x v="14"/>
    <x v="3"/>
    <x v="591"/>
    <n v="313.99"/>
    <n v="454.42"/>
    <n v="454.42"/>
    <n v="0.129"/>
    <n v="9"/>
    <x v="592"/>
    <n v="2825.91"/>
    <n v="736.28838000000042"/>
    <n v="0.20669493988147858"/>
    <d v="2025-04-01T00:00:00"/>
    <s v="Q2-2023"/>
    <s v="Americas → USA → San Francisco"/>
    <s v="Low"/>
    <x v="5"/>
    <x v="0"/>
    <x v="5"/>
  </r>
  <r>
    <s v="ORD-2023-602648"/>
    <x v="6"/>
    <d v="2023-07-08T00:00:00"/>
    <n v="18"/>
    <s v="Americas"/>
    <x v="11"/>
    <s v="Austin"/>
    <s v="Non-Profit"/>
    <s v="Direct"/>
    <x v="8"/>
    <x v="0"/>
    <x v="592"/>
    <n v="337"/>
    <n v="511.03"/>
    <n v="511.03"/>
    <n v="0.108"/>
    <n v="7"/>
    <x v="593"/>
    <n v="2359"/>
    <n v="831.8713200000002"/>
    <n v="0.26070349963219458"/>
    <d v="2025-04-22T00:00:00"/>
    <s v="Q2-2023"/>
    <s v="Americas → USA → Austin"/>
    <s v="Low"/>
    <x v="5"/>
    <x v="0"/>
    <x v="5"/>
  </r>
  <r>
    <s v="ORD-2023-594955"/>
    <x v="6"/>
    <d v="2023-07-08T00:00:00"/>
    <n v="18"/>
    <s v="Americas"/>
    <x v="11"/>
    <s v="New York"/>
    <s v="Consumer"/>
    <s v="Marketplace"/>
    <x v="13"/>
    <x v="4"/>
    <x v="593"/>
    <n v="1145.53"/>
    <n v="1278.3"/>
    <n v="1278.3"/>
    <n v="0.09"/>
    <n v="41"/>
    <x v="594"/>
    <n v="46966.729999999996"/>
    <n v="726.64300000000367"/>
    <n v="1.5235722581416158E-2"/>
    <d v="2025-04-10T00:00:00"/>
    <s v="Q2-2023"/>
    <s v="Americas → USA → New York"/>
    <s v="Medium"/>
    <x v="5"/>
    <x v="0"/>
    <x v="5"/>
  </r>
  <r>
    <s v="ORD-2023-912395"/>
    <x v="451"/>
    <d v="2023-08-25T00:00:00"/>
    <n v="30"/>
    <s v="Americas"/>
    <x v="11"/>
    <s v="New York"/>
    <s v="Consumer"/>
    <s v="Retail"/>
    <x v="3"/>
    <x v="5"/>
    <x v="594"/>
    <n v="1261.48"/>
    <n v="1643.18"/>
    <n v="1643.18"/>
    <n v="0.151"/>
    <n v="23"/>
    <x v="595"/>
    <n v="29014.04"/>
    <n v="3072.3358599999992"/>
    <n v="9.5752037357079045E-2"/>
    <d v="2025-03-08T00:00:00"/>
    <s v="Q3-2023"/>
    <s v="Americas → USA → New York"/>
    <s v="High"/>
    <x v="6"/>
    <x v="0"/>
    <x v="6"/>
  </r>
  <r>
    <s v="ORD-2023-133848"/>
    <x v="314"/>
    <d v="2023-09-07T00:00:00"/>
    <n v="23"/>
    <s v="Americas"/>
    <x v="11"/>
    <s v="New York"/>
    <s v="Enterprise"/>
    <s v="Online"/>
    <x v="12"/>
    <x v="2"/>
    <x v="595"/>
    <n v="590.33000000000004"/>
    <n v="973.04"/>
    <n v="973.04"/>
    <n v="0"/>
    <n v="26"/>
    <x v="596"/>
    <n v="15348.580000000002"/>
    <n v="9950.4599999999991"/>
    <n v="0.39331373838691108"/>
    <d v="2025-01-21T00:00:00"/>
    <s v="Q3-2023"/>
    <s v="Americas → USA → New York"/>
    <s v="Medium"/>
    <x v="7"/>
    <x v="0"/>
    <x v="7"/>
  </r>
  <r>
    <s v="ORD-2023-132101"/>
    <x v="452"/>
    <d v="2023-10-09T00:00:00"/>
    <n v="14"/>
    <s v="Americas"/>
    <x v="11"/>
    <s v="New York"/>
    <s v="Small Business"/>
    <s v="Marketplace"/>
    <x v="9"/>
    <x v="6"/>
    <x v="596"/>
    <n v="1279.56"/>
    <n v="3083.8"/>
    <n v="3083.8"/>
    <n v="0.106"/>
    <n v="5"/>
    <x v="597"/>
    <n v="6397.7999999999993"/>
    <n v="7386.7860000000019"/>
    <n v="0.53587289455047848"/>
    <d v="2024-12-14T00:00:00"/>
    <s v="Q3-2023"/>
    <s v="Americas → USA → New York"/>
    <s v="High"/>
    <x v="8"/>
    <x v="0"/>
    <x v="8"/>
  </r>
  <r>
    <s v="ORD-2023-271918"/>
    <x v="452"/>
    <d v="2023-10-02T00:00:00"/>
    <n v="7"/>
    <s v="Americas"/>
    <x v="11"/>
    <s v="New York"/>
    <s v="Education"/>
    <s v="Marketplace"/>
    <x v="14"/>
    <x v="5"/>
    <x v="597"/>
    <n v="145.58000000000001"/>
    <n v="228.15"/>
    <n v="228.15"/>
    <n v="0.20399999999999999"/>
    <n v="5"/>
    <x v="598"/>
    <n v="727.90000000000009"/>
    <n v="180.13699999999994"/>
    <n v="0.19838068272548359"/>
    <d v="2024-12-23T00:00:00"/>
    <s v="Q3-2023"/>
    <s v="Americas → USA → New York"/>
    <s v="Low"/>
    <x v="8"/>
    <x v="0"/>
    <x v="8"/>
  </r>
  <r>
    <s v="ORD-2023-302041"/>
    <x v="453"/>
    <d v="2023-10-29T00:00:00"/>
    <n v="25"/>
    <s v="Americas"/>
    <x v="11"/>
    <s v="San Francisco"/>
    <s v="Small Business"/>
    <s v="Distributor"/>
    <x v="13"/>
    <x v="5"/>
    <x v="598"/>
    <n v="1239.8399999999999"/>
    <n v="1482.75"/>
    <n v="1482.75"/>
    <n v="6.7000000000000004E-2"/>
    <n v="4"/>
    <x v="599"/>
    <n v="4959.3599999999997"/>
    <n v="574.26300000000083"/>
    <n v="0.10377703721413634"/>
    <d v="2025-01-04T00:00:00"/>
    <s v="Q4-2023"/>
    <s v="Americas → USA → San Francisco"/>
    <s v="Medium"/>
    <x v="9"/>
    <x v="0"/>
    <x v="9"/>
  </r>
  <r>
    <s v="ORD-2024-719055"/>
    <x v="424"/>
    <d v="2024-01-02T00:00:00"/>
    <n v="1"/>
    <s v="Americas"/>
    <x v="11"/>
    <s v="Chicago"/>
    <s v="Education"/>
    <s v="Marketplace"/>
    <x v="7"/>
    <x v="4"/>
    <x v="599"/>
    <n v="404.77"/>
    <n v="433.88"/>
    <n v="433.88"/>
    <n v="0.215"/>
    <n v="22"/>
    <x v="600"/>
    <n v="8904.9399999999987"/>
    <n v="-1411.8323999999975"/>
    <n v="-0.18841747314558746"/>
    <d v="2024-09-23T00:00:00"/>
    <s v="Q1-2024"/>
    <s v="Americas → USA → Chicago"/>
    <s v="Low"/>
    <x v="12"/>
    <x v="0"/>
    <x v="12"/>
  </r>
  <r>
    <s v="ORD-2024-999607"/>
    <x v="243"/>
    <d v="2024-01-29T00:00:00"/>
    <n v="17"/>
    <s v="Americas"/>
    <x v="11"/>
    <s v="Chicago"/>
    <s v="Education"/>
    <s v="Distributor"/>
    <x v="4"/>
    <x v="3"/>
    <x v="600"/>
    <n v="493.76"/>
    <n v="625.04"/>
    <n v="625.04"/>
    <n v="0.25800000000000001"/>
    <n v="10"/>
    <x v="601"/>
    <n v="4937.6000000000004"/>
    <n v="-299.80320000000029"/>
    <n v="-6.464345311549663E-2"/>
    <d v="2024-09-06T00:00:00"/>
    <s v="Q1-2024"/>
    <s v="Americas → USA → Chicago"/>
    <s v="Low"/>
    <x v="12"/>
    <x v="0"/>
    <x v="12"/>
  </r>
  <r>
    <s v="ORD-2024-206311"/>
    <x v="205"/>
    <d v="2024-01-15T00:00:00"/>
    <n v="2"/>
    <s v="Americas"/>
    <x v="11"/>
    <s v="San Francisco"/>
    <s v="Non-Profit"/>
    <s v="Direct"/>
    <x v="6"/>
    <x v="1"/>
    <x v="601"/>
    <n v="1061.3699999999999"/>
    <n v="1938.33"/>
    <n v="1938.33"/>
    <n v="0.17"/>
    <n v="4"/>
    <x v="602"/>
    <n v="4245.4799999999996"/>
    <n v="2189.7755999999999"/>
    <n v="0.34027795259600879"/>
    <d v="2024-09-22T00:00:00"/>
    <s v="Q1-2024"/>
    <s v="Americas → USA → San Francisco"/>
    <s v="High"/>
    <x v="12"/>
    <x v="0"/>
    <x v="12"/>
  </r>
  <r>
    <s v="ORD-2024-331408"/>
    <x v="160"/>
    <d v="2024-02-01T00:00:00"/>
    <n v="0"/>
    <s v="Americas"/>
    <x v="11"/>
    <s v="Austin"/>
    <s v="Consumer"/>
    <s v="Distributor"/>
    <x v="15"/>
    <x v="3"/>
    <x v="602"/>
    <n v="714.43"/>
    <n v="1595.52"/>
    <n v="1595.52"/>
    <n v="0.19400000000000001"/>
    <n v="14"/>
    <x v="603"/>
    <n v="10002.019999999999"/>
    <n v="8001.8276800000003"/>
    <n v="0.44445097638151093"/>
    <d v="2024-09-07T00:00:00"/>
    <s v="Q1-2024"/>
    <s v="Americas → USA → Austin"/>
    <s v="Medium"/>
    <x v="13"/>
    <x v="0"/>
    <x v="13"/>
  </r>
  <r>
    <s v="ORD-2024-437164"/>
    <x v="454"/>
    <d v="2024-02-20T00:00:00"/>
    <n v="0"/>
    <s v="Americas"/>
    <x v="11"/>
    <s v="New York"/>
    <s v="Enterprise"/>
    <s v="Online"/>
    <x v="5"/>
    <x v="4"/>
    <x v="603"/>
    <n v="1407.05"/>
    <n v="2858.93"/>
    <n v="2858.93"/>
    <n v="0"/>
    <n v="12"/>
    <x v="604"/>
    <n v="16884.599999999999"/>
    <n v="17422.559999999998"/>
    <n v="0.50784034586366222"/>
    <d v="2024-08-08T00:00:00"/>
    <s v="Q1-2024"/>
    <s v="Americas → USA → New York"/>
    <s v="High"/>
    <x v="13"/>
    <x v="0"/>
    <x v="13"/>
  </r>
  <r>
    <s v="ORD-2024-961501"/>
    <x v="75"/>
    <d v="2024-03-23T00:00:00"/>
    <n v="21"/>
    <s v="Americas"/>
    <x v="11"/>
    <s v="Chicago"/>
    <s v="Small Business"/>
    <s v="Online"/>
    <x v="8"/>
    <x v="1"/>
    <x v="604"/>
    <n v="225.01"/>
    <n v="333.48"/>
    <n v="333.48"/>
    <n v="0.11899999999999999"/>
    <n v="12"/>
    <x v="605"/>
    <n v="2700.12"/>
    <n v="825.43056000000024"/>
    <n v="0.23412813004729685"/>
    <d v="2024-07-31T00:00:00"/>
    <s v="Q1-2024"/>
    <s v="Americas → USA → Chicago"/>
    <s v="Low"/>
    <x v="29"/>
    <x v="0"/>
    <x v="29"/>
  </r>
  <r>
    <s v="ORD-2024-251426"/>
    <x v="119"/>
    <d v="2024-03-26T00:00:00"/>
    <n v="17"/>
    <s v="Americas"/>
    <x v="11"/>
    <s v="San Francisco"/>
    <s v="Education"/>
    <s v="Direct"/>
    <x v="14"/>
    <x v="2"/>
    <x v="605"/>
    <n v="1137.4100000000001"/>
    <n v="1680.93"/>
    <n v="1680.93"/>
    <n v="0.254"/>
    <n v="9"/>
    <x v="606"/>
    <n v="10236.69"/>
    <n v="1049.07402"/>
    <n v="9.2955516183121464E-2"/>
    <d v="2024-07-11T00:00:00"/>
    <s v="Q1-2024"/>
    <s v="Americas → USA → San Francisco"/>
    <s v="High"/>
    <x v="29"/>
    <x v="0"/>
    <x v="29"/>
  </r>
  <r>
    <s v="ORD-2024-687073"/>
    <x v="321"/>
    <d v="2024-03-29T00:00:00"/>
    <n v="18"/>
    <s v="Americas"/>
    <x v="11"/>
    <s v="New York"/>
    <s v="Corporate"/>
    <s v="Retail"/>
    <x v="3"/>
    <x v="0"/>
    <x v="606"/>
    <n v="710.98"/>
    <n v="1481.45"/>
    <n v="1481.45"/>
    <n v="0.21099999999999999"/>
    <n v="9"/>
    <x v="607"/>
    <n v="6398.82"/>
    <n v="4120.9564500000015"/>
    <n v="0.39173422264120461"/>
    <d v="2024-07-19T00:00:00"/>
    <s v="Q1-2024"/>
    <s v="Americas → USA → New York"/>
    <s v="Medium"/>
    <x v="29"/>
    <x v="0"/>
    <x v="29"/>
  </r>
  <r>
    <s v="ORD-2024-207096"/>
    <x v="455"/>
    <d v="2024-04-05T00:00:00"/>
    <n v="10"/>
    <s v="Americas"/>
    <x v="11"/>
    <s v="Austin"/>
    <s v="Consumer"/>
    <s v="Direct"/>
    <x v="9"/>
    <x v="0"/>
    <x v="607"/>
    <n v="5.66"/>
    <n v="4.22"/>
    <n v="4.22"/>
    <n v="0.11899999999999999"/>
    <n v="18"/>
    <x v="608"/>
    <n v="101.88"/>
    <n v="-34.959239999999994"/>
    <n v="-0.52239753403876454"/>
    <d v="2024-06-09T00:00:00"/>
    <s v="Q1-2024"/>
    <s v="Americas → USA → Austin"/>
    <s v="Low"/>
    <x v="29"/>
    <x v="0"/>
    <x v="29"/>
  </r>
  <r>
    <s v="ORD-2024-948800"/>
    <x v="456"/>
    <d v="2024-04-11T00:00:00"/>
    <n v="15"/>
    <s v="Americas"/>
    <x v="11"/>
    <s v="San Francisco"/>
    <s v="Small Business"/>
    <s v="Direct"/>
    <x v="13"/>
    <x v="4"/>
    <x v="608"/>
    <n v="1338.35"/>
    <n v="2247.14"/>
    <n v="2247.14"/>
    <n v="0.115"/>
    <n v="40"/>
    <x v="609"/>
    <n v="53534"/>
    <n v="26014.755999999994"/>
    <n v="0.32702907384246205"/>
    <d v="2024-06-15T00:00:00"/>
    <s v="Q1-2024"/>
    <s v="Americas → USA → San Francisco"/>
    <s v="High"/>
    <x v="29"/>
    <x v="0"/>
    <x v="29"/>
  </r>
  <r>
    <s v="ORD-2024-897622"/>
    <x v="457"/>
    <d v="2024-04-24T00:00:00"/>
    <n v="25"/>
    <s v="Americas"/>
    <x v="11"/>
    <s v="Austin"/>
    <s v="Non-Profit"/>
    <s v="Online"/>
    <x v="2"/>
    <x v="6"/>
    <x v="609"/>
    <n v="160.82"/>
    <n v="258.52"/>
    <n v="258.52"/>
    <n v="0.13"/>
    <n v="17"/>
    <x v="610"/>
    <n v="2733.94"/>
    <n v="1089.5708"/>
    <n v="0.28496605789631874"/>
    <d v="2024-06-16T00:00:00"/>
    <s v="Q1-2024"/>
    <s v="Americas → USA → Austin"/>
    <s v="Low"/>
    <x v="29"/>
    <x v="0"/>
    <x v="29"/>
  </r>
  <r>
    <s v="ORD-2024-690270"/>
    <x v="458"/>
    <d v="2024-05-27T00:00:00"/>
    <n v="10"/>
    <s v="Americas"/>
    <x v="11"/>
    <s v="Austin"/>
    <s v="Non-Profit"/>
    <s v="Online"/>
    <x v="5"/>
    <x v="2"/>
    <x v="610"/>
    <n v="1484.23"/>
    <n v="3472.81"/>
    <n v="3472.81"/>
    <n v="0.25600000000000001"/>
    <n v="12"/>
    <x v="611"/>
    <n v="17810.760000000002"/>
    <n v="13194.487679999998"/>
    <n v="0.42555659661803413"/>
    <d v="2024-05-23T00:00:00"/>
    <s v="Q2-2024"/>
    <s v="Americas → USA → Austin"/>
    <s v="High"/>
    <x v="15"/>
    <x v="0"/>
    <x v="15"/>
  </r>
  <r>
    <s v="ORD-2024-500109"/>
    <x v="166"/>
    <d v="2024-05-23T00:00:00"/>
    <n v="5"/>
    <s v="Americas"/>
    <x v="11"/>
    <s v="Chicago"/>
    <s v="Enterprise"/>
    <s v="Retail"/>
    <x v="15"/>
    <x v="6"/>
    <x v="611"/>
    <n v="1274.5899999999999"/>
    <n v="2553.69"/>
    <n v="2553.69"/>
    <n v="0.01"/>
    <n v="8"/>
    <x v="612"/>
    <n v="10196.719999999999"/>
    <n v="10028.504800000001"/>
    <n v="0.49584145042481803"/>
    <d v="2024-05-20T00:00:00"/>
    <s v="Q2-2024"/>
    <s v="Americas → USA → Chicago"/>
    <s v="High"/>
    <x v="15"/>
    <x v="0"/>
    <x v="15"/>
  </r>
  <r>
    <s v="ORD-2024-605518"/>
    <x v="459"/>
    <d v="2024-06-13T00:00:00"/>
    <n v="14"/>
    <s v="Americas"/>
    <x v="11"/>
    <s v="San Francisco"/>
    <s v="Small Business"/>
    <s v="Retail"/>
    <x v="8"/>
    <x v="2"/>
    <x v="612"/>
    <n v="157.78"/>
    <n v="361.1"/>
    <n v="361.1"/>
    <n v="0.187"/>
    <n v="9"/>
    <x v="613"/>
    <n v="1420.02"/>
    <n v="1222.1486999999997"/>
    <n v="0.46255513510549112"/>
    <d v="2024-05-05T00:00:00"/>
    <s v="Q2-2024"/>
    <s v="Americas → USA → San Francisco"/>
    <s v="Low"/>
    <x v="15"/>
    <x v="0"/>
    <x v="15"/>
  </r>
  <r>
    <s v="ORD-2024-301260"/>
    <x v="460"/>
    <d v="2024-07-31T00:00:00"/>
    <n v="2"/>
    <s v="Americas"/>
    <x v="11"/>
    <s v="New York"/>
    <s v="Education"/>
    <s v="Marketplace"/>
    <x v="14"/>
    <x v="3"/>
    <x v="613"/>
    <n v="798.97"/>
    <n v="1814.06"/>
    <n v="1814.06"/>
    <n v="0.122"/>
    <n v="16"/>
    <x v="614"/>
    <n v="12783.52"/>
    <n v="12700.39488"/>
    <n v="0.49836906691159061"/>
    <d v="2024-03-18T00:00:00"/>
    <s v="Q3-2024"/>
    <s v="Americas → USA → New York"/>
    <s v="High"/>
    <x v="17"/>
    <x v="0"/>
    <x v="17"/>
  </r>
  <r>
    <s v="ORD-2024-433936"/>
    <x v="461"/>
    <d v="2024-08-17T00:00:00"/>
    <n v="13"/>
    <s v="Americas"/>
    <x v="11"/>
    <s v="Austin"/>
    <s v="Consumer"/>
    <s v="Retail"/>
    <x v="0"/>
    <x v="0"/>
    <x v="614"/>
    <n v="352.79"/>
    <n v="754.22"/>
    <n v="754.22"/>
    <n v="0.113"/>
    <n v="7"/>
    <x v="615"/>
    <n v="2469.5300000000002"/>
    <n v="2213.4219799999996"/>
    <n v="0.47265528014233443"/>
    <d v="2024-03-02T00:00:00"/>
    <s v="Q3-2024"/>
    <s v="Americas → USA → Austin"/>
    <s v="Low"/>
    <x v="18"/>
    <x v="0"/>
    <x v="18"/>
  </r>
  <r>
    <s v="ORD-2024-212990"/>
    <x v="462"/>
    <d v="2024-09-03T00:00:00"/>
    <n v="22"/>
    <s v="Americas"/>
    <x v="11"/>
    <s v="Austin"/>
    <s v="Consumer"/>
    <s v="Distributor"/>
    <x v="14"/>
    <x v="6"/>
    <x v="615"/>
    <n v="797.8"/>
    <n v="886.22"/>
    <n v="886.22"/>
    <n v="0.23599999999999999"/>
    <n v="36"/>
    <x v="616"/>
    <n v="28720.799999999999"/>
    <n v="-4346.2051199999987"/>
    <n v="-0.17830881462428633"/>
    <d v="2024-02-18T00:00:00"/>
    <s v="Q3-2024"/>
    <s v="Americas → USA → Austin"/>
    <s v="Medium"/>
    <x v="18"/>
    <x v="0"/>
    <x v="18"/>
  </r>
  <r>
    <s v="ORD-2024-626750"/>
    <x v="462"/>
    <d v="2024-08-15T00:00:00"/>
    <n v="3"/>
    <s v="Americas"/>
    <x v="11"/>
    <s v="Chicago"/>
    <s v="Corporate"/>
    <s v="Marketplace"/>
    <x v="0"/>
    <x v="3"/>
    <x v="616"/>
    <n v="850.7"/>
    <n v="1118.56"/>
    <n v="1118.56"/>
    <n v="0.18"/>
    <n v="19"/>
    <x v="617"/>
    <n v="16163.300000000001"/>
    <n v="1263.8648000000012"/>
    <n v="7.2522685962090688E-2"/>
    <d v="2024-02-17T00:00:00"/>
    <s v="Q3-2024"/>
    <s v="Americas → USA → Chicago"/>
    <s v="Medium"/>
    <x v="18"/>
    <x v="0"/>
    <x v="18"/>
  </r>
  <r>
    <s v="ORD-2024-353078"/>
    <x v="463"/>
    <d v="2024-08-26T00:00:00"/>
    <n v="10"/>
    <s v="Americas"/>
    <x v="11"/>
    <s v="Chicago"/>
    <s v="Corporate"/>
    <s v="Distributor"/>
    <x v="11"/>
    <x v="6"/>
    <x v="119"/>
    <n v="1291.7"/>
    <n v="2657.84"/>
    <n v="2657.84"/>
    <n v="8.6999999999999994E-2"/>
    <n v="21"/>
    <x v="618"/>
    <n v="27125.7"/>
    <n v="23833.066320000002"/>
    <n v="0.46769315745083367"/>
    <d v="2024-02-11T00:00:00"/>
    <s v="Q3-2024"/>
    <s v="Americas → USA → Chicago"/>
    <s v="High"/>
    <x v="18"/>
    <x v="0"/>
    <x v="18"/>
  </r>
  <r>
    <s v="ORD-2024-664046"/>
    <x v="464"/>
    <d v="2024-09-08T00:00:00"/>
    <n v="6"/>
    <s v="Americas"/>
    <x v="11"/>
    <s v="Austin"/>
    <s v="Consumer"/>
    <s v="Direct"/>
    <x v="15"/>
    <x v="1"/>
    <x v="617"/>
    <n v="462.94"/>
    <n v="1015.7"/>
    <n v="1015.7"/>
    <n v="0.14299999999999999"/>
    <n v="14"/>
    <x v="619"/>
    <n v="6481.16"/>
    <n v="5705.2086000000018"/>
    <n v="0.46816314090483041"/>
    <d v="2024-01-28T00:00:00"/>
    <s v="Q3-2024"/>
    <s v="Americas → USA → Austin"/>
    <s v="Medium"/>
    <x v="19"/>
    <x v="0"/>
    <x v="19"/>
  </r>
  <r>
    <s v="ORD-2024-741404"/>
    <x v="465"/>
    <d v="2024-11-06T00:00:00"/>
    <n v="18"/>
    <s v="Americas"/>
    <x v="11"/>
    <s v="Chicago"/>
    <s v="Education"/>
    <m/>
    <x v="5"/>
    <x v="0"/>
    <x v="618"/>
    <n v="942.02"/>
    <n v="1028.46"/>
    <n v="1028.46"/>
    <n v="0"/>
    <n v="9"/>
    <x v="620"/>
    <n v="8478.18"/>
    <n v="777.95999999999913"/>
    <n v="8.4047994088248354E-2"/>
    <d v="2023-12-07T00:00:00"/>
    <s v="Q4-2024"/>
    <s v="Americas → USA → Chicago"/>
    <s v="Medium"/>
    <x v="32"/>
    <x v="0"/>
    <x v="32"/>
  </r>
  <r>
    <s v="ORD-2024-250862"/>
    <x v="332"/>
    <d v="2024-11-05T00:00:00"/>
    <n v="11"/>
    <s v="Americas"/>
    <x v="11"/>
    <s v="New York"/>
    <s v="Corporate"/>
    <s v="Distributor"/>
    <x v="1"/>
    <x v="1"/>
    <x v="619"/>
    <n v="446.66"/>
    <n v="527.64"/>
    <n v="527.64"/>
    <n v="0.14499999999999999"/>
    <n v="15"/>
    <x v="621"/>
    <n v="6699.9000000000005"/>
    <n v="67.082999999998719"/>
    <n v="9.9132804087137105E-3"/>
    <d v="2023-12-03T00:00:00"/>
    <s v="Q4-2024"/>
    <s v="Americas → USA → New York"/>
    <s v="Low"/>
    <x v="32"/>
    <x v="0"/>
    <x v="32"/>
  </r>
  <r>
    <s v="ORD-2024-164288"/>
    <x v="466"/>
    <d v="2024-12-26T00:00:00"/>
    <n v="5"/>
    <s v="Americas"/>
    <x v="11"/>
    <s v="San Francisco"/>
    <s v="Consumer"/>
    <s v="Marketplace"/>
    <x v="3"/>
    <x v="3"/>
    <x v="620"/>
    <n v="699.57"/>
    <n v="572.71"/>
    <n v="572.71"/>
    <n v="0.192"/>
    <n v="26"/>
    <x v="622"/>
    <n v="18188.82"/>
    <n v="-6157.3283199999987"/>
    <n v="-0.51176765805651114"/>
    <d v="2023-09-21T00:00:00"/>
    <s v="Q4-2024"/>
    <s v="Americas → USA → San Francisco"/>
    <s v="Low"/>
    <x v="30"/>
    <x v="0"/>
    <x v="30"/>
  </r>
  <r>
    <s v="ORD-2025-653781"/>
    <x v="467"/>
    <d v="2025-01-23T00:00:00"/>
    <n v="12"/>
    <s v="Americas"/>
    <x v="11"/>
    <s v="Austin"/>
    <s v="Consumer"/>
    <s v="Distributor"/>
    <x v="15"/>
    <x v="2"/>
    <x v="621"/>
    <n v="100.69"/>
    <n v="226.14"/>
    <n v="226.14"/>
    <n v="6.5000000000000002E-2"/>
    <n v="12"/>
    <x v="623"/>
    <n v="1208.28"/>
    <n v="1329.0108000000002"/>
    <n v="0.52379128162999689"/>
    <d v="2023-08-25T00:00:00"/>
    <s v="Q1-2025"/>
    <s v="Americas → USA → Austin"/>
    <s v="Low"/>
    <x v="21"/>
    <x v="0"/>
    <x v="21"/>
  </r>
  <r>
    <s v="ORD-2025-649239"/>
    <x v="468"/>
    <d v="2025-01-24T00:00:00"/>
    <n v="7"/>
    <s v="Americas"/>
    <x v="11"/>
    <s v="Austin"/>
    <s v="Enterprise"/>
    <s v="Online"/>
    <x v="2"/>
    <x v="5"/>
    <x v="622"/>
    <n v="142.09"/>
    <n v="218.5"/>
    <n v="218.5"/>
    <n v="0.11899999999999999"/>
    <n v="11"/>
    <x v="624"/>
    <n v="1562.99"/>
    <n v="554.49349999999981"/>
    <n v="0.26186437816398561"/>
    <d v="2023-08-29T00:00:00"/>
    <s v="Q1-2025"/>
    <s v="Americas → USA → Austin"/>
    <s v="Low"/>
    <x v="21"/>
    <x v="0"/>
    <x v="21"/>
  </r>
  <r>
    <s v="ORD-2025-276968"/>
    <x v="469"/>
    <d v="2025-03-17T00:00:00"/>
    <n v="20"/>
    <s v="Americas"/>
    <x v="11"/>
    <s v="San Francisco"/>
    <s v="Non-Profit"/>
    <s v="Marketplace"/>
    <x v="15"/>
    <x v="2"/>
    <x v="623"/>
    <n v="1205.26"/>
    <n v="1696.35"/>
    <n v="1696.35"/>
    <n v="1.9E-2"/>
    <n v="6"/>
    <x v="625"/>
    <n v="7231.5599999999995"/>
    <n v="2753.1560999999983"/>
    <n v="0.27573704374028213"/>
    <d v="2023-07-16T00:00:00"/>
    <s v="Q1-2025"/>
    <s v="Americas → USA → San Francisco"/>
    <s v="High"/>
    <x v="22"/>
    <x v="0"/>
    <x v="22"/>
  </r>
  <r>
    <s v="ORD-2025-861401"/>
    <x v="470"/>
    <d v="2025-04-27T00:00:00"/>
    <n v="26"/>
    <s v="Americas"/>
    <x v="11"/>
    <s v="San Francisco"/>
    <s v="Corporate"/>
    <s v="Direct"/>
    <x v="14"/>
    <x v="0"/>
    <x v="624"/>
    <n v="156.55000000000001"/>
    <n v="227.45"/>
    <n v="227.45"/>
    <n v="1.4E-2"/>
    <n v="13"/>
    <x v="626"/>
    <n v="2035.15"/>
    <n v="880.30409999999983"/>
    <n v="0.3019440779396938"/>
    <d v="2023-07-01T00:00:00"/>
    <s v="Q2-2025"/>
    <s v="Americas → USA → San Francisco"/>
    <s v="Low"/>
    <x v="24"/>
    <x v="0"/>
    <x v="24"/>
  </r>
  <r>
    <s v="ORD-2025-488349"/>
    <x v="181"/>
    <d v="2025-04-23T00:00:00"/>
    <n v="1"/>
    <s v="Americas"/>
    <x v="11"/>
    <s v="San Francisco"/>
    <s v="Non-Profit"/>
    <s v="Distributor"/>
    <x v="0"/>
    <x v="0"/>
    <x v="625"/>
    <n v="23.24"/>
    <n v="44.57"/>
    <n v="44.57"/>
    <n v="0.215"/>
    <n v="15"/>
    <x v="627"/>
    <n v="348.59999999999997"/>
    <n v="176.21174999999999"/>
    <n v="0.33576182316802167"/>
    <d v="2023-05-20T00:00:00"/>
    <s v="Q2-2025"/>
    <s v="Americas → USA → San Francisco"/>
    <s v="Low"/>
    <x v="24"/>
    <x v="0"/>
    <x v="24"/>
  </r>
  <r>
    <s v="ORD-2025-474368"/>
    <x v="182"/>
    <d v="2025-05-17T00:00:00"/>
    <n v="20"/>
    <s v="Americas"/>
    <x v="11"/>
    <s v="Austin"/>
    <s v="Corporate"/>
    <s v="Direct"/>
    <x v="1"/>
    <x v="2"/>
    <x v="626"/>
    <n v="932.26"/>
    <n v="1624.67"/>
    <n v="1624.67"/>
    <n v="0.23499999999999999"/>
    <n v="28"/>
    <x v="628"/>
    <n v="26103.279999999999"/>
    <n v="8697.1514000000025"/>
    <n v="0.24991504559337163"/>
    <d v="2023-05-23T00:00:00"/>
    <s v="Q2-2025"/>
    <s v="Americas → USA → Austin"/>
    <s v="Medium"/>
    <x v="24"/>
    <x v="0"/>
    <x v="24"/>
  </r>
  <r>
    <s v="ORD-2025-364852"/>
    <x v="471"/>
    <d v="2025-06-09T00:00:00"/>
    <n v="22"/>
    <s v="Americas"/>
    <x v="11"/>
    <s v="New York"/>
    <s v="Consumer"/>
    <s v="Retail"/>
    <x v="15"/>
    <x v="4"/>
    <x v="627"/>
    <n v="382.96"/>
    <n v="552.84"/>
    <n v="552.84"/>
    <n v="0.17599999999999999"/>
    <n v="8"/>
    <x v="629"/>
    <n v="3063.68"/>
    <n v="580.64128000000073"/>
    <n v="0.15932768693763483"/>
    <d v="2023-05-02T00:00:00"/>
    <s v="Q2-2025"/>
    <s v="Americas → USA → New York"/>
    <s v="Low"/>
    <x v="25"/>
    <x v="0"/>
    <x v="25"/>
  </r>
  <r>
    <s v="ORD-2025-289139"/>
    <x v="472"/>
    <d v="2025-08-30T00:00:00"/>
    <n v="20"/>
    <s v="Americas"/>
    <x v="11"/>
    <s v="San Francisco"/>
    <s v="Corporate"/>
    <s v="Marketplace"/>
    <x v="12"/>
    <x v="3"/>
    <x v="628"/>
    <n v="933.29"/>
    <n v="1456.81"/>
    <n v="1456.81"/>
    <n v="0.123"/>
    <n v="13"/>
    <x v="630"/>
    <n v="12132.77"/>
    <n v="4476.3208099999974"/>
    <n v="0.26951028573489977"/>
    <d v="2023-03-02T00:00:00"/>
    <s v="Q3-2025"/>
    <s v="Americas → USA → San Francisco"/>
    <s v="Medium"/>
    <x v="27"/>
    <x v="0"/>
    <x v="27"/>
  </r>
  <r>
    <s v="ORD-2025-960931"/>
    <x v="473"/>
    <d v="2025-08-26T00:00:00"/>
    <n v="6"/>
    <s v="Americas"/>
    <x v="11"/>
    <s v="New York"/>
    <s v="Corporate"/>
    <s v="Retail"/>
    <x v="3"/>
    <x v="4"/>
    <x v="629"/>
    <n v="1304.95"/>
    <n v="1712.03"/>
    <n v="1712.03"/>
    <n v="0.21199999999999999"/>
    <n v="8"/>
    <x v="631"/>
    <n v="10439.6"/>
    <n v="353.03711999999905"/>
    <n v="3.2710922833287949E-2"/>
    <d v="2023-02-27T00:00:00"/>
    <s v="Q3-2025"/>
    <s v="Americas → USA → New York"/>
    <s v="High"/>
    <x v="27"/>
    <x v="0"/>
    <x v="27"/>
  </r>
</pivotCacheRecords>
</file>

<file path=xl/pivotCache/pivotCacheRecords2.xml><?xml version="1.0" encoding="utf-8"?>
<pivotCacheRecords xmlns="http://schemas.openxmlformats.org/spreadsheetml/2006/main" xmlns:r="http://schemas.openxmlformats.org/officeDocument/2006/relationships" count="632">
  <r>
    <s v="ORD-2023-856322"/>
    <d v="2023-01-29T00:00:00"/>
    <d v="2023-02-06T00:00:00"/>
    <n v="8"/>
    <x v="0"/>
    <x v="0"/>
    <s v="Brasília"/>
    <s v="Corporate"/>
    <x v="0"/>
    <s v="D. Smith"/>
    <x v="0"/>
    <s v="MON-7207"/>
    <n v="41.84"/>
    <n v="86.2"/>
    <n v="86.2"/>
    <n v="0.22600000000000001"/>
    <n v="27"/>
    <n v="1801.4076000000002"/>
    <n v="1129.68"/>
    <n v="671.72760000000017"/>
    <n v="0.37289039970742882"/>
    <d v="2025-08-21T00:00:00"/>
    <s v="Q1-2023"/>
    <s v="Americas → Brazil → Brasília"/>
    <s v="Low"/>
    <d v="2023-01-01T00:00:00"/>
    <d v="2023-01-01T00:00:00"/>
    <n v="0"/>
    <n v="0"/>
  </r>
  <r>
    <s v="ORD-2023-271836"/>
    <d v="2023-02-07T00:00:00"/>
    <d v="2023-02-12T00:00:00"/>
    <n v="5"/>
    <x v="0"/>
    <x v="0"/>
    <s v="São Paulo"/>
    <s v="Education"/>
    <x v="1"/>
    <s v="N. Brown"/>
    <x v="1"/>
    <s v="CMP-2693"/>
    <n v="948.55"/>
    <n v="2089.16"/>
    <n v="2089.16"/>
    <n v="7.0000000000000001E-3"/>
    <n v="12"/>
    <n v="24894.430559999997"/>
    <n v="11382.599999999999"/>
    <n v="13511.830559999999"/>
    <n v="0.54276519912492427"/>
    <d v="2025-08-14T00:00:00"/>
    <s v="Q1-2023"/>
    <s v="Americas → Brazil → São Paulo"/>
    <s v="High"/>
    <d v="2023-02-01T00:00:00"/>
    <d v="2023-01-01T00:00:00"/>
    <n v="1"/>
    <n v="1"/>
  </r>
  <r>
    <s v="ORD-2023-869884"/>
    <d v="2023-03-02T00:00:00"/>
    <d v="2023-03-05T00:00:00"/>
    <n v="3"/>
    <x v="0"/>
    <x v="0"/>
    <s v="Brasília"/>
    <s v="Enterprise"/>
    <x v="2"/>
    <s v="G. Dubois"/>
    <x v="0"/>
    <s v="MON-2828"/>
    <n v="1473.58"/>
    <n v="3436.52"/>
    <n v="3436.52"/>
    <n v="0.108"/>
    <n v="8"/>
    <n v="24523.006720000001"/>
    <n v="11788.64"/>
    <n v="12734.366720000002"/>
    <n v="0.51928243813652564"/>
    <d v="2025-08-03T00:00:00"/>
    <s v="Q1-2023"/>
    <s v="Americas → Brazil → Brasília"/>
    <s v="High"/>
    <d v="2023-03-01T00:00:00"/>
    <d v="2023-01-01T00:00:00"/>
    <n v="2"/>
    <n v="1"/>
  </r>
  <r>
    <s v="ORD-2023-747341"/>
    <d v="2023-04-19T00:00:00"/>
    <d v="2023-04-28T00:00:00"/>
    <n v="9"/>
    <x v="0"/>
    <x v="0"/>
    <s v="Rio de Janeiro"/>
    <s v="Corporate"/>
    <x v="3"/>
    <s v="M. Rossi"/>
    <x v="2"/>
    <s v="PHN-7132"/>
    <n v="1013.54"/>
    <n v="927.93"/>
    <n v="927.93"/>
    <n v="0.17499999999999999"/>
    <n v="16"/>
    <n v="12248.675999999999"/>
    <n v="16216.64"/>
    <n v="-3967.9639999999999"/>
    <n v="-0.32395044166406234"/>
    <d v="2025-06-15T00:00:00"/>
    <s v="Q2-2023"/>
    <s v="Americas → Brazil → Rio de Janeiro"/>
    <s v="Medium"/>
    <d v="2023-04-01T00:00:00"/>
    <d v="2023-01-01T00:00:00"/>
    <n v="3"/>
    <n v="0"/>
  </r>
  <r>
    <s v="ORD-2023-588455"/>
    <d v="2023-05-23T00:00:00"/>
    <d v="2023-05-25T00:00:00"/>
    <n v="2"/>
    <x v="0"/>
    <x v="0"/>
    <s v="Rio de Janeiro"/>
    <s v="Enterprise"/>
    <x v="4"/>
    <s v="M. Rossi"/>
    <x v="3"/>
    <s v="PRN-1271"/>
    <n v="690.49"/>
    <n v="1290.29"/>
    <n v="1290.29"/>
    <n v="4.2000000000000003E-2"/>
    <n v="22"/>
    <n v="27194.152039999997"/>
    <n v="15190.78"/>
    <n v="12003.372039999997"/>
    <n v="0.44139534199647718"/>
    <d v="2025-04-16T00:00:00"/>
    <s v="Q2-2023"/>
    <s v="Americas → Brazil → Rio de Janeiro"/>
    <s v="Medium"/>
    <d v="2023-05-01T00:00:00"/>
    <d v="2023-01-01T00:00:00"/>
    <n v="4"/>
    <n v="1"/>
  </r>
  <r>
    <s v="ORD-2023-244375"/>
    <d v="2023-06-03T00:00:00"/>
    <d v="2023-07-01T00:00:00"/>
    <n v="28"/>
    <x v="0"/>
    <x v="0"/>
    <s v="Brasília"/>
    <s v="Small Business"/>
    <x v="0"/>
    <s v="A. Patel"/>
    <x v="1"/>
    <s v="CMP-1223"/>
    <n v="860.4"/>
    <n v="2066.6"/>
    <n v="2066.6"/>
    <n v="0.01"/>
    <n v="3"/>
    <n v="6137.8019999999988"/>
    <n v="2581.1999999999998"/>
    <n v="3556.601999999999"/>
    <n v="0.57945857491004105"/>
    <d v="2025-04-09T00:00:00"/>
    <s v="Q2-2023"/>
    <s v="Americas → Brazil → Brasília"/>
    <s v="High"/>
    <d v="2023-06-01T00:00:00"/>
    <d v="2023-01-01T00:00:00"/>
    <n v="5"/>
    <n v="0"/>
  </r>
  <r>
    <s v="ORD-2023-434071"/>
    <d v="2023-06-20T00:00:00"/>
    <d v="2023-07-04T00:00:00"/>
    <n v="14"/>
    <x v="0"/>
    <x v="0"/>
    <s v="Brasília"/>
    <s v="Non-Profit"/>
    <x v="2"/>
    <s v="C. Otieno"/>
    <x v="4"/>
    <s v="NET-1228"/>
    <n v="1292.8599999999999"/>
    <n v="2981.01"/>
    <n v="2981.01"/>
    <n v="0.14199999999999999"/>
    <n v="12"/>
    <n v="30692.47896"/>
    <n v="15514.32"/>
    <n v="15178.158960000001"/>
    <n v="0.49452372288927687"/>
    <d v="2025-04-16T00:00:00"/>
    <s v="Q2-2023"/>
    <s v="Americas → Brazil → Brasília"/>
    <s v="High"/>
    <d v="2023-06-01T00:00:00"/>
    <d v="2023-01-01T00:00:00"/>
    <n v="5"/>
    <n v="0"/>
  </r>
  <r>
    <s v="ORD-2023-374486"/>
    <d v="2023-06-23T00:00:00"/>
    <d v="2023-06-24T00:00:00"/>
    <n v="1"/>
    <x v="0"/>
    <x v="0"/>
    <s v="Rio de Janeiro"/>
    <s v="Non-Profit"/>
    <x v="4"/>
    <s v="E. Garcia"/>
    <x v="3"/>
    <s v="PRN-6490"/>
    <n v="804.01"/>
    <n v="1405.07"/>
    <n v="1405.07"/>
    <n v="9.6000000000000002E-2"/>
    <n v="8"/>
    <n v="10161.46624"/>
    <n v="6432.08"/>
    <n v="3729.3862399999998"/>
    <n v="0.36701260939287439"/>
    <d v="2025-04-13T00:00:00"/>
    <s v="Q2-2023"/>
    <s v="Americas → Brazil → Rio de Janeiro"/>
    <s v="Medium"/>
    <d v="2023-06-01T00:00:00"/>
    <d v="2023-01-01T00:00:00"/>
    <n v="5"/>
    <n v="1"/>
  </r>
  <r>
    <s v="ORD-2023-309373"/>
    <d v="2023-07-05T00:00:00"/>
    <d v="2023-07-14T00:00:00"/>
    <n v="9"/>
    <x v="0"/>
    <x v="0"/>
    <s v="Brasília"/>
    <s v="Enterprise"/>
    <x v="2"/>
    <s v="B. Chen"/>
    <x v="4"/>
    <s v="NET-2394"/>
    <n v="578.85"/>
    <n v="998.76"/>
    <n v="998.76"/>
    <n v="8.2000000000000003E-2"/>
    <n v="28"/>
    <n v="25672.127039999999"/>
    <n v="16207.800000000001"/>
    <n v="9464.3270399999983"/>
    <n v="0.36866158480960831"/>
    <d v="2025-03-10T00:00:00"/>
    <s v="Q3-2023"/>
    <s v="Americas → Brazil → Brasília"/>
    <s v="Medium"/>
    <d v="2023-07-01T00:00:00"/>
    <d v="2023-01-01T00:00:00"/>
    <n v="6"/>
    <n v="0"/>
  </r>
  <r>
    <s v="ORD-2023-594700"/>
    <d v="2023-07-18T00:00:00"/>
    <d v="2023-07-22T00:00:00"/>
    <n v="4"/>
    <x v="0"/>
    <x v="0"/>
    <s v="São Paulo"/>
    <s v="Consumer"/>
    <x v="2"/>
    <s v="F. Müller"/>
    <x v="4"/>
    <s v="NET-1699"/>
    <n v="1269.55"/>
    <n v="2071.1"/>
    <n v="2071.1"/>
    <n v="0.129"/>
    <n v="22"/>
    <n v="39686.4182"/>
    <n v="27930.1"/>
    <n v="11756.318200000002"/>
    <n v="0.29623026549672354"/>
    <d v="2025-03-25T00:00:00"/>
    <s v="Q3-2023"/>
    <s v="Americas → Brazil → São Paulo"/>
    <s v="High"/>
    <d v="2023-07-01T00:00:00"/>
    <d v="2023-01-01T00:00:00"/>
    <n v="6"/>
    <n v="1"/>
  </r>
  <r>
    <s v="ORD-2023-825836"/>
    <d v="2023-07-19T00:00:00"/>
    <d v="2023-07-31T00:00:00"/>
    <n v="12"/>
    <x v="0"/>
    <x v="0"/>
    <s v="Rio de Janeiro"/>
    <s v="Corporate"/>
    <x v="4"/>
    <s v="C. Otieno"/>
    <x v="0"/>
    <s v="MON-7869"/>
    <n v="1334.64"/>
    <n v="2273.42"/>
    <n v="2273.42"/>
    <n v="0.11799999999999999"/>
    <n v="14"/>
    <n v="28072.190160000002"/>
    <n v="18684.960000000003"/>
    <n v="9387.2301599999992"/>
    <n v="0.33439607335575267"/>
    <d v="2025-03-24T00:00:00"/>
    <s v="Q3-2023"/>
    <s v="Americas → Brazil → Rio de Janeiro"/>
    <s v="High"/>
    <d v="2023-07-01T00:00:00"/>
    <d v="2023-01-01T00:00:00"/>
    <n v="6"/>
    <n v="0"/>
  </r>
  <r>
    <s v="ORD-2023-253245"/>
    <d v="2023-08-03T00:00:00"/>
    <d v="2023-08-14T00:00:00"/>
    <n v="11"/>
    <x v="0"/>
    <x v="0"/>
    <s v="Brasília"/>
    <s v="Corporate"/>
    <x v="2"/>
    <s v="J. Njeri"/>
    <x v="5"/>
    <s v="ACC-3951"/>
    <n v="232.73"/>
    <n v="334.19"/>
    <n v="334.19"/>
    <n v="0.13400000000000001"/>
    <n v="25"/>
    <n v="7235.2134999999998"/>
    <n v="5818.25"/>
    <n v="1416.9634999999998"/>
    <n v="0.1958426658729559"/>
    <d v="2025-02-09T00:00:00"/>
    <s v="Q3-2023"/>
    <s v="Americas → Brazil → Brasília"/>
    <s v="Low"/>
    <d v="2023-08-01T00:00:00"/>
    <d v="2023-01-01T00:00:00"/>
    <n v="7"/>
    <n v="0"/>
  </r>
  <r>
    <s v="ORD-2023-630430"/>
    <d v="2023-08-04T00:00:00"/>
    <d v="2023-08-24T00:00:00"/>
    <n v="20"/>
    <x v="0"/>
    <x v="0"/>
    <s v="Brasília"/>
    <s v="Non-Profit"/>
    <x v="2"/>
    <s v="Unassigned"/>
    <x v="4"/>
    <s v="NET-9125"/>
    <n v="582.88"/>
    <n v="1044.1400000000001"/>
    <n v="1044.1400000000001"/>
    <n v="0.216"/>
    <n v="10"/>
    <n v="8186.057600000001"/>
    <n v="5828.8"/>
    <n v="2357.2576000000008"/>
    <n v="0.28796005539956138"/>
    <d v="2025-02-15T00:00:00"/>
    <s v="Q3-2023"/>
    <s v="Americas → Brazil → Brasília"/>
    <s v="Medium"/>
    <d v="2023-08-01T00:00:00"/>
    <d v="2023-01-01T00:00:00"/>
    <n v="7"/>
    <n v="0"/>
  </r>
  <r>
    <s v="ORD-2023-867175"/>
    <d v="2023-08-10T00:00:00"/>
    <d v="2023-08-15T00:00:00"/>
    <n v="5"/>
    <x v="0"/>
    <x v="0"/>
    <s v="São Paulo"/>
    <s v="Education"/>
    <x v="2"/>
    <s v="G. Dubois"/>
    <x v="4"/>
    <s v="NET-2894"/>
    <n v="1307.52"/>
    <n v="1921.65"/>
    <n v="1921.65"/>
    <n v="0.123"/>
    <n v="13"/>
    <n v="21908.731650000002"/>
    <n v="16997.759999999998"/>
    <n v="4910.9716500000031"/>
    <n v="0.22415590863289445"/>
    <d v="2025-01-31T00:00:00"/>
    <s v="Q3-2023"/>
    <s v="Americas → Brazil → São Paulo"/>
    <s v="High"/>
    <d v="2023-08-01T00:00:00"/>
    <d v="2023-01-01T00:00:00"/>
    <n v="7"/>
    <n v="1"/>
  </r>
  <r>
    <s v="ORD-2023-552115"/>
    <d v="2023-09-17T00:00:00"/>
    <d v="2023-10-02T00:00:00"/>
    <n v="15"/>
    <x v="0"/>
    <x v="0"/>
    <s v="Rio de Janeiro"/>
    <s v="Small Business"/>
    <x v="4"/>
    <s v="B. Chen"/>
    <x v="6"/>
    <s v="LAP-4932"/>
    <n v="689.33"/>
    <n v="668.27"/>
    <n v="668.27"/>
    <n v="0.186"/>
    <n v="13"/>
    <n v="7071.6331400000008"/>
    <n v="8961.2900000000009"/>
    <n v="-1889.6568600000001"/>
    <n v="-0.26721647214861033"/>
    <d v="2024-12-27T00:00:00"/>
    <s v="Q3-2023"/>
    <s v="Americas → Brazil → Rio de Janeiro"/>
    <s v="Low"/>
    <d v="2023-09-01T00:00:00"/>
    <d v="2023-01-01T00:00:00"/>
    <n v="8"/>
    <n v="0"/>
  </r>
  <r>
    <s v="ORD-2023-888140"/>
    <d v="2023-10-11T00:00:00"/>
    <d v="2023-10-13T00:00:00"/>
    <n v="2"/>
    <x v="0"/>
    <x v="0"/>
    <s v="Brasília"/>
    <s v="Consumer"/>
    <x v="3"/>
    <s v="Unassigned"/>
    <x v="5"/>
    <s v="ACC-3567"/>
    <n v="715.94"/>
    <n v="550.07000000000005"/>
    <n v="550.07000000000005"/>
    <n v="0.14000000000000001"/>
    <n v="16"/>
    <n v="7568.9632000000001"/>
    <n v="11455.04"/>
    <n v="-3886.0768000000007"/>
    <n v="-0.51342260456491595"/>
    <d v="2024-12-07T00:00:00"/>
    <s v="Q4-2023"/>
    <s v="Americas → Brazil → Brasília"/>
    <s v="Low"/>
    <d v="2023-10-01T00:00:00"/>
    <d v="2023-01-01T00:00:00"/>
    <n v="9"/>
    <n v="1"/>
  </r>
  <r>
    <s v="ORD-2023-406606"/>
    <d v="2023-10-25T00:00:00"/>
    <d v="2023-10-28T00:00:00"/>
    <n v="3"/>
    <x v="0"/>
    <x v="0"/>
    <s v="Brasília"/>
    <s v="Corporate"/>
    <x v="3"/>
    <s v="L. Okafor"/>
    <x v="5"/>
    <s v="ACC-2867"/>
    <n v="509.31"/>
    <n v="1145.9000000000001"/>
    <n v="1145.9000000000001"/>
    <n v="5.7000000000000002E-2"/>
    <n v="8"/>
    <n v="8644.6696000000011"/>
    <n v="4074.48"/>
    <n v="4570.1896000000015"/>
    <n v="0.52867140231709964"/>
    <d v="2024-12-17T00:00:00"/>
    <s v="Q4-2023"/>
    <s v="Americas → Brazil → Brasília"/>
    <s v="Medium"/>
    <d v="2023-10-01T00:00:00"/>
    <d v="2023-01-01T00:00:00"/>
    <n v="9"/>
    <n v="1"/>
  </r>
  <r>
    <s v="ORD-2023-653343"/>
    <d v="2023-11-10T00:00:00"/>
    <d v="2023-11-28T00:00:00"/>
    <n v="18"/>
    <x v="0"/>
    <x v="0"/>
    <s v="Brasília"/>
    <s v="Education"/>
    <x v="0"/>
    <s v="L. Okafor"/>
    <x v="5"/>
    <s v="ACC-5260"/>
    <n v="388.51"/>
    <n v="776.46"/>
    <n v="776.46"/>
    <n v="0.157"/>
    <n v="12"/>
    <n v="7854.6693599999999"/>
    <n v="4662.12"/>
    <n v="3192.54936"/>
    <n v="0.40645241876864946"/>
    <d v="2024-12-08T00:00:00"/>
    <s v="Q4-2023"/>
    <s v="Americas → Brazil → Brasília"/>
    <s v="Low"/>
    <d v="2023-11-01T00:00:00"/>
    <d v="2023-01-01T00:00:00"/>
    <n v="10"/>
    <n v="0"/>
  </r>
  <r>
    <s v="ORD-2023-619570"/>
    <d v="2023-11-14T00:00:00"/>
    <d v="2023-11-30T00:00:00"/>
    <n v="16"/>
    <x v="0"/>
    <x v="0"/>
    <s v="São Paulo"/>
    <s v="Enterprise"/>
    <x v="2"/>
    <s v="K. Singh"/>
    <x v="4"/>
    <s v="NET-4104"/>
    <n v="1017.92"/>
    <n v="1175.25"/>
    <n v="1175.25"/>
    <n v="7.4999999999999997E-2"/>
    <n v="15"/>
    <n v="16306.59375"/>
    <n v="15268.8"/>
    <n v="1037.7937500000007"/>
    <n v="6.3642583234159542E-2"/>
    <d v="2024-11-25T00:00:00"/>
    <s v="Q4-2023"/>
    <s v="Americas → Brazil → São Paulo"/>
    <s v="Medium"/>
    <d v="2023-11-01T00:00:00"/>
    <d v="2023-01-01T00:00:00"/>
    <n v="10"/>
    <n v="0"/>
  </r>
  <r>
    <s v="ORD-2023-239789"/>
    <d v="2023-12-03T00:00:00"/>
    <d v="2023-12-26T00:00:00"/>
    <n v="23"/>
    <x v="0"/>
    <x v="0"/>
    <s v="Rio de Janeiro"/>
    <s v="Education"/>
    <x v="4"/>
    <s v="O. Wang"/>
    <x v="2"/>
    <s v="PHN-4644"/>
    <n v="1303.1099999999999"/>
    <n v="1145.67"/>
    <n v="1145.67"/>
    <n v="0.184"/>
    <n v="13"/>
    <n v="12153.267360000002"/>
    <n v="16940.43"/>
    <n v="-4787.1626399999986"/>
    <n v="-0.39389922875851208"/>
    <d v="2024-10-23T00:00:00"/>
    <s v="Q4-2023"/>
    <s v="Americas → Brazil → Rio de Janeiro"/>
    <s v="Medium"/>
    <d v="2023-12-01T00:00:00"/>
    <d v="2023-01-01T00:00:00"/>
    <n v="11"/>
    <n v="0"/>
  </r>
  <r>
    <s v="ORD-2023-581799"/>
    <d v="2023-12-05T00:00:00"/>
    <d v="2023-12-12T00:00:00"/>
    <n v="7"/>
    <x v="0"/>
    <x v="0"/>
    <s v="Brasília"/>
    <s v="Corporate"/>
    <x v="2"/>
    <s v="F. Müller"/>
    <x v="2"/>
    <s v="PHN-6506"/>
    <n v="307.43"/>
    <n v="495.19"/>
    <n v="495.19"/>
    <n v="0"/>
    <n v="42"/>
    <n v="20797.98"/>
    <n v="12912.06"/>
    <n v="7885.92"/>
    <n v="0.37916759223732305"/>
    <d v="2024-11-01T00:00:00"/>
    <s v="Q4-2023"/>
    <s v="Americas → Brazil → Brasília"/>
    <s v="Low"/>
    <d v="2023-12-01T00:00:00"/>
    <d v="2023-01-01T00:00:00"/>
    <n v="11"/>
    <n v="1"/>
  </r>
  <r>
    <s v="ORD-2023-195665"/>
    <d v="2023-12-19T00:00:00"/>
    <d v="2023-12-20T00:00:00"/>
    <n v="1"/>
    <x v="0"/>
    <x v="0"/>
    <s v="Rio de Janeiro"/>
    <s v="Consumer"/>
    <x v="3"/>
    <s v="J. Njeri"/>
    <x v="2"/>
    <s v="PHN-7274"/>
    <n v="1080.43"/>
    <n v="2529.15"/>
    <n v="2529.15"/>
    <n v="0.14699999999999999"/>
    <n v="10"/>
    <n v="21573.6495"/>
    <n v="10804.300000000001"/>
    <n v="10769.349499999998"/>
    <n v="0.49918997247081437"/>
    <d v="2024-10-09T00:00:00"/>
    <s v="Q4-2023"/>
    <s v="Americas → Brazil → Rio de Janeiro"/>
    <s v="High"/>
    <d v="2023-12-01T00:00:00"/>
    <d v="2023-01-01T00:00:00"/>
    <n v="11"/>
    <n v="1"/>
  </r>
  <r>
    <s v="ORD-2023-967239"/>
    <d v="2023-12-24T00:00:00"/>
    <d v="2024-01-01T00:00:00"/>
    <n v="8"/>
    <x v="0"/>
    <x v="0"/>
    <s v="São Paulo"/>
    <s v="Education"/>
    <x v="2"/>
    <s v="C. Otieno"/>
    <x v="2"/>
    <s v="PHN-3014"/>
    <n v="526.49"/>
    <n v="496.2"/>
    <n v="496.2"/>
    <n v="0"/>
    <n v="14"/>
    <n v="6946.8"/>
    <n v="7370.8600000000006"/>
    <n v="-424.0600000000004"/>
    <n v="-6.1043933897621985E-2"/>
    <d v="2024-10-29T00:00:00"/>
    <s v="Q4-2023"/>
    <s v="Americas → Brazil → São Paulo"/>
    <s v="Low"/>
    <d v="2023-12-01T00:00:00"/>
    <d v="2023-01-01T00:00:00"/>
    <n v="11"/>
    <n v="0"/>
  </r>
  <r>
    <s v="ORD-2024-499009"/>
    <d v="2024-01-25T00:00:00"/>
    <d v="2024-01-27T00:00:00"/>
    <n v="2"/>
    <x v="0"/>
    <x v="0"/>
    <s v="São Paulo"/>
    <s v="Non-Profit"/>
    <x v="0"/>
    <s v="N. Brown"/>
    <x v="6"/>
    <s v="LAP-7056"/>
    <n v="1410.97"/>
    <n v="1650.75"/>
    <n v="1650.75"/>
    <n v="0.13500000000000001"/>
    <n v="6"/>
    <n v="8567.3924999999999"/>
    <n v="8465.82"/>
    <n v="101.57250000000022"/>
    <n v="1.1855707556295596E-2"/>
    <d v="2024-09-07T00:00:00"/>
    <s v="Q1-2024"/>
    <s v="Americas → Brazil → São Paulo"/>
    <s v="High"/>
    <d v="2024-01-01T00:00:00"/>
    <d v="2023-01-01T00:00:00"/>
    <n v="12"/>
    <n v="1"/>
  </r>
  <r>
    <s v="ORD-2024-206121"/>
    <d v="2024-02-18T00:00:00"/>
    <d v="2024-03-11T00:00:00"/>
    <n v="22"/>
    <x v="0"/>
    <x v="0"/>
    <s v="São Paulo"/>
    <s v="Consumer"/>
    <x v="1"/>
    <s v="A. Patel"/>
    <x v="1"/>
    <s v="CMP-9801"/>
    <n v="80.48"/>
    <n v="65.650000000000006"/>
    <n v="65.650000000000006"/>
    <n v="0.17599999999999999"/>
    <n v="13"/>
    <n v="703.2428000000001"/>
    <n v="1046.24"/>
    <n v="-342.99719999999991"/>
    <n v="-0.48773652570634191"/>
    <d v="2024-08-19T00:00:00"/>
    <s v="Q1-2024"/>
    <s v="Americas → Brazil → São Paulo"/>
    <s v="Low"/>
    <d v="2024-02-01T00:00:00"/>
    <d v="2023-01-01T00:00:00"/>
    <n v="13"/>
    <n v="0"/>
  </r>
  <r>
    <s v="ORD-2024-129345"/>
    <d v="2024-02-18T00:00:00"/>
    <d v="2024-03-03T00:00:00"/>
    <n v="14"/>
    <x v="0"/>
    <x v="0"/>
    <s v="Brasília"/>
    <s v="Enterprise"/>
    <x v="3"/>
    <s v="A. Patel"/>
    <x v="3"/>
    <s v="PRN-5384"/>
    <n v="624.23"/>
    <n v="1318.37"/>
    <n v="1318.37"/>
    <n v="0.21"/>
    <n v="37"/>
    <n v="38535.955099999999"/>
    <n v="23096.510000000002"/>
    <n v="15439.445099999997"/>
    <n v="0.40065038118128793"/>
    <d v="2024-08-16T00:00:00"/>
    <s v="Q1-2024"/>
    <s v="Americas → Brazil → Brasília"/>
    <s v="Medium"/>
    <d v="2024-02-01T00:00:00"/>
    <d v="2023-01-01T00:00:00"/>
    <n v="13"/>
    <n v="0"/>
  </r>
  <r>
    <s v="ORD-2024-516704"/>
    <d v="2024-02-29T00:00:00"/>
    <d v="2024-03-01T00:00:00"/>
    <n v="1"/>
    <x v="0"/>
    <x v="0"/>
    <s v="São Paulo"/>
    <s v="Non-Profit"/>
    <x v="2"/>
    <s v="I. Johnson"/>
    <x v="2"/>
    <s v="PHN-7852"/>
    <n v="5.34"/>
    <n v="12.69"/>
    <n v="12.69"/>
    <n v="0.13200000000000001"/>
    <n v="10"/>
    <n v="110.14919999999999"/>
    <n v="53.4"/>
    <n v="56.749199999999995"/>
    <n v="0.51520301554618642"/>
    <d v="2024-08-15T00:00:00"/>
    <s v="Q1-2024"/>
    <s v="Americas → Brazil → São Paulo"/>
    <s v="Low"/>
    <d v="2024-02-01T00:00:00"/>
    <d v="2023-01-01T00:00:00"/>
    <n v="13"/>
    <n v="1"/>
  </r>
  <r>
    <s v="ORD-2024-510591"/>
    <d v="2024-04-03T00:00:00"/>
    <d v="2024-04-21T00:00:00"/>
    <n v="18"/>
    <x v="0"/>
    <x v="0"/>
    <s v="Brasília"/>
    <s v="Small Business"/>
    <x v="3"/>
    <s v="B. Chen"/>
    <x v="4"/>
    <s v="NET-3850"/>
    <n v="1176.69"/>
    <n v="2201.54"/>
    <n v="2201.54"/>
    <n v="0.17"/>
    <n v="27"/>
    <n v="49336.511399999996"/>
    <n v="31770.63"/>
    <n v="17565.881399999995"/>
    <n v="0.35604222717701106"/>
    <d v="2024-06-28T00:00:00"/>
    <s v="Q2-2024"/>
    <s v="Americas → Brazil → Brasília"/>
    <s v="High"/>
    <d v="2024-04-01T00:00:00"/>
    <d v="2023-01-01T00:00:00"/>
    <n v="15"/>
    <n v="0"/>
  </r>
  <r>
    <s v="ORD-2024-219735"/>
    <d v="2024-04-03T00:00:00"/>
    <d v="2024-04-07T00:00:00"/>
    <n v="4"/>
    <x v="0"/>
    <x v="0"/>
    <s v="Brasília"/>
    <s v="Non-Profit"/>
    <x v="2"/>
    <s v="N. Brown"/>
    <x v="2"/>
    <s v="PHN-5445"/>
    <n v="1023.27"/>
    <n v="1343.64"/>
    <n v="1343.64"/>
    <n v="0.13300000000000001"/>
    <n v="7"/>
    <n v="8154.5511600000009"/>
    <n v="7162.8899999999994"/>
    <n v="991.66116000000147"/>
    <n v="0.12160830688810116"/>
    <d v="2024-06-23T00:00:00"/>
    <s v="Q2-2024"/>
    <s v="Americas → Brazil → Brasília"/>
    <s v="Medium"/>
    <d v="2024-04-01T00:00:00"/>
    <d v="2023-01-01T00:00:00"/>
    <n v="15"/>
    <n v="1"/>
  </r>
  <r>
    <s v="ORD-2024-503082"/>
    <d v="2024-05-19T00:00:00"/>
    <d v="2024-06-08T00:00:00"/>
    <n v="20"/>
    <x v="0"/>
    <x v="0"/>
    <s v="Brasília"/>
    <s v="Small Business"/>
    <x v="4"/>
    <s v="E. Garcia"/>
    <x v="0"/>
    <s v="MON-4271"/>
    <n v="1075.9000000000001"/>
    <n v="1242.1500000000001"/>
    <n v="1242.1500000000001"/>
    <n v="1.2E-2"/>
    <n v="7"/>
    <n v="8590.7094000000016"/>
    <n v="7531.3000000000011"/>
    <n v="1059.4094000000005"/>
    <n v="0.12332036280961853"/>
    <d v="2024-05-21T00:00:00"/>
    <s v="Q2-2024"/>
    <s v="Americas → Brazil → Brasília"/>
    <s v="Medium"/>
    <d v="2024-05-01T00:00:00"/>
    <d v="2023-01-01T00:00:00"/>
    <n v="16"/>
    <n v="0"/>
  </r>
  <r>
    <s v="ORD-2024-403664"/>
    <d v="2024-05-23T00:00:00"/>
    <d v="2024-06-06T00:00:00"/>
    <n v="14"/>
    <x v="0"/>
    <x v="0"/>
    <s v="Rio de Janeiro"/>
    <s v="Non-Profit"/>
    <x v="1"/>
    <s v="I. Johnson"/>
    <x v="4"/>
    <s v="NET-1166"/>
    <n v="51.13"/>
    <n v="57.53"/>
    <n v="57.53"/>
    <n v="4.4999999999999998E-2"/>
    <n v="16"/>
    <n v="879.05840000000001"/>
    <n v="818.08"/>
    <n v="60.978399999999965"/>
    <n v="6.9367859973808302E-2"/>
    <d v="2024-05-12T00:00:00"/>
    <s v="Q2-2024"/>
    <s v="Americas → Brazil → Rio de Janeiro"/>
    <s v="Low"/>
    <d v="2024-05-01T00:00:00"/>
    <d v="2023-01-01T00:00:00"/>
    <n v="16"/>
    <n v="0"/>
  </r>
  <r>
    <s v="ORD-2024-451005"/>
    <d v="2024-06-28T00:00:00"/>
    <d v="2024-06-30T00:00:00"/>
    <n v="2"/>
    <x v="0"/>
    <x v="0"/>
    <s v="Rio de Janeiro"/>
    <s v="Small Business"/>
    <x v="2"/>
    <s v="L. Okafor"/>
    <x v="5"/>
    <s v="ACC-9162"/>
    <n v="1112.98"/>
    <n v="2095.73"/>
    <n v="2095.73"/>
    <n v="7.1999999999999995E-2"/>
    <n v="17"/>
    <n v="33062.236480000007"/>
    <n v="18920.66"/>
    <n v="14141.576480000007"/>
    <n v="0.42772594916724777"/>
    <d v="2024-03-10T00:00:00"/>
    <s v="Q2-2024"/>
    <s v="Americas → Brazil → Rio de Janeiro"/>
    <s v="High"/>
    <d v="2024-06-01T00:00:00"/>
    <d v="2023-01-01T00:00:00"/>
    <n v="17"/>
    <n v="1"/>
  </r>
  <r>
    <s v="ORD-2024-215294"/>
    <d v="2024-06-30T00:00:00"/>
    <d v="2024-07-14T00:00:00"/>
    <n v="14"/>
    <x v="0"/>
    <x v="0"/>
    <s v="Brasília"/>
    <s v="Education"/>
    <x v="4"/>
    <s v="C. Otieno"/>
    <x v="5"/>
    <s v="ACC-8683"/>
    <n v="1491.85"/>
    <n v="2583.02"/>
    <n v="2583.02"/>
    <n v="0.16800000000000001"/>
    <n v="4"/>
    <n v="8596.2905599999995"/>
    <n v="5967.4"/>
    <n v="2628.8905599999998"/>
    <n v="0.30581685689321325"/>
    <d v="2024-03-11T00:00:00"/>
    <s v="Q2-2024"/>
    <s v="Americas → Brazil → Brasília"/>
    <s v="High"/>
    <d v="2024-06-01T00:00:00"/>
    <d v="2023-01-01T00:00:00"/>
    <n v="17"/>
    <n v="0"/>
  </r>
  <r>
    <s v="ORD-2024-202877"/>
    <d v="2024-07-13T00:00:00"/>
    <d v="2024-08-03T00:00:00"/>
    <n v="21"/>
    <x v="0"/>
    <x v="0"/>
    <s v="Rio de Janeiro"/>
    <s v="Corporate"/>
    <x v="0"/>
    <s v="M. Rossi"/>
    <x v="0"/>
    <s v="MON-6287"/>
    <n v="702.98"/>
    <n v="1104.8"/>
    <n v="1104.8"/>
    <n v="0.17499999999999999"/>
    <n v="12"/>
    <n v="10937.519999999999"/>
    <n v="8435.76"/>
    <n v="2501.7599999999984"/>
    <n v="0.22873192460448061"/>
    <d v="2024-03-23T00:00:00"/>
    <s v="Q3-2024"/>
    <s v="Americas → Brazil → Rio de Janeiro"/>
    <s v="Medium"/>
    <d v="2024-07-01T00:00:00"/>
    <d v="2023-01-01T00:00:00"/>
    <n v="18"/>
    <n v="0"/>
  </r>
  <r>
    <s v="ORD-2024-585443"/>
    <d v="2024-08-15T00:00:00"/>
    <d v="2024-08-17T00:00:00"/>
    <n v="2"/>
    <x v="0"/>
    <x v="0"/>
    <s v="Rio de Janeiro"/>
    <s v="Consumer"/>
    <x v="2"/>
    <s v="M. Rossi"/>
    <x v="0"/>
    <s v="MON-2849"/>
    <n v="165.3"/>
    <n v="275.07"/>
    <n v="275.07"/>
    <n v="0.13300000000000001"/>
    <n v="25"/>
    <n v="5962.1422499999999"/>
    <n v="4132.5"/>
    <n v="1829.6422499999999"/>
    <n v="0.30687665159280625"/>
    <d v="2024-02-18T00:00:00"/>
    <s v="Q3-2024"/>
    <s v="Americas → Brazil → Rio de Janeiro"/>
    <s v="Low"/>
    <d v="2024-08-01T00:00:00"/>
    <d v="2023-01-01T00:00:00"/>
    <n v="19"/>
    <n v="1"/>
  </r>
  <r>
    <s v="ORD-2024-446699"/>
    <d v="2024-08-28T00:00:00"/>
    <d v="2024-09-25T00:00:00"/>
    <n v="28"/>
    <x v="0"/>
    <x v="0"/>
    <s v="Rio de Janeiro"/>
    <s v="Non-Profit"/>
    <x v="1"/>
    <s v="Unassigned"/>
    <x v="5"/>
    <s v="ACC-4490"/>
    <n v="1394.65"/>
    <n v="3144.1"/>
    <n v="3144.1"/>
    <n v="0.13400000000000001"/>
    <n v="13"/>
    <n v="35396.277799999996"/>
    <n v="18130.45"/>
    <n v="17265.827799999995"/>
    <n v="0.4877865378263021"/>
    <d v="2024-01-20T00:00:00"/>
    <s v="Q3-2024"/>
    <s v="Americas → Brazil → Rio de Janeiro"/>
    <s v="High"/>
    <d v="2024-08-01T00:00:00"/>
    <d v="2023-01-01T00:00:00"/>
    <n v="19"/>
    <n v="0"/>
  </r>
  <r>
    <s v="ORD-2024-500890"/>
    <d v="2024-09-09T00:00:00"/>
    <d v="2024-10-08T00:00:00"/>
    <n v="29"/>
    <x v="0"/>
    <x v="0"/>
    <s v="São Paulo"/>
    <s v="Education"/>
    <x v="2"/>
    <s v="J. Njeri"/>
    <x v="1"/>
    <s v="CMP-3093"/>
    <n v="1010.33"/>
    <n v="2492.14"/>
    <n v="2492.14"/>
    <n v="5.0999999999999997E-2"/>
    <n v="11"/>
    <n v="26015.449459999996"/>
    <n v="11113.630000000001"/>
    <n v="14901.819459999995"/>
    <n v="0.57280653493656752"/>
    <d v="2024-01-12T00:00:00"/>
    <s v="Q3-2024"/>
    <s v="Americas → Brazil → São Paulo"/>
    <s v="High"/>
    <d v="2024-09-01T00:00:00"/>
    <d v="2023-01-01T00:00:00"/>
    <n v="20"/>
    <n v="0"/>
  </r>
  <r>
    <s v="ORD-2024-777623"/>
    <d v="2024-09-19T00:00:00"/>
    <d v="2024-10-14T00:00:00"/>
    <n v="25"/>
    <x v="0"/>
    <x v="0"/>
    <s v="Rio de Janeiro"/>
    <s v="Small Business"/>
    <x v="4"/>
    <s v="K. Singh"/>
    <x v="3"/>
    <s v="PRN-2749"/>
    <n v="386.96"/>
    <n v="937.46"/>
    <n v="937.46"/>
    <n v="0.26600000000000001"/>
    <n v="41"/>
    <n v="28211.92124"/>
    <n v="15865.359999999999"/>
    <n v="12346.561240000001"/>
    <n v="0.43763631462626335"/>
    <d v="2024-01-21T00:00:00"/>
    <s v="Q3-2024"/>
    <s v="Americas → Brazil → Rio de Janeiro"/>
    <s v="Medium"/>
    <d v="2024-09-01T00:00:00"/>
    <d v="2023-01-01T00:00:00"/>
    <n v="20"/>
    <n v="0"/>
  </r>
  <r>
    <s v="ORD-2024-444710"/>
    <d v="2024-09-22T00:00:00"/>
    <d v="2024-10-01T00:00:00"/>
    <n v="9"/>
    <x v="0"/>
    <x v="0"/>
    <s v="São Paulo"/>
    <s v="Non-Profit"/>
    <x v="1"/>
    <s v="K. Singh"/>
    <x v="0"/>
    <s v="MON-6341"/>
    <n v="1378.8"/>
    <n v="1952.04"/>
    <n v="1952.04"/>
    <n v="0.159"/>
    <n v="19"/>
    <n v="31191.64716"/>
    <n v="26197.200000000001"/>
    <n v="4994.4471599999997"/>
    <n v="0.16012130216723058"/>
    <d v="2024-01-10T00:00:00"/>
    <s v="Q3-2024"/>
    <s v="Americas → Brazil → São Paulo"/>
    <s v="High"/>
    <d v="2024-09-01T00:00:00"/>
    <d v="2023-01-01T00:00:00"/>
    <n v="20"/>
    <n v="0"/>
  </r>
  <r>
    <s v="ORD-2024-588972"/>
    <d v="2024-11-02T00:00:00"/>
    <d v="2024-11-29T00:00:00"/>
    <n v="27"/>
    <x v="0"/>
    <x v="0"/>
    <s v="Brasília"/>
    <s v="Small Business"/>
    <x v="2"/>
    <s v="I. Johnson"/>
    <x v="4"/>
    <s v="NET-8561"/>
    <n v="1363.51"/>
    <n v="1433.9"/>
    <n v="1433.9"/>
    <n v="5.7000000000000002E-2"/>
    <n v="8"/>
    <n v="10817.3416"/>
    <n v="10908.08"/>
    <n v="-90.738400000000183"/>
    <n v="-8.3882346842037592E-3"/>
    <d v="2023-12-02T00:00:00"/>
    <s v="Q4-2024"/>
    <s v="Americas → Brazil → Brasília"/>
    <s v="Medium"/>
    <d v="2024-11-01T00:00:00"/>
    <d v="2023-01-01T00:00:00"/>
    <n v="22"/>
    <n v="0"/>
  </r>
  <r>
    <s v="ORD-2024-225829"/>
    <d v="2024-11-07T00:00:00"/>
    <d v="2024-11-26T00:00:00"/>
    <n v="19"/>
    <x v="0"/>
    <x v="0"/>
    <s v="Rio de Janeiro"/>
    <s v="Non-Profit"/>
    <x v="3"/>
    <s v="J. Njeri"/>
    <x v="3"/>
    <s v="PRN-9960"/>
    <n v="55.35"/>
    <n v="128.68"/>
    <n v="128.68"/>
    <n v="0.128"/>
    <n v="10"/>
    <n v="1122.0896000000002"/>
    <n v="553.5"/>
    <n v="568.58960000000025"/>
    <n v="0.50672388372550647"/>
    <d v="2023-11-28T00:00:00"/>
    <s v="Q4-2024"/>
    <s v="Americas → Brazil → Rio de Janeiro"/>
    <s v="Low"/>
    <d v="2024-11-01T00:00:00"/>
    <d v="2023-01-01T00:00:00"/>
    <n v="22"/>
    <n v="0"/>
  </r>
  <r>
    <s v="ORD-2025-149156"/>
    <d v="2025-01-10T00:00:00"/>
    <d v="2025-02-06T00:00:00"/>
    <n v="27"/>
    <x v="0"/>
    <x v="0"/>
    <s v="Brasília"/>
    <s v="Non-Profit"/>
    <x v="4"/>
    <s v="B. Chen"/>
    <x v="6"/>
    <s v="LAP-7353"/>
    <n v="725.62"/>
    <n v="1559.19"/>
    <n v="1559.19"/>
    <n v="0.19"/>
    <n v="12"/>
    <n v="15155.326800000001"/>
    <n v="8707.44"/>
    <n v="6447.8868000000002"/>
    <n v="0.42545349797405885"/>
    <d v="2023-09-14T00:00:00"/>
    <s v="Q1-2025"/>
    <s v="Americas → Brazil → Brasília"/>
    <s v="Medium"/>
    <d v="2025-01-01T00:00:00"/>
    <d v="2023-01-01T00:00:00"/>
    <n v="24"/>
    <n v="0"/>
  </r>
  <r>
    <s v="ORD-2025-909340"/>
    <d v="2025-01-20T00:00:00"/>
    <d v="2025-02-03T00:00:00"/>
    <n v="14"/>
    <x v="0"/>
    <x v="0"/>
    <s v="Brasília"/>
    <s v="Enterprise"/>
    <x v="0"/>
    <s v="F. Müller"/>
    <x v="1"/>
    <s v="CMP-8658"/>
    <n v="974.11"/>
    <n v="880.99"/>
    <n v="880.99"/>
    <n v="0.111"/>
    <n v="10"/>
    <n v="7832.0010999999995"/>
    <n v="9741.1"/>
    <n v="-1909.0989000000009"/>
    <n v="-0.2437562093805121"/>
    <d v="2023-08-19T00:00:00"/>
    <s v="Q1-2025"/>
    <s v="Americas → Brazil → Brasília"/>
    <s v="Medium"/>
    <d v="2025-01-01T00:00:00"/>
    <d v="2023-01-01T00:00:00"/>
    <n v="24"/>
    <n v="0"/>
  </r>
  <r>
    <s v="ORD-2025-915869"/>
    <d v="2025-02-06T00:00:00"/>
    <d v="2025-02-15T00:00:00"/>
    <n v="9"/>
    <x v="0"/>
    <x v="0"/>
    <s v="São Paulo"/>
    <s v="Non-Profit"/>
    <x v="3"/>
    <s v="F. Müller"/>
    <x v="4"/>
    <s v="NET-5482"/>
    <n v="837.39"/>
    <n v="1905.42"/>
    <n v="1905.42"/>
    <n v="3.2000000000000001E-2"/>
    <n v="18"/>
    <n v="33200.038079999998"/>
    <n v="15073.02"/>
    <n v="18127.018079999998"/>
    <n v="0.54599389423350919"/>
    <d v="2023-08-15T00:00:00"/>
    <s v="Q1-2025"/>
    <s v="Americas → Brazil → São Paulo"/>
    <s v="High"/>
    <d v="2025-02-01T00:00:00"/>
    <d v="2023-01-01T00:00:00"/>
    <n v="25"/>
    <n v="0"/>
  </r>
  <r>
    <s v="ORD-2025-931538"/>
    <d v="2025-02-09T00:00:00"/>
    <d v="2025-03-01T00:00:00"/>
    <n v="20"/>
    <x v="0"/>
    <x v="0"/>
    <s v="São Paulo"/>
    <s v="Corporate"/>
    <x v="3"/>
    <s v="B. Chen"/>
    <x v="6"/>
    <s v="LAP-6989"/>
    <n v="1154.6400000000001"/>
    <n v="2794.13"/>
    <n v="2794.13"/>
    <n v="3.5000000000000003E-2"/>
    <n v="11"/>
    <n v="29659.68995"/>
    <n v="12701.04"/>
    <n v="16958.649949999999"/>
    <n v="0.57177435025749479"/>
    <d v="2023-08-04T00:00:00"/>
    <s v="Q1-2025"/>
    <s v="Americas → Brazil → São Paulo"/>
    <s v="High"/>
    <d v="2025-02-01T00:00:00"/>
    <d v="2023-01-01T00:00:00"/>
    <n v="25"/>
    <n v="0"/>
  </r>
  <r>
    <s v="ORD-2025-650719"/>
    <d v="2025-02-12T00:00:00"/>
    <d v="2025-02-28T00:00:00"/>
    <n v="16"/>
    <x v="0"/>
    <x v="0"/>
    <s v="São Paulo"/>
    <s v="Non-Profit"/>
    <x v="2"/>
    <s v="B. Chen"/>
    <x v="0"/>
    <s v="MON-5179"/>
    <n v="414.95"/>
    <n v="1027.73"/>
    <n v="1027.73"/>
    <n v="6.3E-2"/>
    <n v="8"/>
    <n v="7703.8640800000003"/>
    <n v="3319.6"/>
    <n v="4384.2640800000008"/>
    <n v="0.56909935513815568"/>
    <d v="2023-08-19T00:00:00"/>
    <s v="Q1-2025"/>
    <s v="Americas → Brazil → São Paulo"/>
    <s v="Medium"/>
    <d v="2025-02-01T00:00:00"/>
    <d v="2023-01-01T00:00:00"/>
    <n v="25"/>
    <n v="0"/>
  </r>
  <r>
    <s v="ORD-2025-487261"/>
    <d v="2025-03-06T00:00:00"/>
    <d v="2025-03-31T00:00:00"/>
    <n v="25"/>
    <x v="0"/>
    <x v="0"/>
    <s v="Brasília"/>
    <s v="Non-Profit"/>
    <x v="1"/>
    <s v="J. Njeri"/>
    <x v="1"/>
    <s v="CMP-3693"/>
    <n v="331.57"/>
    <n v="548.4"/>
    <n v="548.4"/>
    <n v="9.4E-2"/>
    <n v="10"/>
    <n v="4968.5039999999999"/>
    <n v="3315.7"/>
    <n v="1652.8040000000001"/>
    <n v="0.33265626836568918"/>
    <d v="2023-07-30T00:00:00"/>
    <s v="Q1-2025"/>
    <s v="Americas → Brazil → Brasília"/>
    <s v="Low"/>
    <d v="2025-03-01T00:00:00"/>
    <d v="2023-01-01T00:00:00"/>
    <n v="26"/>
    <n v="0"/>
  </r>
  <r>
    <s v="ORD-2025-680118"/>
    <d v="2025-03-10T00:00:00"/>
    <d v="2025-03-27T00:00:00"/>
    <n v="17"/>
    <x v="0"/>
    <x v="0"/>
    <s v="Rio de Janeiro"/>
    <s v="Enterprise"/>
    <x v="2"/>
    <s v="F. Müller"/>
    <x v="4"/>
    <s v="NET-6269"/>
    <n v="996.73"/>
    <n v="1217.43"/>
    <n v="1217.43"/>
    <n v="7.0000000000000007E-2"/>
    <n v="9"/>
    <n v="10189.8891"/>
    <n v="8970.57"/>
    <n v="1219.3191000000006"/>
    <n v="0.11965970267527255"/>
    <d v="2023-07-02T00:00:00"/>
    <s v="Q1-2025"/>
    <s v="Americas → Brazil → Rio de Janeiro"/>
    <s v="Medium"/>
    <d v="2025-03-01T00:00:00"/>
    <d v="2023-01-01T00:00:00"/>
    <n v="26"/>
    <n v="0"/>
  </r>
  <r>
    <s v="ORD-2025-752845"/>
    <d v="2025-03-30T00:00:00"/>
    <d v="2025-04-07T00:00:00"/>
    <n v="8"/>
    <x v="0"/>
    <x v="0"/>
    <s v="São Paulo"/>
    <s v="Non-Profit"/>
    <x v="2"/>
    <s v="L. Okafor"/>
    <x v="3"/>
    <s v="PRN-8763"/>
    <n v="71.62"/>
    <n v="118.37"/>
    <n v="118.37"/>
    <n v="0.156"/>
    <n v="11"/>
    <n v="1098.9470800000001"/>
    <n v="787.82"/>
    <n v="311.12708000000009"/>
    <n v="0.28311379652603474"/>
    <d v="2023-07-01T00:00:00"/>
    <s v="Q1-2025"/>
    <s v="Americas → Brazil → São Paulo"/>
    <s v="Low"/>
    <d v="2025-03-01T00:00:00"/>
    <d v="2023-01-01T00:00:00"/>
    <n v="26"/>
    <n v="0"/>
  </r>
  <r>
    <s v="ORD-2025-765220"/>
    <d v="2025-04-06T00:00:00"/>
    <d v="2025-04-30T00:00:00"/>
    <n v="24"/>
    <x v="0"/>
    <x v="0"/>
    <s v="Brasília"/>
    <s v="Education"/>
    <x v="1"/>
    <s v="K. Singh"/>
    <x v="0"/>
    <s v="MON-4925"/>
    <n v="855.78"/>
    <n v="977.38"/>
    <n v="977.38"/>
    <n v="0.14699999999999999"/>
    <n v="38"/>
    <n v="31680.795320000001"/>
    <n v="32519.64"/>
    <n v="-838.84467999999833"/>
    <n v="-2.6478018355506307E-2"/>
    <d v="2023-06-20T00:00:00"/>
    <s v="Q2-2025"/>
    <s v="Americas → Brazil → Brasília"/>
    <s v="Medium"/>
    <d v="2025-04-01T00:00:00"/>
    <d v="2023-01-01T00:00:00"/>
    <n v="27"/>
    <n v="0"/>
  </r>
  <r>
    <s v="ORD-2025-640677"/>
    <d v="2025-04-09T00:00:00"/>
    <d v="2025-05-06T00:00:00"/>
    <n v="27"/>
    <x v="0"/>
    <x v="0"/>
    <s v="Brasília"/>
    <s v="Enterprise"/>
    <x v="0"/>
    <s v="F. Müller"/>
    <x v="6"/>
    <s v="LAP-4517"/>
    <n v="264.19"/>
    <n v="620.92999999999995"/>
    <n v="620.92999999999995"/>
    <n v="0.14199999999999999"/>
    <n v="12"/>
    <n v="6393.0952799999995"/>
    <n v="3170.2799999999997"/>
    <n v="3222.8152799999998"/>
    <n v="0.50410875152794532"/>
    <d v="2023-06-29T00:00:00"/>
    <s v="Q2-2025"/>
    <s v="Americas → Brazil → Brasília"/>
    <s v="Low"/>
    <d v="2025-04-01T00:00:00"/>
    <d v="2023-01-01T00:00:00"/>
    <n v="27"/>
    <n v="0"/>
  </r>
  <r>
    <s v="ORD-2025-907040"/>
    <d v="2025-04-17T00:00:00"/>
    <d v="2025-05-03T00:00:00"/>
    <n v="16"/>
    <x v="0"/>
    <x v="0"/>
    <s v="Rio de Janeiro"/>
    <s v="Consumer"/>
    <x v="0"/>
    <s v="J. Njeri"/>
    <x v="4"/>
    <s v="NET-8610"/>
    <n v="168.68"/>
    <n v="413.34"/>
    <n v="413.34"/>
    <n v="0.186"/>
    <n v="7"/>
    <n v="2355.2113199999999"/>
    <n v="1180.76"/>
    <n v="1174.4513199999999"/>
    <n v="0.49866069767361682"/>
    <d v="2023-05-24T00:00:00"/>
    <s v="Q2-2025"/>
    <s v="Americas → Brazil → Rio de Janeiro"/>
    <s v="Low"/>
    <d v="2025-04-01T00:00:00"/>
    <d v="2023-01-01T00:00:00"/>
    <n v="27"/>
    <n v="0"/>
  </r>
  <r>
    <s v="ORD-2025-246692"/>
    <d v="2025-04-17T00:00:00"/>
    <d v="2025-04-17T00:00:00"/>
    <n v="0"/>
    <x v="0"/>
    <x v="0"/>
    <s v="São Paulo"/>
    <s v="Corporate"/>
    <x v="3"/>
    <s v="L. Okafor"/>
    <x v="2"/>
    <s v="PHN-4566"/>
    <n v="719.41"/>
    <n v="1125.99"/>
    <n v="1125.99"/>
    <n v="4.1000000000000002E-2"/>
    <n v="21"/>
    <n v="22676.312610000001"/>
    <n v="15107.609999999999"/>
    <n v="7568.7026100000021"/>
    <n v="0.33377131194876403"/>
    <d v="2023-05-29T00:00:00"/>
    <s v="Q2-2025"/>
    <s v="Americas → Brazil → São Paulo"/>
    <s v="Medium"/>
    <d v="2025-04-01T00:00:00"/>
    <d v="2023-01-01T00:00:00"/>
    <n v="27"/>
    <n v="1"/>
  </r>
  <r>
    <s v="ORD-2025-757957"/>
    <d v="2025-04-24T00:00:00"/>
    <d v="2025-05-06T00:00:00"/>
    <n v="12"/>
    <x v="0"/>
    <x v="0"/>
    <s v="Brasília"/>
    <s v="Consumer"/>
    <x v="1"/>
    <s v="C. Otieno"/>
    <x v="2"/>
    <s v="PHN-2787"/>
    <n v="394.13"/>
    <n v="932.29"/>
    <n v="932.29"/>
    <n v="0.109"/>
    <n v="7"/>
    <n v="5814.6927299999998"/>
    <n v="2758.91"/>
    <n v="3055.7827299999999"/>
    <n v="0.5255278089303268"/>
    <d v="2023-06-10T00:00:00"/>
    <s v="Q2-2025"/>
    <s v="Americas → Brazil → Brasília"/>
    <s v="Medium"/>
    <d v="2025-04-01T00:00:00"/>
    <d v="2023-01-01T00:00:00"/>
    <n v="27"/>
    <n v="0"/>
  </r>
  <r>
    <s v="ORD-2025-779530"/>
    <d v="2025-05-17T00:00:00"/>
    <d v="2025-05-19T00:00:00"/>
    <n v="2"/>
    <x v="0"/>
    <x v="0"/>
    <s v="São Paulo"/>
    <s v="Small Business"/>
    <x v="3"/>
    <s v="L. Okafor"/>
    <x v="0"/>
    <s v="MON-2993"/>
    <n v="383.77"/>
    <n v="952.56"/>
    <n v="952.56"/>
    <n v="0.34599999999999997"/>
    <n v="10"/>
    <n v="6229.7423999999992"/>
    <n v="3837.7"/>
    <n v="2392.0423999999994"/>
    <n v="0.38397131797937578"/>
    <d v="2023-05-18T00:00:00"/>
    <s v="Q2-2025"/>
    <s v="Americas → Brazil → São Paulo"/>
    <s v="Medium"/>
    <d v="2025-05-01T00:00:00"/>
    <d v="2023-01-01T00:00:00"/>
    <n v="28"/>
    <n v="1"/>
  </r>
  <r>
    <s v="ORD-2025-997421"/>
    <d v="2025-05-21T00:00:00"/>
    <d v="2025-06-09T00:00:00"/>
    <n v="19"/>
    <x v="0"/>
    <x v="0"/>
    <s v="São Paulo"/>
    <s v="Non-Profit"/>
    <x v="1"/>
    <s v="A. Patel"/>
    <x v="1"/>
    <s v="CMP-3731"/>
    <n v="1331.38"/>
    <n v="2309.56"/>
    <n v="2309.56"/>
    <n v="0.14899999999999999"/>
    <n v="31"/>
    <n v="60928.502359999999"/>
    <n v="41272.780000000006"/>
    <n v="19655.722359999992"/>
    <n v="0.32260307735553528"/>
    <d v="2023-05-04T00:00:00"/>
    <s v="Q2-2025"/>
    <s v="Americas → Brazil → São Paulo"/>
    <s v="High"/>
    <d v="2025-05-01T00:00:00"/>
    <d v="2023-01-01T00:00:00"/>
    <n v="28"/>
    <n v="0"/>
  </r>
  <r>
    <s v="ORD-2025-843974"/>
    <d v="2025-07-20T00:00:00"/>
    <d v="2025-08-05T00:00:00"/>
    <n v="16"/>
    <x v="0"/>
    <x v="0"/>
    <s v="Brasília"/>
    <s v="Enterprise"/>
    <x v="0"/>
    <s v="G. Dubois"/>
    <x v="5"/>
    <s v="ACC-8098"/>
    <n v="1068.17"/>
    <n v="2375.37"/>
    <n v="2375.37"/>
    <n v="0.109"/>
    <n v="18"/>
    <n v="38096.18406"/>
    <n v="19227.060000000001"/>
    <n v="18869.124059999998"/>
    <n v="0.49530220744108822"/>
    <d v="2023-03-06T00:00:00"/>
    <s v="Q3-2025"/>
    <s v="Americas → Brazil → Brasília"/>
    <s v="High"/>
    <d v="2025-07-01T00:00:00"/>
    <d v="2023-01-01T00:00:00"/>
    <n v="30"/>
    <n v="0"/>
  </r>
  <r>
    <s v="ORD-2025-419532"/>
    <d v="2025-08-06T00:00:00"/>
    <d v="2025-08-23T00:00:00"/>
    <n v="17"/>
    <x v="0"/>
    <x v="0"/>
    <s v="Brasília"/>
    <s v="Consumer"/>
    <x v="3"/>
    <s v="A. Patel"/>
    <x v="0"/>
    <s v="MON-4317"/>
    <n v="86.64"/>
    <n v="213.06"/>
    <n v="213.06"/>
    <n v="0.21199999999999999"/>
    <n v="11"/>
    <n v="1846.8040799999999"/>
    <n v="953.04"/>
    <n v="893.76407999999992"/>
    <n v="0.48395175735154322"/>
    <d v="2023-02-24T00:00:00"/>
    <s v="Q3-2025"/>
    <s v="Americas → Brazil → Brasília"/>
    <s v="Low"/>
    <d v="2025-08-01T00:00:00"/>
    <d v="2023-01-01T00:00:00"/>
    <n v="31"/>
    <n v="0"/>
  </r>
  <r>
    <s v="ORD-2025-949776"/>
    <d v="2025-08-14T00:00:00"/>
    <d v="2025-09-11T00:00:00"/>
    <n v="28"/>
    <x v="0"/>
    <x v="0"/>
    <s v="São Paulo"/>
    <s v="Non-Profit"/>
    <x v="2"/>
    <s v="F. Müller"/>
    <x v="3"/>
    <s v="PRN-9490"/>
    <n v="1203.02"/>
    <n v="2439.33"/>
    <n v="2439.33"/>
    <n v="0"/>
    <n v="18"/>
    <n v="43907.94"/>
    <n v="21654.36"/>
    <n v="22253.58"/>
    <n v="0.50682359500354612"/>
    <d v="2023-01-29T00:00:00"/>
    <s v="Q3-2025"/>
    <s v="Americas → Brazil → São Paulo"/>
    <s v="High"/>
    <d v="2025-08-01T00:00:00"/>
    <d v="2023-01-01T00:00:00"/>
    <n v="31"/>
    <n v="0"/>
  </r>
  <r>
    <s v="ORD-2025-840976"/>
    <d v="2025-09-01T00:00:00"/>
    <d v="2025-09-30T00:00:00"/>
    <n v="29"/>
    <x v="0"/>
    <x v="0"/>
    <s v="Brasília"/>
    <s v="Education"/>
    <x v="4"/>
    <s v="K. Singh"/>
    <x v="5"/>
    <s v="ACC-1663"/>
    <n v="780.59"/>
    <n v="631.57000000000005"/>
    <n v="631.57000000000005"/>
    <n v="0"/>
    <n v="12"/>
    <n v="7578.84"/>
    <n v="9367.08"/>
    <n v="-1788.2399999999998"/>
    <n v="-0.23595167598207639"/>
    <d v="2023-01-29T00:00:00"/>
    <s v="Q3-2025"/>
    <s v="Americas → Brazil → Brasília"/>
    <s v="Low"/>
    <d v="2025-09-01T00:00:00"/>
    <d v="2023-01-01T00:00:00"/>
    <n v="32"/>
    <n v="0"/>
  </r>
  <r>
    <s v="ORD-2025-823055"/>
    <d v="2025-09-08T00:00:00"/>
    <d v="2025-10-05T00:00:00"/>
    <n v="27"/>
    <x v="0"/>
    <x v="0"/>
    <s v="Rio de Janeiro"/>
    <s v="Education"/>
    <x v="1"/>
    <s v="C. Otieno"/>
    <x v="0"/>
    <s v="MON-9274"/>
    <n v="660.78"/>
    <n v="1630.39"/>
    <n v="1630.39"/>
    <n v="0.218"/>
    <n v="13"/>
    <n v="16574.544740000001"/>
    <n v="8590.14"/>
    <n v="7984.4047400000018"/>
    <n v="0.48172694123724097"/>
    <d v="2023-01-27T00:00:00"/>
    <s v="Q3-2025"/>
    <s v="Americas → Brazil → Rio de Janeiro"/>
    <s v="Medium"/>
    <d v="2025-09-01T00:00:00"/>
    <d v="2023-01-01T00:00:00"/>
    <n v="32"/>
    <n v="0"/>
  </r>
  <r>
    <s v="ORD-2025-667201"/>
    <d v="2025-09-15T00:00:00"/>
    <d v="2025-09-18T00:00:00"/>
    <n v="3"/>
    <x v="0"/>
    <x v="0"/>
    <s v="Rio de Janeiro"/>
    <s v="Non-Profit"/>
    <x v="2"/>
    <s v="L. Okafor"/>
    <x v="5"/>
    <s v="ACC-6777"/>
    <n v="5.5"/>
    <n v="5.92"/>
    <n v="5.92"/>
    <n v="0.21199999999999999"/>
    <n v="4"/>
    <n v="18.659839999999999"/>
    <n v="22"/>
    <n v="-3.3401600000000009"/>
    <n v="-0.17900260666758133"/>
    <d v="2023-01-02T00:00:00"/>
    <s v="Q3-2025"/>
    <s v="Americas → Brazil → Rio de Janeiro"/>
    <s v="Low"/>
    <d v="2025-09-01T00:00:00"/>
    <d v="2023-01-01T00:00:00"/>
    <n v="32"/>
    <n v="1"/>
  </r>
  <r>
    <s v="ORD-2023-723587"/>
    <d v="2023-01-02T00:00:00"/>
    <d v="2023-01-05T00:00:00"/>
    <n v="3"/>
    <x v="0"/>
    <x v="1"/>
    <s v="Toronto"/>
    <s v="Corporate"/>
    <x v="3"/>
    <s v="B. Chen"/>
    <x v="6"/>
    <s v="LAP-8555"/>
    <n v="315.87"/>
    <n v="591.67999999999995"/>
    <n v="591.67999999999995"/>
    <n v="0"/>
    <n v="7"/>
    <n v="4141.7599999999993"/>
    <n v="2211.09"/>
    <n v="1930.6699999999992"/>
    <n v="0.46614724175229844"/>
    <d v="2025-09-08T00:00:00"/>
    <s v="Q1-2023"/>
    <s v="Americas → Canada → Toronto"/>
    <s v="Low"/>
    <d v="2023-01-01T00:00:00"/>
    <d v="2023-01-01T00:00:00"/>
    <n v="0"/>
    <n v="1"/>
  </r>
  <r>
    <s v="ORD-2023-562894"/>
    <d v="2023-02-23T00:00:00"/>
    <d v="2023-03-25T00:00:00"/>
    <n v="30"/>
    <x v="0"/>
    <x v="1"/>
    <s v="Montreal"/>
    <s v="Enterprise"/>
    <x v="1"/>
    <s v="D. Smith"/>
    <x v="2"/>
    <s v="PHN-4854"/>
    <n v="1242.6600000000001"/>
    <n v="1794.07"/>
    <n v="1794.07"/>
    <n v="8.8999999999999996E-2"/>
    <n v="16"/>
    <n v="26150.364320000001"/>
    <n v="19882.560000000001"/>
    <n v="6267.8043199999993"/>
    <n v="0.23968325042440553"/>
    <d v="2025-08-05T00:00:00"/>
    <s v="Q1-2023"/>
    <s v="Americas → Canada → Montreal"/>
    <s v="High"/>
    <d v="2023-02-01T00:00:00"/>
    <d v="2023-01-01T00:00:00"/>
    <n v="1"/>
    <n v="0"/>
  </r>
  <r>
    <s v="ORD-2023-276806"/>
    <d v="2023-03-04T00:00:00"/>
    <d v="2023-03-24T00:00:00"/>
    <n v="20"/>
    <x v="0"/>
    <x v="1"/>
    <s v="Montreal"/>
    <s v="Consumer"/>
    <x v="3"/>
    <s v="I. Johnson"/>
    <x v="6"/>
    <s v="LAP-6160"/>
    <n v="481.71"/>
    <n v="912.45"/>
    <n v="912.45"/>
    <n v="0.20300000000000001"/>
    <n v="24"/>
    <n v="17453.3436"/>
    <n v="11561.039999999999"/>
    <n v="5892.3036000000011"/>
    <n v="0.33760313983619739"/>
    <d v="2025-07-27T00:00:00"/>
    <s v="Q1-2023"/>
    <s v="Americas → Canada → Montreal"/>
    <s v="Medium"/>
    <d v="2023-03-01T00:00:00"/>
    <d v="2023-01-01T00:00:00"/>
    <n v="2"/>
    <n v="0"/>
  </r>
  <r>
    <s v="ORD-2023-987700"/>
    <d v="2023-04-05T00:00:00"/>
    <d v="2023-04-16T00:00:00"/>
    <n v="11"/>
    <x v="0"/>
    <x v="1"/>
    <s v="Vancouver"/>
    <s v="Non-Profit"/>
    <x v="1"/>
    <s v="O. Wang"/>
    <x v="0"/>
    <s v="MON-5259"/>
    <n v="213.1"/>
    <n v="501.31"/>
    <n v="501.31"/>
    <n v="5.6000000000000001E-2"/>
    <n v="15"/>
    <n v="7098.5495999999994"/>
    <n v="3196.5"/>
    <n v="3902.0495999999994"/>
    <n v="0.54969674368409005"/>
    <d v="2025-07-11T00:00:00"/>
    <s v="Q2-2023"/>
    <s v="Americas → Canada → Vancouver"/>
    <s v="Low"/>
    <d v="2023-04-01T00:00:00"/>
    <d v="2023-01-01T00:00:00"/>
    <n v="3"/>
    <n v="0"/>
  </r>
  <r>
    <s v="ORD-2023-356427"/>
    <d v="2023-04-13T00:00:00"/>
    <d v="2023-05-02T00:00:00"/>
    <n v="19"/>
    <x v="0"/>
    <x v="1"/>
    <s v="Montreal"/>
    <s v="Consumer"/>
    <x v="3"/>
    <s v="E. Garcia"/>
    <x v="0"/>
    <s v="MON-6053"/>
    <n v="671.05"/>
    <n v="1645.48"/>
    <n v="1645.48"/>
    <n v="0.13700000000000001"/>
    <n v="6"/>
    <n v="8520.2954399999999"/>
    <n v="4026.2999999999997"/>
    <n v="4493.9954400000006"/>
    <n v="0.52744596377517172"/>
    <d v="2025-06-26T00:00:00"/>
    <s v="Q2-2023"/>
    <s v="Americas → Canada → Montreal"/>
    <s v="High"/>
    <d v="2023-04-01T00:00:00"/>
    <d v="2023-01-01T00:00:00"/>
    <n v="3"/>
    <n v="0"/>
  </r>
  <r>
    <s v="ORD-2023-769774"/>
    <d v="2023-06-13T00:00:00"/>
    <d v="2023-06-24T00:00:00"/>
    <n v="11"/>
    <x v="0"/>
    <x v="1"/>
    <s v="Toronto"/>
    <s v="Corporate"/>
    <x v="1"/>
    <s v="C. Otieno"/>
    <x v="3"/>
    <s v="PRN-8008"/>
    <n v="247.07"/>
    <n v="495.19"/>
    <n v="495.19"/>
    <n v="2.8000000000000001E-2"/>
    <n v="4"/>
    <n v="1925.29872"/>
    <n v="988.28"/>
    <n v="937.01872000000003"/>
    <n v="0.48668744764968214"/>
    <d v="2025-04-22T00:00:00"/>
    <s v="Q2-2023"/>
    <s v="Americas → Canada → Toronto"/>
    <s v="Low"/>
    <d v="2023-06-01T00:00:00"/>
    <d v="2023-01-01T00:00:00"/>
    <n v="5"/>
    <n v="0"/>
  </r>
  <r>
    <s v="ORD-2023-890605"/>
    <d v="2023-06-22T00:00:00"/>
    <d v="2023-06-24T00:00:00"/>
    <n v="2"/>
    <x v="0"/>
    <x v="1"/>
    <s v="Toronto"/>
    <s v="Non-Profit"/>
    <x v="4"/>
    <s v="M. Rossi"/>
    <x v="5"/>
    <s v="ACC-2903"/>
    <n v="471.42"/>
    <n v="824.81"/>
    <n v="824.81"/>
    <n v="8.7999999999999995E-2"/>
    <n v="15"/>
    <n v="11283.400799999999"/>
    <n v="7071.3"/>
    <n v="4212.1007999999993"/>
    <n v="0.37330064531608231"/>
    <d v="2025-03-25T00:00:00"/>
    <s v="Q2-2023"/>
    <s v="Americas → Canada → Toronto"/>
    <s v="Medium"/>
    <d v="2023-06-01T00:00:00"/>
    <d v="2023-01-01T00:00:00"/>
    <n v="5"/>
    <n v="1"/>
  </r>
  <r>
    <s v="ORD-2023-921939"/>
    <d v="2023-06-23T00:00:00"/>
    <d v="2023-07-18T00:00:00"/>
    <n v="25"/>
    <x v="0"/>
    <x v="1"/>
    <s v="Vancouver"/>
    <s v="Enterprise"/>
    <x v="1"/>
    <s v="N. Brown"/>
    <x v="2"/>
    <s v="PHN-4677"/>
    <n v="807.02"/>
    <n v="1435.54"/>
    <n v="1435.54"/>
    <n v="0"/>
    <n v="23"/>
    <n v="33017.42"/>
    <n v="18561.46"/>
    <n v="14455.96"/>
    <n v="0.43782827368098415"/>
    <d v="2025-04-04T00:00:00"/>
    <s v="Q2-2023"/>
    <s v="Americas → Canada → Vancouver"/>
    <s v="Medium"/>
    <d v="2023-06-01T00:00:00"/>
    <d v="2023-01-01T00:00:00"/>
    <n v="5"/>
    <n v="0"/>
  </r>
  <r>
    <s v="ORD-2023-369160"/>
    <d v="2023-07-24T00:00:00"/>
    <d v="2023-08-13T00:00:00"/>
    <n v="20"/>
    <x v="0"/>
    <x v="1"/>
    <s v="Montreal"/>
    <s v="Education"/>
    <x v="2"/>
    <s v="C. Otieno"/>
    <x v="0"/>
    <s v="MON-3307"/>
    <n v="1082.3800000000001"/>
    <n v="1766.55"/>
    <n v="1766.55"/>
    <n v="0.16400000000000001"/>
    <n v="20"/>
    <n v="29536.716"/>
    <n v="21647.600000000002"/>
    <n v="7889.1159999999982"/>
    <n v="0.26709523157550752"/>
    <d v="2025-02-25T00:00:00"/>
    <s v="Q3-2023"/>
    <s v="Americas → Canada → Montreal"/>
    <s v="High"/>
    <d v="2023-07-01T00:00:00"/>
    <d v="2023-01-01T00:00:00"/>
    <n v="6"/>
    <n v="0"/>
  </r>
  <r>
    <s v="ORD-2023-713614"/>
    <d v="2023-08-02T00:00:00"/>
    <d v="2023-08-19T00:00:00"/>
    <n v="17"/>
    <x v="0"/>
    <x v="1"/>
    <s v="Vancouver"/>
    <s v="Corporate"/>
    <x v="1"/>
    <s v="F. Müller"/>
    <x v="4"/>
    <s v="NET-3689"/>
    <n v="175.38"/>
    <n v="347.9"/>
    <n v="347.9"/>
    <n v="7.1999999999999995E-2"/>
    <n v="43"/>
    <n v="13882.6016"/>
    <n v="7541.34"/>
    <n v="6341.2615999999998"/>
    <n v="0.45677761148169804"/>
    <d v="2025-02-02T00:00:00"/>
    <s v="Q3-2023"/>
    <s v="Americas → Canada → Vancouver"/>
    <s v="Low"/>
    <d v="2023-08-01T00:00:00"/>
    <d v="2023-01-01T00:00:00"/>
    <n v="7"/>
    <n v="0"/>
  </r>
  <r>
    <s v="ORD-2023-343322"/>
    <d v="2023-08-19T00:00:00"/>
    <d v="2023-09-12T00:00:00"/>
    <n v="24"/>
    <x v="0"/>
    <x v="1"/>
    <s v="Vancouver"/>
    <s v="Enterprise"/>
    <x v="4"/>
    <s v="I. Johnson"/>
    <x v="3"/>
    <s v="PRN-9669"/>
    <n v="1183.95"/>
    <n v="1503.53"/>
    <n v="1503.53"/>
    <n v="0.24099999999999999"/>
    <n v="16"/>
    <n v="18258.868320000001"/>
    <n v="18943.2"/>
    <n v="-684.33167999999932"/>
    <n v="-3.7479413729623705E-2"/>
    <d v="2025-02-06T00:00:00"/>
    <s v="Q3-2023"/>
    <s v="Americas → Canada → Vancouver"/>
    <s v="Medium"/>
    <d v="2023-08-01T00:00:00"/>
    <d v="2023-01-01T00:00:00"/>
    <n v="7"/>
    <n v="0"/>
  </r>
  <r>
    <s v="ORD-2023-603238"/>
    <d v="2023-08-21T00:00:00"/>
    <d v="2023-09-04T00:00:00"/>
    <n v="14"/>
    <x v="0"/>
    <x v="1"/>
    <s v="Montreal"/>
    <s v="Education"/>
    <x v="3"/>
    <s v="F. Müller"/>
    <x v="1"/>
    <s v="CMP-2136"/>
    <n v="178.19"/>
    <n v="284.43"/>
    <n v="284.43"/>
    <n v="8.8999999999999996E-2"/>
    <n v="8"/>
    <n v="2072.9258400000003"/>
    <n v="1425.52"/>
    <n v="647.40584000000035"/>
    <n v="0.31231500302972742"/>
    <d v="2025-02-04T00:00:00"/>
    <s v="Q3-2023"/>
    <s v="Americas → Canada → Montreal"/>
    <s v="Low"/>
    <d v="2023-08-01T00:00:00"/>
    <d v="2023-01-01T00:00:00"/>
    <n v="7"/>
    <n v="0"/>
  </r>
  <r>
    <s v="ORD-2023-987081"/>
    <d v="2023-08-29T00:00:00"/>
    <d v="2023-09-13T00:00:00"/>
    <n v="15"/>
    <x v="0"/>
    <x v="1"/>
    <s v="Vancouver"/>
    <s v="Small Business"/>
    <x v="0"/>
    <s v="O. Wang"/>
    <x v="3"/>
    <s v="PRN-9975"/>
    <n v="1287.6400000000001"/>
    <n v="2717.15"/>
    <n v="2717.15"/>
    <n v="3.2000000000000001E-2"/>
    <n v="7"/>
    <n v="18411.4084"/>
    <n v="9013.4800000000014"/>
    <n v="9397.9283999999989"/>
    <n v="0.51044049405802105"/>
    <d v="2025-01-11T00:00:00"/>
    <s v="Q3-2023"/>
    <s v="Americas → Canada → Vancouver"/>
    <s v="High"/>
    <d v="2023-08-01T00:00:00"/>
    <d v="2023-01-01T00:00:00"/>
    <n v="7"/>
    <n v="0"/>
  </r>
  <r>
    <s v="ORD-2023-488227"/>
    <d v="2023-09-08T00:00:00"/>
    <d v="2023-10-02T00:00:00"/>
    <n v="24"/>
    <x v="0"/>
    <x v="1"/>
    <s v="Toronto"/>
    <s v="Education"/>
    <x v="2"/>
    <s v="A. Patel"/>
    <x v="5"/>
    <s v="ACC-3415"/>
    <n v="1299.03"/>
    <n v="2451.2199999999998"/>
    <n v="2451.2199999999998"/>
    <n v="0.20799999999999999"/>
    <n v="8"/>
    <n v="15530.929919999999"/>
    <n v="10392.24"/>
    <n v="5138.6899199999989"/>
    <n v="0.3308681416032041"/>
    <d v="2025-01-07T00:00:00"/>
    <s v="Q3-2023"/>
    <s v="Americas → Canada → Toronto"/>
    <s v="High"/>
    <d v="2023-09-01T00:00:00"/>
    <d v="2023-01-01T00:00:00"/>
    <n v="8"/>
    <n v="0"/>
  </r>
  <r>
    <s v="ORD-2023-163610"/>
    <d v="2023-10-22T00:00:00"/>
    <d v="2023-11-16T00:00:00"/>
    <n v="25"/>
    <x v="0"/>
    <x v="1"/>
    <s v="Toronto"/>
    <s v="Small Business"/>
    <x v="0"/>
    <s v="I. Johnson"/>
    <x v="6"/>
    <s v="LAP-9024"/>
    <n v="1373.31"/>
    <n v="3154.14"/>
    <n v="3154.14"/>
    <n v="0.2"/>
    <n v="11"/>
    <n v="27756.432000000001"/>
    <n v="15106.41"/>
    <n v="12650.022000000001"/>
    <n v="0.45575101295440279"/>
    <d v="2024-11-30T00:00:00"/>
    <s v="Q4-2023"/>
    <s v="Americas → Canada → Toronto"/>
    <s v="High"/>
    <d v="2023-10-01T00:00:00"/>
    <d v="2023-01-01T00:00:00"/>
    <n v="9"/>
    <n v="0"/>
  </r>
  <r>
    <s v="ORD-2023-126505"/>
    <d v="2023-12-19T00:00:00"/>
    <d v="2024-01-01T00:00:00"/>
    <n v="13"/>
    <x v="0"/>
    <x v="1"/>
    <s v="Toronto"/>
    <s v="Enterprise"/>
    <x v="4"/>
    <s v="K. Singh"/>
    <x v="0"/>
    <s v="MON-6065"/>
    <n v="856.1"/>
    <n v="901.48"/>
    <n v="901.48"/>
    <n v="5.6000000000000001E-2"/>
    <n v="17"/>
    <n v="14466.95104"/>
    <n v="14553.7"/>
    <n v="-86.748960000000807"/>
    <n v="-5.9963540182134192E-3"/>
    <d v="2024-11-04T00:00:00"/>
    <s v="Q4-2023"/>
    <s v="Americas → Canada → Toronto"/>
    <s v="Medium"/>
    <d v="2023-12-01T00:00:00"/>
    <d v="2023-01-01T00:00:00"/>
    <n v="11"/>
    <n v="0"/>
  </r>
  <r>
    <s v="ORD-2024-355095"/>
    <d v="2024-01-02T00:00:00"/>
    <d v="2024-01-02T00:00:00"/>
    <n v="0"/>
    <x v="0"/>
    <x v="1"/>
    <s v="Vancouver"/>
    <s v="Education"/>
    <x v="2"/>
    <s v="A. Patel"/>
    <x v="6"/>
    <s v="LAP-3581"/>
    <n v="444.41"/>
    <n v="754.24"/>
    <n v="754.24"/>
    <n v="0.20699999999999999"/>
    <n v="32"/>
    <n v="19139.594240000002"/>
    <n v="14221.12"/>
    <n v="4918.4742400000014"/>
    <n v="0.25697902360546598"/>
    <d v="2024-10-10T00:00:00"/>
    <s v="Q1-2024"/>
    <s v="Americas → Canada → Vancouver"/>
    <s v="Low"/>
    <d v="2024-01-01T00:00:00"/>
    <d v="2023-01-01T00:00:00"/>
    <n v="12"/>
    <n v="1"/>
  </r>
  <r>
    <s v="ORD-2024-544865"/>
    <d v="2024-02-16T00:00:00"/>
    <d v="2024-03-04T00:00:00"/>
    <n v="17"/>
    <x v="0"/>
    <x v="1"/>
    <s v="Montreal"/>
    <s v="Non-Profit"/>
    <x v="4"/>
    <s v="D. Smith"/>
    <x v="6"/>
    <s v="LAP-2774"/>
    <n v="1350.98"/>
    <n v="2210.4"/>
    <n v="2210.4"/>
    <n v="0.26300000000000001"/>
    <n v="6"/>
    <n v="9774.3888000000006"/>
    <n v="8105.88"/>
    <n v="1668.5088000000005"/>
    <n v="0.17070211080615091"/>
    <d v="2024-08-14T00:00:00"/>
    <s v="Q1-2024"/>
    <s v="Americas → Canada → Montreal"/>
    <s v="High"/>
    <d v="2024-02-01T00:00:00"/>
    <d v="2023-01-01T00:00:00"/>
    <n v="13"/>
    <n v="0"/>
  </r>
  <r>
    <s v="ORD-2024-792137"/>
    <d v="2024-03-02T00:00:00"/>
    <d v="2024-03-16T00:00:00"/>
    <n v="14"/>
    <x v="0"/>
    <x v="1"/>
    <s v="Vancouver"/>
    <s v="Non-Profit"/>
    <x v="2"/>
    <s v="O. Wang"/>
    <x v="3"/>
    <s v="PRN-7976"/>
    <n v="248.24"/>
    <n v="464.05"/>
    <n v="464.05"/>
    <n v="0.16900000000000001"/>
    <n v="11"/>
    <n v="4241.88105"/>
    <n v="2730.6400000000003"/>
    <n v="1511.2410499999996"/>
    <n v="0.3562667203975462"/>
    <d v="2024-08-03T00:00:00"/>
    <s v="Q1-2024"/>
    <s v="Americas → Canada → Vancouver"/>
    <s v="Low"/>
    <d v="2024-03-01T00:00:00"/>
    <d v="2023-01-01T00:00:00"/>
    <n v="14"/>
    <n v="0"/>
  </r>
  <r>
    <s v="ORD-2024-220234"/>
    <d v="2024-03-15T00:00:00"/>
    <d v="2024-04-09T00:00:00"/>
    <n v="25"/>
    <x v="0"/>
    <x v="1"/>
    <s v="Vancouver"/>
    <s v="Consumer"/>
    <x v="1"/>
    <s v="F. Müller"/>
    <x v="0"/>
    <s v="MON-4361"/>
    <n v="648.64"/>
    <n v="815.19"/>
    <n v="815.19"/>
    <n v="0.22500000000000001"/>
    <n v="28"/>
    <n v="17689.623"/>
    <n v="18161.919999999998"/>
    <n v="-472.29699999999866"/>
    <n v="-2.6699099240272032E-2"/>
    <d v="2024-06-30T00:00:00"/>
    <s v="Q1-2024"/>
    <s v="Americas → Canada → Vancouver"/>
    <s v="Low"/>
    <d v="2024-03-01T00:00:00"/>
    <d v="2023-01-01T00:00:00"/>
    <n v="14"/>
    <n v="0"/>
  </r>
  <r>
    <s v="ORD-2024-389336"/>
    <d v="2024-05-20T00:00:00"/>
    <d v="2024-06-02T00:00:00"/>
    <n v="13"/>
    <x v="0"/>
    <x v="1"/>
    <s v="Vancouver"/>
    <s v="Enterprise"/>
    <x v="0"/>
    <s v="K. Singh"/>
    <x v="1"/>
    <s v="CMP-5946"/>
    <n v="675.43"/>
    <n v="996.36"/>
    <n v="996.36"/>
    <n v="0.182"/>
    <n v="22"/>
    <n v="17930.494560000003"/>
    <n v="14859.46"/>
    <n v="3071.0345600000037"/>
    <n v="0.17127439233332575"/>
    <d v="2024-05-17T00:00:00"/>
    <s v="Q2-2024"/>
    <s v="Americas → Canada → Vancouver"/>
    <s v="Medium"/>
    <d v="2024-05-01T00:00:00"/>
    <d v="2023-01-01T00:00:00"/>
    <n v="16"/>
    <n v="0"/>
  </r>
  <r>
    <s v="ORD-2024-886939"/>
    <d v="2024-06-03T00:00:00"/>
    <d v="2024-06-24T00:00:00"/>
    <n v="21"/>
    <x v="0"/>
    <x v="1"/>
    <s v="Toronto"/>
    <s v="Small Business"/>
    <x v="2"/>
    <s v="G. Dubois"/>
    <x v="0"/>
    <s v="MON-5386"/>
    <n v="1205.5"/>
    <n v="2210.17"/>
    <n v="2210.17"/>
    <n v="0.104"/>
    <n v="23"/>
    <n v="45547.183360000003"/>
    <n v="27726.5"/>
    <n v="17820.683360000003"/>
    <n v="0.39125763758314652"/>
    <d v="2024-05-07T00:00:00"/>
    <s v="Q2-2024"/>
    <s v="Americas → Canada → Toronto"/>
    <s v="High"/>
    <d v="2024-06-01T00:00:00"/>
    <d v="2023-01-01T00:00:00"/>
    <n v="17"/>
    <n v="0"/>
  </r>
  <r>
    <s v="ORD-2024-389102"/>
    <d v="2024-06-15T00:00:00"/>
    <d v="2024-07-06T00:00:00"/>
    <n v="21"/>
    <x v="0"/>
    <x v="1"/>
    <s v="Toronto"/>
    <s v="Enterprise"/>
    <x v="3"/>
    <s v="L. Okafor"/>
    <x v="3"/>
    <s v="PRN-4453"/>
    <n v="817.23"/>
    <n v="1467.17"/>
    <n v="1467.17"/>
    <n v="0.245"/>
    <n v="9"/>
    <n v="9969.4201499999999"/>
    <n v="7355.07"/>
    <n v="2614.3501500000002"/>
    <n v="0.26223693160328893"/>
    <d v="2024-04-03T00:00:00"/>
    <s v="Q2-2024"/>
    <s v="Americas → Canada → Toronto"/>
    <s v="Medium"/>
    <d v="2024-06-01T00:00:00"/>
    <d v="2023-01-01T00:00:00"/>
    <n v="17"/>
    <n v="0"/>
  </r>
  <r>
    <s v="ORD-2024-901115"/>
    <d v="2024-07-25T00:00:00"/>
    <d v="2024-08-02T00:00:00"/>
    <n v="8"/>
    <x v="0"/>
    <x v="1"/>
    <s v="Montreal"/>
    <s v="Consumer"/>
    <x v="2"/>
    <s v="J. Njeri"/>
    <x v="5"/>
    <s v="ACC-6626"/>
    <n v="986.81"/>
    <n v="2050.31"/>
    <n v="2050.31"/>
    <n v="0.10299999999999999"/>
    <n v="43"/>
    <n v="79082.507010000001"/>
    <n v="42432.829999999994"/>
    <n v="36649.677010000007"/>
    <n v="0.46343595310358138"/>
    <d v="2024-03-02T00:00:00"/>
    <s v="Q3-2024"/>
    <s v="Americas → Canada → Montreal"/>
    <s v="High"/>
    <d v="2024-07-01T00:00:00"/>
    <d v="2023-01-01T00:00:00"/>
    <n v="18"/>
    <n v="0"/>
  </r>
  <r>
    <s v="ORD-2024-550400"/>
    <d v="2024-08-19T00:00:00"/>
    <d v="2024-09-02T00:00:00"/>
    <n v="14"/>
    <x v="0"/>
    <x v="1"/>
    <s v="Toronto"/>
    <s v="Consumer"/>
    <x v="3"/>
    <s v="C. Otieno"/>
    <x v="3"/>
    <s v="PRN-9793"/>
    <n v="1337.01"/>
    <n v="1269.78"/>
    <n v="1269.78"/>
    <n v="0.16"/>
    <n v="7"/>
    <n v="7466.3063999999986"/>
    <n v="9359.07"/>
    <n v="-1892.7636000000011"/>
    <n v="-0.25350735672996244"/>
    <d v="2024-02-03T00:00:00"/>
    <s v="Q3-2024"/>
    <s v="Americas → Canada → Toronto"/>
    <s v="Medium"/>
    <d v="2024-08-01T00:00:00"/>
    <d v="2023-01-01T00:00:00"/>
    <n v="19"/>
    <n v="0"/>
  </r>
  <r>
    <s v="ORD-2024-438404"/>
    <d v="2024-09-23T00:00:00"/>
    <d v="2024-10-18T00:00:00"/>
    <n v="25"/>
    <x v="0"/>
    <x v="1"/>
    <s v="Vancouver"/>
    <s v="Small Business"/>
    <x v="1"/>
    <s v="N. Brown"/>
    <x v="2"/>
    <s v="PHN-4568"/>
    <n v="1297"/>
    <n v="2411.52"/>
    <n v="2411.52"/>
    <n v="2.1000000000000001E-2"/>
    <n v="18"/>
    <n v="42495.805439999996"/>
    <n v="23346"/>
    <n v="19149.805439999996"/>
    <n v="0.45062813239385913"/>
    <d v="2024-01-13T00:00:00"/>
    <s v="Q3-2024"/>
    <s v="Americas → Canada → Vancouver"/>
    <s v="High"/>
    <d v="2024-09-01T00:00:00"/>
    <d v="2023-01-01T00:00:00"/>
    <n v="20"/>
    <n v="0"/>
  </r>
  <r>
    <s v="ORD-2024-510520"/>
    <d v="2024-09-25T00:00:00"/>
    <d v="2024-10-03T00:00:00"/>
    <n v="8"/>
    <x v="0"/>
    <x v="1"/>
    <s v="Toronto"/>
    <s v="Consumer"/>
    <x v="1"/>
    <s v="E. Garcia"/>
    <x v="3"/>
    <s v="PRN-9557"/>
    <n v="558.19000000000005"/>
    <n v="1031.6400000000001"/>
    <n v="1031.6400000000001"/>
    <n v="0"/>
    <n v="21"/>
    <n v="21664.440000000002"/>
    <n v="11721.990000000002"/>
    <n v="9942.4500000000007"/>
    <n v="0.45892947152107322"/>
    <d v="2023-12-29T00:00:00"/>
    <s v="Q3-2024"/>
    <s v="Americas → Canada → Toronto"/>
    <s v="Medium"/>
    <d v="2024-09-01T00:00:00"/>
    <d v="2023-01-01T00:00:00"/>
    <n v="20"/>
    <n v="0"/>
  </r>
  <r>
    <s v="ORD-2024-170021"/>
    <d v="2024-11-05T00:00:00"/>
    <d v="2024-11-08T00:00:00"/>
    <n v="3"/>
    <x v="0"/>
    <x v="1"/>
    <s v="Toronto"/>
    <s v="Education"/>
    <x v="0"/>
    <s v="O. Wang"/>
    <x v="1"/>
    <s v="CMP-2015"/>
    <n v="1020.4"/>
    <n v="1184.71"/>
    <n v="1184.71"/>
    <n v="0.106"/>
    <n v="16"/>
    <n v="16946.091840000001"/>
    <n v="16326.4"/>
    <n v="619.69184000000132"/>
    <n v="3.6568422138328345E-2"/>
    <d v="2023-11-19T00:00:00"/>
    <s v="Q4-2024"/>
    <s v="Americas → Canada → Toronto"/>
    <s v="Medium"/>
    <d v="2024-11-01T00:00:00"/>
    <d v="2023-01-01T00:00:00"/>
    <n v="22"/>
    <n v="1"/>
  </r>
  <r>
    <s v="ORD-2024-468501"/>
    <d v="2024-11-06T00:00:00"/>
    <d v="2024-11-22T00:00:00"/>
    <n v="16"/>
    <x v="0"/>
    <x v="1"/>
    <s v="Toronto"/>
    <s v="Non-Profit"/>
    <x v="3"/>
    <s v="D. Smith"/>
    <x v="5"/>
    <s v="ACC-6348"/>
    <n v="1454.11"/>
    <n v="2629.75"/>
    <n v="2629.75"/>
    <n v="0.29199999999999998"/>
    <n v="8"/>
    <n v="14894.903999999999"/>
    <n v="11632.88"/>
    <n v="3262.0239999999994"/>
    <n v="0.21900268709351867"/>
    <d v="2023-11-30T00:00:00"/>
    <s v="Q4-2024"/>
    <s v="Americas → Canada → Toronto"/>
    <s v="High"/>
    <d v="2024-11-01T00:00:00"/>
    <d v="2023-01-01T00:00:00"/>
    <n v="22"/>
    <n v="0"/>
  </r>
  <r>
    <s v="ORD-2024-371409"/>
    <d v="2024-11-17T00:00:00"/>
    <d v="2024-11-28T00:00:00"/>
    <n v="11"/>
    <x v="0"/>
    <x v="1"/>
    <s v="Vancouver"/>
    <s v="Consumer"/>
    <x v="3"/>
    <s v="A. Patel"/>
    <x v="3"/>
    <s v="PRN-1371"/>
    <n v="1008.16"/>
    <n v="2077.5"/>
    <n v="2077.5"/>
    <n v="7.3999999999999996E-2"/>
    <n v="15"/>
    <n v="28856.475000000002"/>
    <n v="15122.4"/>
    <n v="13734.075000000003"/>
    <n v="0.47594430712691005"/>
    <d v="2023-11-14T00:00:00"/>
    <s v="Q4-2024"/>
    <s v="Americas → Canada → Vancouver"/>
    <s v="High"/>
    <d v="2024-11-01T00:00:00"/>
    <d v="2023-01-01T00:00:00"/>
    <n v="22"/>
    <n v="0"/>
  </r>
  <r>
    <s v="ORD-2024-478165"/>
    <d v="2024-12-05T00:00:00"/>
    <d v="2024-12-28T00:00:00"/>
    <n v="23"/>
    <x v="0"/>
    <x v="1"/>
    <s v="Vancouver"/>
    <s v="Corporate"/>
    <x v="2"/>
    <s v="F. Müller"/>
    <x v="5"/>
    <s v="ACC-2386"/>
    <n v="107.03"/>
    <n v="242.29"/>
    <n v="242.29"/>
    <n v="0.18"/>
    <n v="30"/>
    <n v="5960.3340000000007"/>
    <n v="3210.9"/>
    <n v="2749.4340000000007"/>
    <n v="0.46128857879440988"/>
    <d v="2023-10-05T00:00:00"/>
    <s v="Q4-2024"/>
    <s v="Americas → Canada → Vancouver"/>
    <s v="Low"/>
    <d v="2024-12-01T00:00:00"/>
    <d v="2023-01-01T00:00:00"/>
    <n v="23"/>
    <n v="0"/>
  </r>
  <r>
    <s v="ORD-2024-257550"/>
    <d v="2024-12-27T00:00:00"/>
    <d v="2024-12-29T00:00:00"/>
    <n v="2"/>
    <x v="0"/>
    <x v="1"/>
    <s v="Vancouver"/>
    <s v="Enterprise"/>
    <x v="0"/>
    <s v="C. Otieno"/>
    <x v="5"/>
    <s v="ACC-8620"/>
    <n v="1146.72"/>
    <n v="2074.34"/>
    <n v="2074.34"/>
    <n v="0.111"/>
    <n v="8"/>
    <n v="14752.706080000002"/>
    <n v="9173.76"/>
    <n v="5578.9460800000015"/>
    <n v="0.37816425337472737"/>
    <d v="2023-09-25T00:00:00"/>
    <s v="Q4-2024"/>
    <s v="Americas → Canada → Vancouver"/>
    <s v="High"/>
    <d v="2024-12-01T00:00:00"/>
    <d v="2023-01-01T00:00:00"/>
    <n v="23"/>
    <n v="1"/>
  </r>
  <r>
    <s v="ORD-2025-705398"/>
    <d v="2025-02-15T00:00:00"/>
    <d v="2025-02-17T00:00:00"/>
    <n v="2"/>
    <x v="0"/>
    <x v="1"/>
    <s v="Toronto"/>
    <s v="Small Business"/>
    <x v="4"/>
    <s v="D. Smith"/>
    <x v="1"/>
    <s v="CMP-5065"/>
    <n v="1133.47"/>
    <n v="1698.75"/>
    <n v="1698.75"/>
    <n v="4.2999999999999997E-2"/>
    <n v="5"/>
    <n v="8128.5187499999993"/>
    <n v="5667.35"/>
    <n v="2461.1687499999989"/>
    <n v="0.30278194904821976"/>
    <d v="2023-07-30T00:00:00"/>
    <s v="Q1-2025"/>
    <s v="Americas → Canada → Toronto"/>
    <s v="High"/>
    <d v="2025-02-01T00:00:00"/>
    <d v="2023-01-01T00:00:00"/>
    <n v="25"/>
    <n v="1"/>
  </r>
  <r>
    <s v="ORD-2025-246470"/>
    <d v="2025-04-16T00:00:00"/>
    <d v="2025-05-16T00:00:00"/>
    <n v="30"/>
    <x v="0"/>
    <x v="1"/>
    <s v="Montreal"/>
    <s v="Enterprise"/>
    <x v="3"/>
    <s v="K. Singh"/>
    <x v="3"/>
    <s v="PRN-6178"/>
    <n v="763.32"/>
    <n v="568.29"/>
    <n v="568.29"/>
    <n v="0.13100000000000001"/>
    <n v="16"/>
    <n v="7901.5041599999995"/>
    <n v="12213.12"/>
    <n v="-4311.6158400000013"/>
    <n v="-0.54567026134426555"/>
    <d v="2023-06-15T00:00:00"/>
    <s v="Q2-2025"/>
    <s v="Americas → Canada → Montreal"/>
    <s v="Low"/>
    <d v="2025-04-01T00:00:00"/>
    <d v="2023-01-01T00:00:00"/>
    <n v="27"/>
    <n v="0"/>
  </r>
  <r>
    <s v="ORD-2025-191328"/>
    <d v="2025-05-10T00:00:00"/>
    <d v="2025-05-27T00:00:00"/>
    <n v="17"/>
    <x v="0"/>
    <x v="1"/>
    <s v="Vancouver"/>
    <s v="Education"/>
    <x v="2"/>
    <s v="C. Otieno"/>
    <x v="1"/>
    <s v="CMP-9307"/>
    <n v="862.89"/>
    <n v="1426.03"/>
    <n v="1426.03"/>
    <n v="5.6000000000000001E-2"/>
    <n v="19"/>
    <n v="25577.274079999999"/>
    <n v="16394.91"/>
    <n v="9182.3640799999994"/>
    <n v="0.35900479665188778"/>
    <d v="2023-06-01T00:00:00"/>
    <s v="Q2-2025"/>
    <s v="Americas → Canada → Vancouver"/>
    <s v="Medium"/>
    <d v="2025-05-01T00:00:00"/>
    <d v="2023-01-01T00:00:00"/>
    <n v="28"/>
    <n v="0"/>
  </r>
  <r>
    <s v="ORD-2025-874124"/>
    <d v="2025-05-12T00:00:00"/>
    <d v="2025-05-14T00:00:00"/>
    <n v="2"/>
    <x v="0"/>
    <x v="1"/>
    <s v="Vancouver"/>
    <s v="Non-Profit"/>
    <x v="3"/>
    <s v="F. Müller"/>
    <x v="3"/>
    <s v="PRN-2407"/>
    <n v="883.5"/>
    <n v="1978.91"/>
    <n v="1978.91"/>
    <n v="5.3999999999999999E-2"/>
    <n v="27"/>
    <n v="50545.319219999998"/>
    <n v="23854.5"/>
    <n v="26690.819219999998"/>
    <n v="0.52805718970390547"/>
    <d v="2023-05-11T00:00:00"/>
    <s v="Q2-2025"/>
    <s v="Americas → Canada → Vancouver"/>
    <s v="High"/>
    <d v="2025-05-01T00:00:00"/>
    <d v="2023-01-01T00:00:00"/>
    <n v="28"/>
    <n v="1"/>
  </r>
  <r>
    <s v="ORD-2025-698069"/>
    <d v="2025-06-03T00:00:00"/>
    <d v="2025-06-10T00:00:00"/>
    <n v="7"/>
    <x v="0"/>
    <x v="1"/>
    <s v="Toronto"/>
    <s v="Consumer"/>
    <x v="3"/>
    <s v="O. Wang"/>
    <x v="3"/>
    <s v="PRN-6429"/>
    <n v="75.180000000000007"/>
    <n v="53.45"/>
    <n v="53.45"/>
    <n v="0.157"/>
    <n v="17"/>
    <n v="765.99195000000009"/>
    <n v="1278.0600000000002"/>
    <n v="-512.06805000000008"/>
    <n v="-0.66850317421743144"/>
    <d v="2023-04-14T00:00:00"/>
    <s v="Q2-2025"/>
    <s v="Americas → Canada → Toronto"/>
    <s v="Low"/>
    <d v="2025-06-01T00:00:00"/>
    <d v="2023-01-01T00:00:00"/>
    <n v="29"/>
    <n v="1"/>
  </r>
  <r>
    <s v="ORD-2025-306903"/>
    <d v="2025-06-24T00:00:00"/>
    <d v="2025-07-23T00:00:00"/>
    <n v="29"/>
    <x v="0"/>
    <x v="1"/>
    <s v="Vancouver"/>
    <s v="Non-Profit"/>
    <x v="0"/>
    <s v="I. Johnson"/>
    <x v="3"/>
    <s v="PRN-3775"/>
    <n v="255.4"/>
    <n v="322.70999999999998"/>
    <n v="322.70999999999998"/>
    <n v="0.115"/>
    <n v="16"/>
    <n v="4569.5735999999997"/>
    <n v="4086.4"/>
    <n v="483.17359999999962"/>
    <n v="0.10573713048412212"/>
    <d v="2023-04-16T00:00:00"/>
    <s v="Q2-2025"/>
    <s v="Americas → Canada → Vancouver"/>
    <s v="Low"/>
    <d v="2025-06-01T00:00:00"/>
    <d v="2023-01-01T00:00:00"/>
    <n v="29"/>
    <n v="0"/>
  </r>
  <r>
    <s v="ORD-2025-956101"/>
    <d v="2025-07-09T00:00:00"/>
    <d v="2025-07-18T00:00:00"/>
    <n v="9"/>
    <x v="0"/>
    <x v="1"/>
    <s v="Vancouver"/>
    <s v="Education"/>
    <x v="3"/>
    <s v="I. Johnson"/>
    <x v="6"/>
    <s v="LAP-2218"/>
    <n v="57.96"/>
    <n v="88.51"/>
    <n v="88.51"/>
    <n v="4.2999999999999997E-2"/>
    <n v="7"/>
    <n v="592.92849000000001"/>
    <n v="405.72"/>
    <n v="187.20848999999998"/>
    <n v="0.3157353595877978"/>
    <d v="2023-03-31T00:00:00"/>
    <s v="Q3-2025"/>
    <s v="Americas → Canada → Vancouver"/>
    <s v="Low"/>
    <d v="2025-07-01T00:00:00"/>
    <d v="2023-01-01T00:00:00"/>
    <n v="30"/>
    <n v="0"/>
  </r>
  <r>
    <s v="ORD-2025-586799"/>
    <d v="2025-07-14T00:00:00"/>
    <d v="2025-08-04T00:00:00"/>
    <n v="21"/>
    <x v="0"/>
    <x v="1"/>
    <s v="Montreal"/>
    <s v="Consumer"/>
    <x v="1"/>
    <s v="H. Kim"/>
    <x v="0"/>
    <s v="MON-7868"/>
    <n v="90.3"/>
    <n v="131.76"/>
    <n v="131.76"/>
    <n v="0.10199999999999999"/>
    <n v="15"/>
    <n v="1774.8072"/>
    <n v="1354.5"/>
    <n v="420.30719999999997"/>
    <n v="0.23681851189244668"/>
    <d v="2023-04-06T00:00:00"/>
    <s v="Q3-2025"/>
    <s v="Americas → Canada → Montreal"/>
    <s v="Low"/>
    <d v="2025-07-01T00:00:00"/>
    <d v="2023-01-01T00:00:00"/>
    <n v="30"/>
    <n v="0"/>
  </r>
  <r>
    <s v="ORD-2025-132174"/>
    <d v="2025-07-17T00:00:00"/>
    <d v="2025-07-23T00:00:00"/>
    <n v="6"/>
    <x v="0"/>
    <x v="1"/>
    <s v="Vancouver"/>
    <s v="Consumer"/>
    <x v="1"/>
    <s v="H. Kim"/>
    <x v="1"/>
    <s v="CMP-8851"/>
    <n v="1364.89"/>
    <n v="2757.54"/>
    <n v="2757.54"/>
    <n v="0.17199999999999999"/>
    <n v="61"/>
    <n v="139277.83032000001"/>
    <n v="83258.290000000008"/>
    <n v="56019.54032"/>
    <n v="0.4022143379983118"/>
    <d v="2023-03-31T00:00:00"/>
    <s v="Q3-2025"/>
    <s v="Americas → Canada → Vancouver"/>
    <s v="High"/>
    <d v="2025-07-01T00:00:00"/>
    <d v="2023-01-01T00:00:00"/>
    <n v="30"/>
    <n v="1"/>
  </r>
  <r>
    <s v="ORD-2025-281413"/>
    <d v="2025-08-03T00:00:00"/>
    <d v="2025-08-16T00:00:00"/>
    <n v="13"/>
    <x v="0"/>
    <x v="1"/>
    <s v="Montreal"/>
    <s v="Enterprise"/>
    <x v="3"/>
    <s v="O. Wang"/>
    <x v="4"/>
    <s v="NET-3785"/>
    <n v="698.66"/>
    <n v="868.62"/>
    <n v="868.62"/>
    <n v="7.1999999999999995E-2"/>
    <n v="15"/>
    <n v="12091.190399999999"/>
    <n v="10479.9"/>
    <n v="1611.2903999999999"/>
    <n v="0.13326151906432637"/>
    <d v="2023-02-23T00:00:00"/>
    <s v="Q3-2025"/>
    <s v="Americas → Canada → Montreal"/>
    <s v="Medium"/>
    <d v="2025-08-01T00:00:00"/>
    <d v="2023-01-01T00:00:00"/>
    <n v="31"/>
    <n v="0"/>
  </r>
  <r>
    <s v="ORD-2025-822030"/>
    <d v="2025-08-07T00:00:00"/>
    <d v="2025-09-06T00:00:00"/>
    <n v="30"/>
    <x v="0"/>
    <x v="1"/>
    <s v="Montreal"/>
    <s v="Education"/>
    <x v="2"/>
    <s v="M. Rossi"/>
    <x v="4"/>
    <s v="NET-1336"/>
    <n v="833.73"/>
    <n v="1116.5999999999999"/>
    <n v="1116.5999999999999"/>
    <n v="0.17599999999999999"/>
    <n v="14"/>
    <n v="12881.097599999999"/>
    <n v="11672.220000000001"/>
    <n v="1208.877599999998"/>
    <n v="9.3848958958279924E-2"/>
    <d v="2023-02-23T00:00:00"/>
    <s v="Q3-2025"/>
    <s v="Americas → Canada → Montreal"/>
    <s v="Medium"/>
    <d v="2025-08-01T00:00:00"/>
    <d v="2023-01-01T00:00:00"/>
    <n v="31"/>
    <n v="0"/>
  </r>
  <r>
    <s v="ORD-2025-898022"/>
    <d v="2025-09-02T00:00:00"/>
    <d v="2025-09-11T00:00:00"/>
    <n v="9"/>
    <x v="0"/>
    <x v="1"/>
    <s v="Toronto"/>
    <s v="Corporate"/>
    <x v="3"/>
    <s v="M. Rossi"/>
    <x v="3"/>
    <s v="PRN-1276"/>
    <n v="1207.6300000000001"/>
    <n v="921.68"/>
    <n v="921.68"/>
    <n v="0.19600000000000001"/>
    <n v="17"/>
    <n v="12597.52224"/>
    <n v="20529.710000000003"/>
    <n v="-7932.1877600000025"/>
    <n v="-0.62966253274897988"/>
    <d v="2023-01-20T00:00:00"/>
    <s v="Q3-2025"/>
    <s v="Americas → Canada → Toronto"/>
    <s v="Medium"/>
    <d v="2025-09-01T00:00:00"/>
    <d v="2023-01-01T00:00:00"/>
    <n v="32"/>
    <n v="0"/>
  </r>
  <r>
    <s v="ORD-2023-700699"/>
    <d v="2023-01-12T00:00:00"/>
    <d v="2023-01-26T00:00:00"/>
    <n v="14"/>
    <x v="1"/>
    <x v="2"/>
    <s v="Shenzhen"/>
    <s v="Non-Profit"/>
    <x v="4"/>
    <s v="M. Rossi"/>
    <x v="3"/>
    <s v="PRN-1641"/>
    <n v="1083.0899999999999"/>
    <n v="1425.87"/>
    <n v="1425.87"/>
    <n v="0"/>
    <n v="8"/>
    <n v="11406.96"/>
    <n v="8664.7199999999993"/>
    <n v="2742.24"/>
    <n v="0.24040059752992909"/>
    <d v="2025-09-01T00:00:00"/>
    <s v="Q1-2023"/>
    <s v="Asia → China → Shenzhen"/>
    <s v="Medium"/>
    <d v="2023-01-01T00:00:00"/>
    <d v="2023-01-01T00:00:00"/>
    <n v="0"/>
    <n v="0"/>
  </r>
  <r>
    <s v="ORD-2023-744942"/>
    <d v="2023-02-23T00:00:00"/>
    <d v="2023-03-18T00:00:00"/>
    <n v="23"/>
    <x v="1"/>
    <x v="2"/>
    <s v="Beijing"/>
    <s v="Education"/>
    <x v="3"/>
    <s v="K. Singh"/>
    <x v="3"/>
    <s v="PRN-1060"/>
    <n v="770.11"/>
    <n v="1667.82"/>
    <n v="1667.82"/>
    <n v="6.9000000000000006E-2"/>
    <n v="7"/>
    <n v="10869.182940000001"/>
    <n v="5390.77"/>
    <n v="5478.4129400000002"/>
    <n v="0.50403171703355287"/>
    <d v="2025-08-26T00:00:00"/>
    <s v="Q1-2023"/>
    <s v="Asia → China → Beijing"/>
    <s v="High"/>
    <d v="2023-02-01T00:00:00"/>
    <d v="2023-01-01T00:00:00"/>
    <n v="1"/>
    <n v="0"/>
  </r>
  <r>
    <s v="ORD-2023-854471"/>
    <d v="2023-03-06T00:00:00"/>
    <d v="2023-04-04T00:00:00"/>
    <n v="29"/>
    <x v="1"/>
    <x v="2"/>
    <s v="Beijing"/>
    <s v="Small Business"/>
    <x v="2"/>
    <s v="C. Otieno"/>
    <x v="0"/>
    <s v="MON-2073"/>
    <n v="1126.29"/>
    <n v="2050.87"/>
    <n v="2050.87"/>
    <n v="6.4000000000000001E-2"/>
    <n v="7"/>
    <n v="13437.300239999999"/>
    <n v="7884.03"/>
    <n v="5553.2702399999989"/>
    <n v="0.41327276616690373"/>
    <d v="2025-08-05T00:00:00"/>
    <s v="Q1-2023"/>
    <s v="Asia → China → Beijing"/>
    <s v="High"/>
    <d v="2023-03-01T00:00:00"/>
    <d v="2023-01-01T00:00:00"/>
    <n v="2"/>
    <n v="0"/>
  </r>
  <r>
    <s v="ORD-2023-157993"/>
    <d v="2023-04-18T00:00:00"/>
    <d v="2023-05-18T00:00:00"/>
    <n v="30"/>
    <x v="1"/>
    <x v="2"/>
    <s v="Shenzhen"/>
    <s v="Non-Profit"/>
    <x v="4"/>
    <s v="H. Kim"/>
    <x v="6"/>
    <s v="LAP-1482"/>
    <n v="329.03"/>
    <n v="391.15"/>
    <n v="391.15"/>
    <n v="0.19700000000000001"/>
    <n v="46"/>
    <n v="14448.298699999998"/>
    <n v="15135.38"/>
    <n v="-687.08130000000165"/>
    <n v="-4.7554477815440081E-2"/>
    <d v="2025-06-17T00:00:00"/>
    <s v="Q2-2023"/>
    <s v="Asia → China → Shenzhen"/>
    <s v="Low"/>
    <d v="2023-04-01T00:00:00"/>
    <d v="2023-01-01T00:00:00"/>
    <n v="3"/>
    <n v="0"/>
  </r>
  <r>
    <s v="ORD-2023-809913"/>
    <d v="2023-04-21T00:00:00"/>
    <d v="2023-05-10T00:00:00"/>
    <n v="19"/>
    <x v="1"/>
    <x v="2"/>
    <s v="Shanghai"/>
    <s v="Corporate"/>
    <x v="4"/>
    <s v="A. Patel"/>
    <x v="1"/>
    <s v="CMP-7371"/>
    <n v="882.33"/>
    <n v="1880.15"/>
    <n v="1880.15"/>
    <n v="0.05"/>
    <n v="5"/>
    <n v="8930.7124999999996"/>
    <n v="4411.6500000000005"/>
    <n v="4519.0624999999991"/>
    <n v="0.50601365792482955"/>
    <d v="2025-06-19T00:00:00"/>
    <s v="Q2-2023"/>
    <s v="Asia → China → Shanghai"/>
    <s v="High"/>
    <d v="2023-04-01T00:00:00"/>
    <d v="2023-01-01T00:00:00"/>
    <n v="3"/>
    <n v="0"/>
  </r>
  <r>
    <s v="ORD-2023-880296"/>
    <d v="2023-05-02T00:00:00"/>
    <d v="2023-05-19T00:00:00"/>
    <n v="17"/>
    <x v="1"/>
    <x v="2"/>
    <s v="Shanghai"/>
    <s v="Non-Profit"/>
    <x v="2"/>
    <s v="J. Njeri"/>
    <x v="0"/>
    <s v="MON-5086"/>
    <n v="714.28"/>
    <n v="757.59"/>
    <n v="757.59"/>
    <n v="0.13600000000000001"/>
    <n v="12"/>
    <n v="7854.6931199999999"/>
    <n v="8571.36"/>
    <n v="-716.66688000000067"/>
    <n v="-9.1240595787910383E-2"/>
    <d v="2025-05-21T00:00:00"/>
    <s v="Q2-2023"/>
    <s v="Asia → China → Shanghai"/>
    <s v="Low"/>
    <d v="2023-05-01T00:00:00"/>
    <d v="2023-01-01T00:00:00"/>
    <n v="4"/>
    <n v="0"/>
  </r>
  <r>
    <s v="ORD-2023-867836"/>
    <d v="2023-05-11T00:00:00"/>
    <d v="2023-05-28T00:00:00"/>
    <n v="17"/>
    <x v="1"/>
    <x v="2"/>
    <s v="Shenzhen"/>
    <s v="Enterprise"/>
    <x v="0"/>
    <s v="E. Garcia"/>
    <x v="4"/>
    <s v="NET-3255"/>
    <n v="1331.19"/>
    <n v="2903.09"/>
    <n v="2903.09"/>
    <n v="0.14299999999999999"/>
    <n v="8"/>
    <n v="19903.585040000002"/>
    <n v="10649.52"/>
    <n v="9254.0650400000013"/>
    <n v="0.46494463290920784"/>
    <d v="2025-05-14T00:00:00"/>
    <s v="Q2-2023"/>
    <s v="Asia → China → Shenzhen"/>
    <s v="High"/>
    <d v="2023-05-01T00:00:00"/>
    <d v="2023-01-01T00:00:00"/>
    <n v="4"/>
    <n v="0"/>
  </r>
  <r>
    <s v="ORD-2023-184577"/>
    <d v="2023-05-17T00:00:00"/>
    <d v="2023-06-03T00:00:00"/>
    <n v="17"/>
    <x v="1"/>
    <x v="2"/>
    <s v="Beijing"/>
    <s v="Non-Profit"/>
    <x v="3"/>
    <s v="M. Rossi"/>
    <x v="3"/>
    <s v="PRN-1923"/>
    <n v="979.59"/>
    <n v="2210.94"/>
    <n v="2210.94"/>
    <n v="0.15"/>
    <n v="11"/>
    <n v="20672.289000000001"/>
    <n v="10775.49"/>
    <n v="9896.7990000000009"/>
    <n v="0.47874712858358359"/>
    <d v="2025-04-28T00:00:00"/>
    <s v="Q2-2023"/>
    <s v="Asia → China → Beijing"/>
    <s v="High"/>
    <d v="2023-05-01T00:00:00"/>
    <d v="2023-01-01T00:00:00"/>
    <n v="4"/>
    <n v="0"/>
  </r>
  <r>
    <s v="ORD-2023-603650"/>
    <d v="2023-05-23T00:00:00"/>
    <d v="2023-06-10T00:00:00"/>
    <n v="18"/>
    <x v="1"/>
    <x v="2"/>
    <s v="Shanghai"/>
    <s v="Corporate"/>
    <x v="3"/>
    <s v="E. Garcia"/>
    <x v="1"/>
    <s v="CMP-6925"/>
    <n v="54.62"/>
    <n v="48.94"/>
    <n v="48.94"/>
    <n v="0.14799999999999999"/>
    <n v="16"/>
    <n v="667.15008"/>
    <n v="873.92"/>
    <n v="-206.76991999999996"/>
    <n v="-0.3099301434543783"/>
    <d v="2025-04-28T00:00:00"/>
    <s v="Q2-2023"/>
    <s v="Asia → China → Shanghai"/>
    <s v="Low"/>
    <d v="2023-05-01T00:00:00"/>
    <d v="2023-01-01T00:00:00"/>
    <n v="4"/>
    <n v="0"/>
  </r>
  <r>
    <s v="ORD-2023-427304"/>
    <d v="2023-06-09T00:00:00"/>
    <d v="2023-06-19T00:00:00"/>
    <n v="10"/>
    <x v="1"/>
    <x v="2"/>
    <s v="Beijing"/>
    <s v="Enterprise"/>
    <x v="4"/>
    <s v="F. Müller"/>
    <x v="0"/>
    <s v="MON-9194"/>
    <n v="339.61"/>
    <n v="621.02"/>
    <n v="621.02"/>
    <n v="7.0999999999999994E-2"/>
    <n v="10"/>
    <n v="5769.2758000000003"/>
    <n v="3396.1000000000004"/>
    <n v="2373.1758"/>
    <n v="0.41134726129750981"/>
    <d v="2025-04-11T00:00:00"/>
    <s v="Q2-2023"/>
    <s v="Asia → China → Beijing"/>
    <s v="Low"/>
    <d v="2023-06-01T00:00:00"/>
    <d v="2023-01-01T00:00:00"/>
    <n v="5"/>
    <n v="0"/>
  </r>
  <r>
    <s v="ORD-2023-885216"/>
    <d v="2023-08-02T00:00:00"/>
    <d v="2023-08-03T00:00:00"/>
    <n v="1"/>
    <x v="1"/>
    <x v="2"/>
    <s v="Shanghai"/>
    <s v="Non-Profit"/>
    <x v="2"/>
    <s v="J. Njeri"/>
    <x v="4"/>
    <s v="NET-4735"/>
    <n v="1021.97"/>
    <n v="2296.25"/>
    <n v="2296.25"/>
    <n v="0.161"/>
    <n v="26"/>
    <n v="50090.397499999999"/>
    <n v="26571.22"/>
    <n v="23519.177499999998"/>
    <n v="0.46953465482081669"/>
    <d v="2025-02-15T00:00:00"/>
    <s v="Q3-2023"/>
    <s v="Asia → China → Shanghai"/>
    <s v="High"/>
    <d v="2023-08-01T00:00:00"/>
    <d v="2023-01-01T00:00:00"/>
    <n v="7"/>
    <n v="1"/>
  </r>
  <r>
    <s v="ORD-2023-548934"/>
    <d v="2023-08-03T00:00:00"/>
    <d v="2023-08-30T00:00:00"/>
    <n v="27"/>
    <x v="1"/>
    <x v="2"/>
    <s v="Shanghai"/>
    <s v="Consumer"/>
    <x v="3"/>
    <s v="N. Brown"/>
    <x v="0"/>
    <s v="MON-3773"/>
    <n v="226.04"/>
    <n v="545.72"/>
    <n v="545.72"/>
    <n v="0.151"/>
    <n v="11"/>
    <n v="5096.4790800000001"/>
    <n v="2486.44"/>
    <n v="2610.03908"/>
    <n v="0.51212592831834014"/>
    <d v="2025-02-12T00:00:00"/>
    <s v="Q3-2023"/>
    <s v="Asia → China → Shanghai"/>
    <s v="Low"/>
    <d v="2023-08-01T00:00:00"/>
    <d v="2023-01-01T00:00:00"/>
    <n v="7"/>
    <n v="0"/>
  </r>
  <r>
    <s v="ORD-2023-883066"/>
    <d v="2023-08-12T00:00:00"/>
    <d v="2023-09-06T00:00:00"/>
    <n v="25"/>
    <x v="1"/>
    <x v="2"/>
    <s v="Shanghai"/>
    <s v="Small Business"/>
    <x v="4"/>
    <s v="B. Chen"/>
    <x v="1"/>
    <s v="CMP-6352"/>
    <n v="950.77"/>
    <n v="694.78"/>
    <n v="694.78"/>
    <n v="8.4000000000000005E-2"/>
    <n v="14"/>
    <n v="8909.8587200000002"/>
    <n v="13310.779999999999"/>
    <n v="-4400.9212799999987"/>
    <n v="-0.49393839097821279"/>
    <d v="2025-02-07T00:00:00"/>
    <s v="Q3-2023"/>
    <s v="Asia → China → Shanghai"/>
    <s v="Low"/>
    <d v="2023-08-01T00:00:00"/>
    <d v="2023-01-01T00:00:00"/>
    <n v="7"/>
    <n v="0"/>
  </r>
  <r>
    <s v="ORD-2023-619385"/>
    <d v="2023-09-30T00:00:00"/>
    <d v="2023-10-03T00:00:00"/>
    <n v="3"/>
    <x v="1"/>
    <x v="2"/>
    <s v="Beijing"/>
    <s v="Non-Profit"/>
    <x v="4"/>
    <s v="J. Njeri"/>
    <x v="6"/>
    <s v="LAP-5763"/>
    <n v="1019.36"/>
    <n v="972.91"/>
    <n v="972.91"/>
    <n v="0.14699999999999999"/>
    <n v="17"/>
    <n v="14108.16791"/>
    <n v="17329.12"/>
    <n v="-3220.9520899999989"/>
    <n v="-0.22830406545678819"/>
    <d v="2024-12-10T00:00:00"/>
    <s v="Q3-2023"/>
    <s v="Asia → China → Beijing"/>
    <s v="Medium"/>
    <d v="2023-09-01T00:00:00"/>
    <d v="2023-01-01T00:00:00"/>
    <n v="8"/>
    <n v="1"/>
  </r>
  <r>
    <s v="ORD-2023-166668"/>
    <d v="2023-10-05T00:00:00"/>
    <d v="2023-10-31T00:00:00"/>
    <n v="26"/>
    <x v="1"/>
    <x v="2"/>
    <s v="Shanghai"/>
    <s v="Consumer"/>
    <x v="5"/>
    <s v="J. Njeri"/>
    <x v="3"/>
    <s v="PRN-6520"/>
    <n v="649.91"/>
    <n v="1360.12"/>
    <n v="1360.12"/>
    <n v="0.19400000000000001"/>
    <n v="9"/>
    <n v="9866.3104799999983"/>
    <n v="5849.19"/>
    <n v="4017.1204799999987"/>
    <n v="0.40715528749506769"/>
    <d v="2024-12-27T00:00:00"/>
    <s v="Q4-2023"/>
    <s v="Asia → China → Shanghai"/>
    <s v="Medium"/>
    <d v="2023-10-01T00:00:00"/>
    <d v="2023-01-01T00:00:00"/>
    <n v="9"/>
    <n v="0"/>
  </r>
  <r>
    <s v="ORD-2023-368449"/>
    <d v="2023-10-09T00:00:00"/>
    <d v="2023-10-26T00:00:00"/>
    <n v="17"/>
    <x v="1"/>
    <x v="2"/>
    <s v="Shanghai"/>
    <s v="Consumer"/>
    <x v="0"/>
    <s v="C. Otieno"/>
    <x v="1"/>
    <s v="CMP-2096"/>
    <n v="1132.03"/>
    <n v="2137.21"/>
    <n v="2137.21"/>
    <n v="0.35699999999999998"/>
    <n v="35"/>
    <n v="48097.911050000002"/>
    <n v="39621.049999999996"/>
    <n v="8476.8610500000068"/>
    <n v="0.17624177152284051"/>
    <d v="2024-12-05T00:00:00"/>
    <s v="Q4-2023"/>
    <s v="Asia → China → Shanghai"/>
    <s v="High"/>
    <d v="2023-10-01T00:00:00"/>
    <d v="2023-01-01T00:00:00"/>
    <n v="9"/>
    <n v="0"/>
  </r>
  <r>
    <s v="ORD-2023-925146"/>
    <d v="2023-10-15T00:00:00"/>
    <d v="2023-11-13T00:00:00"/>
    <n v="29"/>
    <x v="1"/>
    <x v="2"/>
    <s v="Shenzhen"/>
    <s v="Non-Profit"/>
    <x v="3"/>
    <s v="J. Njeri"/>
    <x v="3"/>
    <s v="PRN-4983"/>
    <n v="986.44"/>
    <n v="790.61"/>
    <n v="790.61"/>
    <n v="7.1999999999999995E-2"/>
    <n v="6"/>
    <n v="4402.1164799999997"/>
    <n v="5918.64"/>
    <n v="-1516.5235200000006"/>
    <n v="-0.34449872621271499"/>
    <d v="2024-11-21T00:00:00"/>
    <s v="Q4-2023"/>
    <s v="Asia → China → Shenzhen"/>
    <s v="Low"/>
    <d v="2023-10-01T00:00:00"/>
    <d v="2023-01-01T00:00:00"/>
    <n v="9"/>
    <n v="0"/>
  </r>
  <r>
    <s v="ORD-2023-674887"/>
    <d v="2023-12-16T00:00:00"/>
    <d v="2023-12-19T00:00:00"/>
    <n v="3"/>
    <x v="1"/>
    <x v="2"/>
    <s v="Beijing"/>
    <s v="Education"/>
    <x v="4"/>
    <s v="A. Patel"/>
    <x v="5"/>
    <s v="ACC-9644"/>
    <n v="1415.05"/>
    <n v="1972.38"/>
    <n v="1972.38"/>
    <n v="0"/>
    <n v="12"/>
    <n v="23668.560000000001"/>
    <n v="16980.599999999999"/>
    <n v="6687.9600000000028"/>
    <n v="0.28256725377462771"/>
    <d v="2024-10-16T00:00:00"/>
    <s v="Q4-2023"/>
    <s v="Asia → China → Beijing"/>
    <s v="High"/>
    <d v="2023-12-01T00:00:00"/>
    <d v="2023-01-01T00:00:00"/>
    <n v="11"/>
    <n v="1"/>
  </r>
  <r>
    <s v="ORD-2024-760799"/>
    <d v="2024-02-03T00:00:00"/>
    <d v="2024-02-19T00:00:00"/>
    <n v="16"/>
    <x v="1"/>
    <x v="2"/>
    <s v="Shenzhen"/>
    <s v="Small Business"/>
    <x v="1"/>
    <s v="H. Kim"/>
    <x v="6"/>
    <s v="LAP-5531"/>
    <n v="993.75"/>
    <n v="1310.29"/>
    <n v="1310.29"/>
    <n v="0.215"/>
    <n v="19"/>
    <n v="19542.975350000001"/>
    <n v="18881.25"/>
    <n v="661.72535000000062"/>
    <n v="3.3860010471742245E-2"/>
    <d v="2024-08-19T00:00:00"/>
    <s v="Q1-2024"/>
    <s v="Asia → China → Shenzhen"/>
    <s v="Medium"/>
    <d v="2024-02-01T00:00:00"/>
    <d v="2023-01-01T00:00:00"/>
    <n v="13"/>
    <n v="0"/>
  </r>
  <r>
    <s v="ORD-2024-232632"/>
    <d v="2024-02-14T00:00:00"/>
    <d v="2024-02-14T00:00:00"/>
    <n v="0"/>
    <x v="1"/>
    <x v="2"/>
    <s v="Beijing"/>
    <s v="Corporate"/>
    <x v="3"/>
    <s v="L. Okafor"/>
    <x v="5"/>
    <s v="ACC-1021"/>
    <n v="65.930000000000007"/>
    <n v="84.9"/>
    <n v="84.9"/>
    <n v="0.25900000000000001"/>
    <n v="23"/>
    <n v="1446.9507000000001"/>
    <n v="1516.39"/>
    <n v="-69.439300000000003"/>
    <n v="-4.7990093926489688E-2"/>
    <d v="2024-08-22T00:00:00"/>
    <s v="Q1-2024"/>
    <s v="Asia → China → Beijing"/>
    <s v="Low"/>
    <d v="2024-02-01T00:00:00"/>
    <d v="2023-01-01T00:00:00"/>
    <n v="13"/>
    <n v="1"/>
  </r>
  <r>
    <s v="ORD-2024-468655"/>
    <d v="2024-02-19T00:00:00"/>
    <d v="2024-03-06T00:00:00"/>
    <n v="16"/>
    <x v="1"/>
    <x v="2"/>
    <s v="Beijing"/>
    <s v="Education"/>
    <x v="0"/>
    <s v="O. Wang"/>
    <x v="3"/>
    <s v="PRN-6308"/>
    <n v="1477.84"/>
    <n v="3197.47"/>
    <n v="3197.47"/>
    <n v="0.24299999999999999"/>
    <n v="24"/>
    <n v="58091.634960000003"/>
    <n v="35468.159999999996"/>
    <n v="22623.474960000007"/>
    <n v="0.38944462443823091"/>
    <d v="2024-08-21T00:00:00"/>
    <s v="Q1-2024"/>
    <s v="Asia → China → Beijing"/>
    <s v="High"/>
    <d v="2024-02-01T00:00:00"/>
    <d v="2023-01-01T00:00:00"/>
    <n v="13"/>
    <n v="0"/>
  </r>
  <r>
    <s v="ORD-2024-868223"/>
    <d v="2024-03-03T00:00:00"/>
    <d v="2024-03-19T00:00:00"/>
    <n v="16"/>
    <x v="1"/>
    <x v="2"/>
    <s v="Beijing"/>
    <s v="Consumer"/>
    <x v="3"/>
    <s v="G. Dubois"/>
    <x v="2"/>
    <s v="PHN-4915"/>
    <n v="988.83"/>
    <n v="1206.04"/>
    <n v="1206.04"/>
    <n v="6.3E-2"/>
    <n v="34"/>
    <n v="38422.022320000004"/>
    <n v="33620.22"/>
    <n v="4801.8023200000025"/>
    <n v="0.12497526236406606"/>
    <d v="2024-07-24T00:00:00"/>
    <s v="Q1-2024"/>
    <s v="Asia → China → Beijing"/>
    <s v="Medium"/>
    <d v="2024-03-01T00:00:00"/>
    <d v="2023-01-01T00:00:00"/>
    <n v="14"/>
    <n v="0"/>
  </r>
  <r>
    <s v="ORD-2024-343877"/>
    <d v="2024-03-09T00:00:00"/>
    <d v="2024-03-26T00:00:00"/>
    <n v="17"/>
    <x v="1"/>
    <x v="2"/>
    <s v="Shenzhen"/>
    <s v="Enterprise"/>
    <x v="1"/>
    <s v="K. Singh"/>
    <x v="0"/>
    <s v="MON-5749"/>
    <n v="1029.67"/>
    <n v="1118.43"/>
    <n v="1118.43"/>
    <n v="0.27200000000000002"/>
    <n v="9"/>
    <n v="7327.9533600000004"/>
    <n v="9267.0300000000007"/>
    <n v="-1939.0766400000002"/>
    <n v="-0.26461367106736061"/>
    <d v="2024-07-29T00:00:00"/>
    <s v="Q1-2024"/>
    <s v="Asia → China → Shenzhen"/>
    <s v="Medium"/>
    <d v="2024-03-01T00:00:00"/>
    <d v="2023-01-01T00:00:00"/>
    <n v="14"/>
    <n v="0"/>
  </r>
  <r>
    <s v="ORD-2024-594592"/>
    <d v="2024-04-06T00:00:00"/>
    <d v="2024-04-25T00:00:00"/>
    <n v="19"/>
    <x v="1"/>
    <x v="2"/>
    <s v="Shanghai"/>
    <s v="Corporate"/>
    <x v="4"/>
    <s v="K. Singh"/>
    <x v="1"/>
    <s v="CMP-8196"/>
    <n v="1366.48"/>
    <n v="1678.14"/>
    <n v="1678.14"/>
    <n v="0.154"/>
    <n v="10"/>
    <n v="14197.064400000001"/>
    <n v="13664.8"/>
    <n v="532.26440000000184"/>
    <n v="3.7491159087790132E-2"/>
    <d v="2024-06-08T00:00:00"/>
    <s v="Q2-2024"/>
    <s v="Asia → China → Shanghai"/>
    <s v="High"/>
    <d v="2024-04-01T00:00:00"/>
    <d v="2023-01-01T00:00:00"/>
    <n v="15"/>
    <n v="0"/>
  </r>
  <r>
    <s v="ORD-2024-134084"/>
    <d v="2024-06-04T00:00:00"/>
    <d v="2024-06-16T00:00:00"/>
    <n v="12"/>
    <x v="1"/>
    <x v="2"/>
    <s v="Shanghai"/>
    <s v="Corporate"/>
    <x v="4"/>
    <s v="J. Njeri"/>
    <x v="3"/>
    <s v="PRN-4097"/>
    <n v="918.42"/>
    <n v="1511.71"/>
    <n v="1511.71"/>
    <n v="0.02"/>
    <n v="8"/>
    <n v="11851.806399999999"/>
    <n v="7347.36"/>
    <n v="4504.4463999999998"/>
    <n v="0.38006412254590999"/>
    <d v="2024-04-24T00:00:00"/>
    <s v="Q2-2024"/>
    <s v="Asia → China → Shanghai"/>
    <s v="Medium"/>
    <d v="2024-06-01T00:00:00"/>
    <d v="2023-01-01T00:00:00"/>
    <n v="17"/>
    <n v="0"/>
  </r>
  <r>
    <s v="ORD-2024-626925"/>
    <d v="2024-06-07T00:00:00"/>
    <d v="2024-06-09T00:00:00"/>
    <n v="2"/>
    <x v="1"/>
    <x v="2"/>
    <s v="Shanghai"/>
    <s v="Corporate"/>
    <x v="4"/>
    <s v="O. Wang"/>
    <x v="0"/>
    <s v="MON-8688"/>
    <n v="1370.28"/>
    <n v="2209.66"/>
    <n v="2209.66"/>
    <n v="0.13300000000000001"/>
    <n v="16"/>
    <n v="30652.403519999996"/>
    <n v="21924.48"/>
    <n v="8727.9235199999966"/>
    <n v="0.28473863442079589"/>
    <d v="2024-04-16T00:00:00"/>
    <s v="Q2-2024"/>
    <s v="Asia → China → Shanghai"/>
    <s v="High"/>
    <d v="2024-06-01T00:00:00"/>
    <d v="2023-01-01T00:00:00"/>
    <n v="17"/>
    <n v="1"/>
  </r>
  <r>
    <s v="ORD-2024-909942"/>
    <d v="2024-06-09T00:00:00"/>
    <d v="2024-07-07T00:00:00"/>
    <n v="28"/>
    <x v="1"/>
    <x v="2"/>
    <s v="Shenzhen"/>
    <s v="Corporate"/>
    <x v="1"/>
    <s v="J. Njeri"/>
    <x v="1"/>
    <s v="CMP-6392"/>
    <n v="550.22"/>
    <n v="1025.05"/>
    <n v="1025.05"/>
    <n v="0"/>
    <n v="27"/>
    <n v="27676.35"/>
    <n v="14855.94"/>
    <n v="12820.409999999998"/>
    <n v="0.46322618408858102"/>
    <d v="2024-04-24T00:00:00"/>
    <s v="Q2-2024"/>
    <s v="Asia → China → Shenzhen"/>
    <s v="Medium"/>
    <d v="2024-06-01T00:00:00"/>
    <d v="2023-01-01T00:00:00"/>
    <n v="17"/>
    <n v="0"/>
  </r>
  <r>
    <s v="ORD-2024-468615"/>
    <d v="2024-07-09T00:00:00"/>
    <d v="2024-07-12T00:00:00"/>
    <n v="3"/>
    <x v="1"/>
    <x v="2"/>
    <s v="Shanghai"/>
    <s v="Small Business"/>
    <x v="4"/>
    <s v="D. Smith"/>
    <x v="5"/>
    <s v="ACC-3721"/>
    <n v="748.39"/>
    <n v="979.42"/>
    <n v="979.42"/>
    <n v="0"/>
    <n v="23"/>
    <n v="22526.66"/>
    <n v="17212.97"/>
    <n v="5313.6899999999987"/>
    <n v="0.23588450307324738"/>
    <d v="2024-03-07T00:00:00"/>
    <s v="Q3-2024"/>
    <s v="Asia → China → Shanghai"/>
    <s v="Medium"/>
    <d v="2024-07-01T00:00:00"/>
    <d v="2023-01-01T00:00:00"/>
    <n v="18"/>
    <n v="1"/>
  </r>
  <r>
    <s v="ORD-2024-571797"/>
    <d v="2024-07-11T00:00:00"/>
    <d v="2024-07-31T00:00:00"/>
    <n v="20"/>
    <x v="1"/>
    <x v="2"/>
    <s v="Shenzhen"/>
    <s v="Consumer"/>
    <x v="1"/>
    <s v="G. Dubois"/>
    <x v="2"/>
    <s v="PHN-7815"/>
    <n v="647.26"/>
    <n v="1374.72"/>
    <n v="1374.72"/>
    <n v="6.6000000000000003E-2"/>
    <n v="22"/>
    <n v="28247.74656"/>
    <n v="14239.72"/>
    <n v="14008.02656"/>
    <n v="0.49589890401508901"/>
    <d v="2024-02-29T00:00:00"/>
    <s v="Q3-2024"/>
    <s v="Asia → China → Shenzhen"/>
    <s v="Medium"/>
    <d v="2024-07-01T00:00:00"/>
    <d v="2023-01-01T00:00:00"/>
    <n v="18"/>
    <n v="0"/>
  </r>
  <r>
    <s v="ORD-2024-581530"/>
    <d v="2024-09-07T00:00:00"/>
    <d v="2024-09-18T00:00:00"/>
    <n v="11"/>
    <x v="1"/>
    <x v="2"/>
    <s v="Beijing"/>
    <s v="Consumer"/>
    <x v="3"/>
    <s v="O. Wang"/>
    <x v="4"/>
    <s v="NET-7998"/>
    <n v="181.74"/>
    <n v="190.84"/>
    <n v="190.84"/>
    <n v="0.214"/>
    <n v="13"/>
    <n v="1950.0031200000001"/>
    <n v="2362.62"/>
    <n v="-412.61687999999981"/>
    <n v="-0.21159806144310159"/>
    <d v="2024-01-11T00:00:00"/>
    <s v="Q3-2024"/>
    <s v="Asia → China → Beijing"/>
    <s v="Low"/>
    <d v="2024-09-01T00:00:00"/>
    <d v="2023-01-01T00:00:00"/>
    <n v="20"/>
    <n v="0"/>
  </r>
  <r>
    <s v="ORD-2024-988736"/>
    <d v="2024-09-09T00:00:00"/>
    <d v="2024-10-01T00:00:00"/>
    <n v="22"/>
    <x v="1"/>
    <x v="2"/>
    <s v="Shenzhen"/>
    <s v="Consumer"/>
    <x v="2"/>
    <s v="L. Okafor"/>
    <x v="3"/>
    <s v="PRN-3014"/>
    <n v="1166.18"/>
    <n v="1335.02"/>
    <n v="1335.02"/>
    <n v="0.128"/>
    <n v="6"/>
    <n v="6984.8246399999998"/>
    <n v="6997.08"/>
    <n v="-12.25536000000011"/>
    <n v="-1.7545694604582242E-3"/>
    <d v="2024-01-28T00:00:00"/>
    <s v="Q3-2024"/>
    <s v="Asia → China → Shenzhen"/>
    <s v="Medium"/>
    <d v="2024-09-01T00:00:00"/>
    <d v="2023-01-01T00:00:00"/>
    <n v="20"/>
    <n v="0"/>
  </r>
  <r>
    <s v="ORD-2024-771210"/>
    <d v="2024-09-14T00:00:00"/>
    <d v="2024-10-05T00:00:00"/>
    <n v="21"/>
    <x v="1"/>
    <x v="2"/>
    <s v="Shanghai"/>
    <s v="Small Business"/>
    <x v="1"/>
    <s v="H. Kim"/>
    <x v="6"/>
    <s v="LAP-5150"/>
    <n v="1405.56"/>
    <n v="2968.87"/>
    <n v="2968.87"/>
    <n v="0.16900000000000001"/>
    <n v="5"/>
    <n v="12335.654849999999"/>
    <n v="7027.7999999999993"/>
    <n v="5307.8548499999997"/>
    <n v="0.4302856163327235"/>
    <d v="2024-01-01T00:00:00"/>
    <s v="Q3-2024"/>
    <s v="Asia → China → Shanghai"/>
    <s v="High"/>
    <d v="2024-09-01T00:00:00"/>
    <d v="2023-01-01T00:00:00"/>
    <n v="20"/>
    <n v="0"/>
  </r>
  <r>
    <s v="ORD-2024-237478"/>
    <d v="2024-10-03T00:00:00"/>
    <d v="2024-10-11T00:00:00"/>
    <n v="8"/>
    <x v="1"/>
    <x v="2"/>
    <s v="Beijing"/>
    <s v="Enterprise"/>
    <x v="2"/>
    <s v="B. Chen"/>
    <x v="2"/>
    <s v="PHN-7488"/>
    <n v="1132.6099999999999"/>
    <n v="2206.63"/>
    <n v="2206.63"/>
    <n v="6.3E-2"/>
    <n v="20"/>
    <n v="41352.246200000009"/>
    <n v="22652.199999999997"/>
    <n v="18700.046200000012"/>
    <n v="0.45221355351671338"/>
    <d v="2024-01-13T00:00:00"/>
    <s v="Q4-2024"/>
    <s v="Asia → China → Beijing"/>
    <s v="High"/>
    <d v="2024-10-01T00:00:00"/>
    <d v="2023-01-01T00:00:00"/>
    <n v="21"/>
    <n v="0"/>
  </r>
  <r>
    <s v="ORD-2024-720756"/>
    <d v="2024-10-11T00:00:00"/>
    <d v="2024-11-09T00:00:00"/>
    <n v="29"/>
    <x v="1"/>
    <x v="2"/>
    <s v="Shanghai"/>
    <s v="Non-Profit"/>
    <x v="1"/>
    <s v="F. Müller"/>
    <x v="3"/>
    <s v="PRN-5666"/>
    <n v="391.64"/>
    <n v="504.76"/>
    <n v="504.76"/>
    <n v="4.0000000000000001E-3"/>
    <n v="13"/>
    <n v="6535.6324800000002"/>
    <n v="5091.32"/>
    <n v="1444.3124800000005"/>
    <n v="0.22099046793402319"/>
    <d v="2024-01-08T00:00:00"/>
    <s v="Q4-2024"/>
    <s v="Asia → China → Shanghai"/>
    <s v="Low"/>
    <d v="2024-10-01T00:00:00"/>
    <d v="2023-01-01T00:00:00"/>
    <n v="21"/>
    <n v="0"/>
  </r>
  <r>
    <s v="ORD-2024-732543"/>
    <d v="2024-10-24T00:00:00"/>
    <d v="2024-10-28T00:00:00"/>
    <n v="4"/>
    <x v="1"/>
    <x v="2"/>
    <s v="Shanghai"/>
    <s v="Small Business"/>
    <x v="3"/>
    <s v="I. Johnson"/>
    <x v="4"/>
    <s v="NET-3728"/>
    <n v="1331.77"/>
    <n v="2606.11"/>
    <n v="2606.11"/>
    <n v="0.02"/>
    <n v="6"/>
    <n v="15323.926799999999"/>
    <n v="7990.62"/>
    <n v="7333.3067999999994"/>
    <n v="0.47855271665745619"/>
    <d v="2023-12-19T00:00:00"/>
    <s v="Q4-2024"/>
    <s v="Asia → China → Shanghai"/>
    <s v="High"/>
    <d v="2024-10-01T00:00:00"/>
    <d v="2023-01-01T00:00:00"/>
    <n v="21"/>
    <n v="1"/>
  </r>
  <r>
    <s v="ORD-2024-357368"/>
    <d v="2024-10-30T00:00:00"/>
    <d v="2024-11-24T00:00:00"/>
    <n v="25"/>
    <x v="1"/>
    <x v="2"/>
    <s v="Shenzhen"/>
    <s v="Small Business"/>
    <x v="1"/>
    <s v="E. Garcia"/>
    <x v="1"/>
    <s v="CMP-4610"/>
    <n v="811.05"/>
    <n v="1217.71"/>
    <n v="1217.71"/>
    <n v="7.1999999999999995E-2"/>
    <n v="5"/>
    <n v="5650.1744000000008"/>
    <n v="4055.25"/>
    <n v="1594.9244000000008"/>
    <n v="0.28227879125288602"/>
    <d v="2023-12-16T00:00:00"/>
    <s v="Q4-2024"/>
    <s v="Asia → China → Shenzhen"/>
    <s v="Medium"/>
    <d v="2024-10-01T00:00:00"/>
    <d v="2023-01-01T00:00:00"/>
    <n v="21"/>
    <n v="0"/>
  </r>
  <r>
    <s v="ORD-2024-961756"/>
    <d v="2024-11-25T00:00:00"/>
    <d v="2024-12-07T00:00:00"/>
    <n v="12"/>
    <x v="1"/>
    <x v="2"/>
    <s v="Shanghai"/>
    <s v="Corporate"/>
    <x v="3"/>
    <s v="A. Patel"/>
    <x v="5"/>
    <s v="ACC-7047"/>
    <n v="769.9"/>
    <n v="814.36"/>
    <n v="814.36"/>
    <n v="0"/>
    <n v="5"/>
    <n v="4071.8"/>
    <n v="3849.5"/>
    <n v="222.30000000000018"/>
    <n v="5.4595019401738831E-2"/>
    <d v="2023-10-22T00:00:00"/>
    <s v="Q4-2024"/>
    <s v="Asia → China → Shanghai"/>
    <s v="Low"/>
    <d v="2024-11-01T00:00:00"/>
    <d v="2023-01-01T00:00:00"/>
    <n v="22"/>
    <n v="0"/>
  </r>
  <r>
    <s v="ORD-2024-836421"/>
    <d v="2024-12-14T00:00:00"/>
    <d v="2025-01-12T00:00:00"/>
    <n v="29"/>
    <x v="1"/>
    <x v="2"/>
    <s v="Shenzhen"/>
    <s v="Education"/>
    <x v="1"/>
    <s v="J. Njeri"/>
    <x v="1"/>
    <s v="CMP-3720"/>
    <n v="1412.15"/>
    <n v="1631.04"/>
    <n v="1631.04"/>
    <n v="8.9999999999999993E-3"/>
    <n v="6"/>
    <n v="9698.1638399999993"/>
    <n v="8472.9000000000015"/>
    <n v="1225.2638399999978"/>
    <n v="0.12633977526203535"/>
    <d v="2023-10-07T00:00:00"/>
    <s v="Q4-2024"/>
    <s v="Asia → China → Shenzhen"/>
    <s v="Medium"/>
    <d v="2024-12-01T00:00:00"/>
    <d v="2023-01-01T00:00:00"/>
    <n v="23"/>
    <n v="0"/>
  </r>
  <r>
    <s v="ORD-2024-800947"/>
    <d v="2024-12-15T00:00:00"/>
    <d v="2024-12-20T00:00:00"/>
    <n v="5"/>
    <x v="1"/>
    <x v="2"/>
    <s v="Shenzhen"/>
    <s v="Small Business"/>
    <x v="2"/>
    <s v="J. Njeri"/>
    <x v="4"/>
    <s v="NET-1846"/>
    <n v="717.55"/>
    <n v="546.42999999999995"/>
    <n v="546.42999999999995"/>
    <n v="4.7E-2"/>
    <n v="18"/>
    <n v="9373.460219999999"/>
    <n v="12915.9"/>
    <n v="-3542.4397800000006"/>
    <n v="-0.37792231437026369"/>
    <d v="2023-10-21T00:00:00"/>
    <s v="Q4-2024"/>
    <s v="Asia → China → Shenzhen"/>
    <s v="Low"/>
    <d v="2024-12-01T00:00:00"/>
    <d v="2023-01-01T00:00:00"/>
    <n v="23"/>
    <n v="1"/>
  </r>
  <r>
    <s v="ORD-2024-651852"/>
    <d v="2024-12-28T00:00:00"/>
    <d v="2025-01-08T00:00:00"/>
    <n v="11"/>
    <x v="1"/>
    <x v="2"/>
    <s v="Shenzhen"/>
    <s v="Enterprise"/>
    <x v="1"/>
    <s v="K. Singh"/>
    <x v="6"/>
    <s v="LAP-8825"/>
    <n v="1201.31"/>
    <n v="2764.65"/>
    <n v="2764.65"/>
    <n v="0"/>
    <n v="21"/>
    <n v="58057.65"/>
    <n v="25227.51"/>
    <n v="32830.14"/>
    <n v="0.56547483406579491"/>
    <d v="2023-09-17T00:00:00"/>
    <s v="Q4-2024"/>
    <s v="Asia → China → Shenzhen"/>
    <s v="High"/>
    <d v="2024-12-01T00:00:00"/>
    <d v="2023-01-01T00:00:00"/>
    <n v="23"/>
    <n v="0"/>
  </r>
  <r>
    <s v="ORD-2025-354346"/>
    <d v="2025-01-09T00:00:00"/>
    <d v="2025-01-15T00:00:00"/>
    <n v="6"/>
    <x v="1"/>
    <x v="2"/>
    <s v="Beijing"/>
    <s v="Education"/>
    <x v="1"/>
    <s v="C. Otieno"/>
    <x v="2"/>
    <s v="PHN-2875"/>
    <n v="304.77999999999997"/>
    <n v="537.27"/>
    <n v="537.27"/>
    <n v="0.187"/>
    <n v="8"/>
    <n v="3494.4040799999998"/>
    <n v="2438.2399999999998"/>
    <n v="1056.16408"/>
    <n v="0.3022444044307549"/>
    <d v="2023-08-29T00:00:00"/>
    <s v="Q1-2025"/>
    <s v="Asia → China → Beijing"/>
    <s v="Low"/>
    <d v="2025-01-01T00:00:00"/>
    <d v="2023-01-01T00:00:00"/>
    <n v="24"/>
    <n v="1"/>
  </r>
  <r>
    <s v="ORD-2025-328504"/>
    <d v="2025-01-27T00:00:00"/>
    <d v="2025-02-15T00:00:00"/>
    <n v="19"/>
    <x v="1"/>
    <x v="2"/>
    <s v="Shenzhen"/>
    <s v="Non-Profit"/>
    <x v="2"/>
    <s v="L. Okafor"/>
    <x v="2"/>
    <s v="PHN-8368"/>
    <n v="1253.22"/>
    <n v="3104.71"/>
    <n v="3104.71"/>
    <n v="0"/>
    <n v="17"/>
    <n v="52780.07"/>
    <n v="21304.74"/>
    <n v="31475.329999999998"/>
    <n v="0.59634877331538205"/>
    <d v="2023-08-12T00:00:00"/>
    <s v="Q1-2025"/>
    <s v="Asia → China → Shenzhen"/>
    <s v="High"/>
    <d v="2025-01-01T00:00:00"/>
    <d v="2023-01-01T00:00:00"/>
    <n v="24"/>
    <n v="0"/>
  </r>
  <r>
    <s v="ORD-2025-222035"/>
    <d v="2025-03-14T00:00:00"/>
    <d v="2025-04-08T00:00:00"/>
    <n v="25"/>
    <x v="1"/>
    <x v="2"/>
    <s v="Shanghai"/>
    <s v="Corporate"/>
    <x v="3"/>
    <s v="D. Smith"/>
    <x v="3"/>
    <s v="PRN-5815"/>
    <n v="80.59"/>
    <n v="157.82"/>
    <n v="157.82"/>
    <n v="0.217"/>
    <n v="6"/>
    <n v="741.43835999999999"/>
    <n v="483.54"/>
    <n v="257.89835999999997"/>
    <n v="0.34783519967863541"/>
    <d v="2023-07-18T00:00:00"/>
    <s v="Q1-2025"/>
    <s v="Asia → China → Shanghai"/>
    <s v="Low"/>
    <d v="2025-03-01T00:00:00"/>
    <d v="2023-01-01T00:00:00"/>
    <n v="26"/>
    <n v="0"/>
  </r>
  <r>
    <s v="ORD-2025-331237"/>
    <d v="2025-03-24T00:00:00"/>
    <d v="2025-03-25T00:00:00"/>
    <n v="1"/>
    <x v="1"/>
    <x v="2"/>
    <s v="Beijing"/>
    <s v="Non-Profit"/>
    <x v="1"/>
    <s v="G. Dubois"/>
    <x v="4"/>
    <s v="NET-8329"/>
    <n v="1133.03"/>
    <n v="1921.51"/>
    <n v="1921.51"/>
    <n v="0.10100000000000001"/>
    <n v="5"/>
    <n v="8637.1874499999994"/>
    <n v="5665.15"/>
    <n v="2972.0374499999998"/>
    <n v="0.3440978289755654"/>
    <d v="2023-06-23T00:00:00"/>
    <s v="Q1-2025"/>
    <s v="Asia → China → Beijing"/>
    <s v="High"/>
    <d v="2025-03-01T00:00:00"/>
    <d v="2023-01-01T00:00:00"/>
    <n v="26"/>
    <n v="1"/>
  </r>
  <r>
    <s v="ORD-2025-509940"/>
    <d v="2025-05-16T00:00:00"/>
    <d v="2025-05-27T00:00:00"/>
    <n v="11"/>
    <x v="1"/>
    <x v="2"/>
    <s v="Beijing"/>
    <s v="Enterprise"/>
    <x v="1"/>
    <s v="F. Müller"/>
    <x v="2"/>
    <s v="PHN-3800"/>
    <n v="918.12"/>
    <n v="1337.69"/>
    <n v="1337.69"/>
    <n v="9.5000000000000001E-2"/>
    <n v="8"/>
    <n v="9684.8756000000012"/>
    <n v="7344.96"/>
    <n v="2339.9156000000012"/>
    <n v="0.24160512707050164"/>
    <d v="2023-05-23T00:00:00"/>
    <s v="Q2-2025"/>
    <s v="Asia → China → Beijing"/>
    <s v="Medium"/>
    <d v="2025-05-01T00:00:00"/>
    <d v="2023-01-01T00:00:00"/>
    <n v="28"/>
    <n v="0"/>
  </r>
  <r>
    <s v="ORD-2025-718992"/>
    <d v="2025-06-24T00:00:00"/>
    <d v="2025-07-10T00:00:00"/>
    <n v="16"/>
    <x v="1"/>
    <x v="2"/>
    <s v="Shanghai"/>
    <s v="Enterprise"/>
    <x v="2"/>
    <s v="N. Brown"/>
    <x v="1"/>
    <s v="CMP-8390"/>
    <n v="757.19"/>
    <n v="1735.41"/>
    <n v="1735.41"/>
    <n v="0.13600000000000001"/>
    <n v="8"/>
    <n v="11995.153920000001"/>
    <n v="6057.52"/>
    <n v="5937.6339200000002"/>
    <n v="0.4950027285685718"/>
    <d v="2023-04-13T00:00:00"/>
    <s v="Q2-2025"/>
    <s v="Asia → China → Shanghai"/>
    <s v="High"/>
    <d v="2025-06-01T00:00:00"/>
    <d v="2023-01-01T00:00:00"/>
    <n v="29"/>
    <n v="0"/>
  </r>
  <r>
    <s v="ORD-2025-188059"/>
    <d v="2025-06-27T00:00:00"/>
    <d v="2025-07-11T00:00:00"/>
    <n v="14"/>
    <x v="1"/>
    <x v="2"/>
    <s v="Shanghai"/>
    <s v="Small Business"/>
    <x v="0"/>
    <s v="L. Okafor"/>
    <x v="4"/>
    <s v="NET-3535"/>
    <n v="1227.7"/>
    <n v="2197.23"/>
    <n v="2197.23"/>
    <n v="9.9000000000000005E-2"/>
    <n v="22"/>
    <n v="43553.493060000001"/>
    <n v="27009.4"/>
    <n v="16544.093059999999"/>
    <n v="0.37985685871873898"/>
    <d v="2023-04-12T00:00:00"/>
    <s v="Q2-2025"/>
    <s v="Asia → China → Shanghai"/>
    <s v="High"/>
    <d v="2025-06-01T00:00:00"/>
    <d v="2023-01-01T00:00:00"/>
    <n v="29"/>
    <n v="0"/>
  </r>
  <r>
    <s v="ORD-2025-779659"/>
    <d v="2025-07-03T00:00:00"/>
    <d v="2025-07-23T00:00:00"/>
    <n v="20"/>
    <x v="1"/>
    <x v="2"/>
    <s v="Beijing"/>
    <s v="Small Business"/>
    <x v="1"/>
    <s v="M. Rossi"/>
    <x v="1"/>
    <s v="CMP-1220"/>
    <n v="647.36"/>
    <n v="1383.6"/>
    <n v="1383.6"/>
    <n v="7.3999999999999996E-2"/>
    <n v="12"/>
    <n v="15374.563199999999"/>
    <n v="7768.32"/>
    <n v="7606.243199999999"/>
    <n v="0.49472906000997802"/>
    <d v="2023-04-03T00:00:00"/>
    <s v="Q3-2025"/>
    <s v="Asia → China → Beijing"/>
    <s v="Medium"/>
    <d v="2025-07-01T00:00:00"/>
    <d v="2023-01-01T00:00:00"/>
    <n v="30"/>
    <n v="0"/>
  </r>
  <r>
    <s v="ORD-2025-541501"/>
    <d v="2025-07-22T00:00:00"/>
    <d v="2025-08-18T00:00:00"/>
    <n v="27"/>
    <x v="1"/>
    <x v="2"/>
    <s v="Shenzhen"/>
    <s v="Non-Profit"/>
    <x v="0"/>
    <s v="M. Rossi"/>
    <x v="4"/>
    <s v="NET-1804"/>
    <n v="547.32000000000005"/>
    <n v="419.17"/>
    <n v="419.17"/>
    <n v="9.1999999999999998E-2"/>
    <n v="14"/>
    <n v="5328.4890400000004"/>
    <n v="7662.4800000000005"/>
    <n v="-2333.9909600000001"/>
    <n v="-0.43802116181137907"/>
    <d v="2023-03-14T00:00:00"/>
    <s v="Q3-2025"/>
    <s v="Asia → China → Shenzhen"/>
    <s v="Low"/>
    <d v="2025-07-01T00:00:00"/>
    <d v="2023-01-01T00:00:00"/>
    <n v="30"/>
    <n v="0"/>
  </r>
  <r>
    <s v="ORD-2025-418232"/>
    <d v="2025-08-01T00:00:00"/>
    <d v="2025-08-21T00:00:00"/>
    <n v="20"/>
    <x v="1"/>
    <x v="2"/>
    <s v="Shanghai"/>
    <s v="Corporate"/>
    <x v="2"/>
    <s v="I. Johnson"/>
    <x v="2"/>
    <s v="PHN-9234"/>
    <n v="1220.4100000000001"/>
    <n v="2552.2199999999998"/>
    <n v="2552.2199999999998"/>
    <n v="0.18099999999999999"/>
    <n v="14"/>
    <n v="29263.754519999995"/>
    <n v="17085.740000000002"/>
    <n v="12178.014519999993"/>
    <n v="0.41614668793360271"/>
    <d v="2023-03-03T00:00:00"/>
    <s v="Q3-2025"/>
    <s v="Asia → China → Shanghai"/>
    <s v="High"/>
    <d v="2025-08-01T00:00:00"/>
    <d v="2023-01-01T00:00:00"/>
    <n v="31"/>
    <n v="0"/>
  </r>
  <r>
    <s v="ORD-2025-652467"/>
    <d v="2025-08-21T00:00:00"/>
    <d v="2025-09-12T00:00:00"/>
    <n v="22"/>
    <x v="1"/>
    <x v="2"/>
    <s v="Shenzhen"/>
    <s v="Education"/>
    <x v="4"/>
    <s v="B. Chen"/>
    <x v="3"/>
    <s v="PRN-8137"/>
    <n v="352.66"/>
    <n v="411.18"/>
    <n v="411.18"/>
    <n v="0.17299999999999999"/>
    <n v="13"/>
    <n v="4420.5961799999995"/>
    <n v="4584.58"/>
    <n v="-163.98382000000038"/>
    <n v="-3.7095408248758066E-2"/>
    <d v="2023-02-15T00:00:00"/>
    <s v="Q3-2025"/>
    <s v="Asia → China → Shenzhen"/>
    <s v="Low"/>
    <d v="2025-08-01T00:00:00"/>
    <d v="2023-01-01T00:00:00"/>
    <n v="31"/>
    <n v="0"/>
  </r>
  <r>
    <s v="ORD-2023-884192"/>
    <d v="2023-01-10T00:00:00"/>
    <d v="2023-01-29T00:00:00"/>
    <n v="19"/>
    <x v="2"/>
    <x v="3"/>
    <s v="Lyon"/>
    <s v="Non-Profit"/>
    <x v="2"/>
    <s v="D. Smith"/>
    <x v="6"/>
    <s v="LAP-4551"/>
    <n v="401.66"/>
    <n v="772.09"/>
    <n v="772.09"/>
    <n v="8.8999999999999996E-2"/>
    <n v="14"/>
    <n v="9847.2358600000007"/>
    <n v="5623.2400000000007"/>
    <n v="4223.99586"/>
    <n v="0.42895244107619046"/>
    <d v="2025-09-10T00:00:00"/>
    <s v="Q1-2023"/>
    <s v="Europe → France → Lyon"/>
    <s v="Low"/>
    <d v="2023-01-01T00:00:00"/>
    <d v="2023-01-01T00:00:00"/>
    <n v="0"/>
    <n v="0"/>
  </r>
  <r>
    <s v="ORD-2023-888245"/>
    <d v="2023-02-27T00:00:00"/>
    <d v="2023-02-28T00:00:00"/>
    <n v="1"/>
    <x v="2"/>
    <x v="3"/>
    <s v="Marseille"/>
    <s v="Corporate"/>
    <x v="4"/>
    <s v="K. Singh"/>
    <x v="4"/>
    <s v="NET-5195"/>
    <n v="1299.81"/>
    <n v="3149.13"/>
    <n v="3149.13"/>
    <n v="0.10299999999999999"/>
    <n v="14"/>
    <n v="39546.774539999999"/>
    <n v="18197.34"/>
    <n v="21349.434539999998"/>
    <n v="0.53985273864511729"/>
    <d v="2025-08-07T00:00:00"/>
    <s v="Q1-2023"/>
    <s v="Europe → France → Marseille"/>
    <s v="High"/>
    <d v="2023-02-01T00:00:00"/>
    <d v="2023-01-01T00:00:00"/>
    <n v="1"/>
    <n v="1"/>
  </r>
  <r>
    <s v="ORD-2023-727290"/>
    <d v="2023-04-03T00:00:00"/>
    <d v="2023-04-16T00:00:00"/>
    <n v="13"/>
    <x v="2"/>
    <x v="3"/>
    <s v="Marseille"/>
    <s v="Non-Profit"/>
    <x v="0"/>
    <s v="M. Rossi"/>
    <x v="5"/>
    <s v="ACC-4815"/>
    <n v="790.54"/>
    <n v="601.49"/>
    <n v="601.49"/>
    <n v="0"/>
    <n v="15"/>
    <n v="9022.35"/>
    <n v="11858.099999999999"/>
    <n v="-2835.7499999999982"/>
    <n v="-0.31430281467688553"/>
    <d v="2025-07-16T00:00:00"/>
    <s v="Q2-2023"/>
    <s v="Europe → France → Marseille"/>
    <s v="Low"/>
    <d v="2023-04-01T00:00:00"/>
    <d v="2023-01-01T00:00:00"/>
    <n v="3"/>
    <n v="0"/>
  </r>
  <r>
    <s v="ORD-2023-867285"/>
    <d v="2023-04-12T00:00:00"/>
    <d v="2023-04-17T00:00:00"/>
    <n v="5"/>
    <x v="2"/>
    <x v="3"/>
    <s v="Lyon"/>
    <s v="Enterprise"/>
    <x v="2"/>
    <s v="E. Garcia"/>
    <x v="0"/>
    <s v="MON-3043"/>
    <n v="1087.81"/>
    <n v="2323.87"/>
    <n v="2323.87"/>
    <n v="9.4E-2"/>
    <n v="13"/>
    <n v="27370.540859999997"/>
    <n v="14141.529999999999"/>
    <n v="13229.010859999999"/>
    <n v="0.48333026839572651"/>
    <d v="2025-06-27T00:00:00"/>
    <s v="Q2-2023"/>
    <s v="Europe → France → Lyon"/>
    <s v="High"/>
    <d v="2023-04-01T00:00:00"/>
    <d v="2023-01-01T00:00:00"/>
    <n v="3"/>
    <n v="1"/>
  </r>
  <r>
    <s v="ORD-2023-867166"/>
    <d v="2023-04-13T00:00:00"/>
    <d v="2023-04-20T00:00:00"/>
    <n v="7"/>
    <x v="2"/>
    <x v="3"/>
    <s v="Lyon"/>
    <s v="Small Business"/>
    <x v="1"/>
    <s v="A. Patel"/>
    <x v="6"/>
    <s v="LAP-3565"/>
    <n v="227.02"/>
    <n v="434.72"/>
    <n v="434.72"/>
    <n v="9.8000000000000004E-2"/>
    <n v="10"/>
    <n v="3921.1744000000008"/>
    <n v="2270.2000000000003"/>
    <n v="1650.9744000000005"/>
    <n v="0.42104079838938052"/>
    <d v="2025-06-25T00:00:00"/>
    <s v="Q2-2023"/>
    <s v="Europe → France → Lyon"/>
    <s v="Low"/>
    <d v="2023-04-01T00:00:00"/>
    <d v="2023-01-01T00:00:00"/>
    <n v="3"/>
    <n v="1"/>
  </r>
  <r>
    <s v="ORD-2023-340056"/>
    <d v="2023-04-26T00:00:00"/>
    <d v="2023-04-26T00:00:00"/>
    <n v="0"/>
    <x v="2"/>
    <x v="3"/>
    <s v="Marseille"/>
    <s v="Consumer"/>
    <x v="2"/>
    <s v="M. Rossi"/>
    <x v="1"/>
    <s v="CMP-4945"/>
    <n v="81.489999999999995"/>
    <n v="113.08"/>
    <n v="113.08"/>
    <n v="0.121"/>
    <n v="5"/>
    <n v="496.98660000000001"/>
    <n v="407.45"/>
    <n v="89.536600000000021"/>
    <n v="0.18015898215364362"/>
    <d v="2025-06-05T00:00:00"/>
    <s v="Q2-2023"/>
    <s v="Europe → France → Marseille"/>
    <s v="Low"/>
    <d v="2023-04-01T00:00:00"/>
    <d v="2023-01-01T00:00:00"/>
    <n v="3"/>
    <n v="1"/>
  </r>
  <r>
    <s v="ORD-2023-399631"/>
    <d v="2023-06-22T00:00:00"/>
    <d v="2023-07-21T00:00:00"/>
    <n v="29"/>
    <x v="2"/>
    <x v="3"/>
    <s v="Lyon"/>
    <s v="Corporate"/>
    <x v="4"/>
    <s v="J. Njeri"/>
    <x v="5"/>
    <s v="ACC-3385"/>
    <n v="734.34"/>
    <n v="887.9"/>
    <n v="887.9"/>
    <n v="2.5000000000000001E-2"/>
    <n v="12"/>
    <n v="10388.429999999998"/>
    <n v="8812.08"/>
    <n v="1576.3499999999985"/>
    <n v="0.15174092716608753"/>
    <d v="2025-04-17T00:00:00"/>
    <s v="Q2-2023"/>
    <s v="Europe → France → Lyon"/>
    <s v="Medium"/>
    <d v="2023-06-01T00:00:00"/>
    <d v="2023-01-01T00:00:00"/>
    <n v="5"/>
    <n v="0"/>
  </r>
  <r>
    <s v="ORD-2023-215819"/>
    <d v="2023-07-01T00:00:00"/>
    <d v="2023-07-11T00:00:00"/>
    <n v="10"/>
    <x v="2"/>
    <x v="3"/>
    <s v="Paris"/>
    <s v="Corporate"/>
    <x v="2"/>
    <s v="F. Müller"/>
    <x v="4"/>
    <s v="NET-6533"/>
    <n v="479.5"/>
    <n v="656.66"/>
    <n v="656.66"/>
    <n v="0.14899999999999999"/>
    <n v="14"/>
    <n v="7823.4472399999995"/>
    <n v="6713"/>
    <n v="1110.4472399999995"/>
    <n v="0.14193835606412289"/>
    <d v="2025-03-21T00:00:00"/>
    <s v="Q3-2023"/>
    <s v="Europe → France → Paris"/>
    <s v="Low"/>
    <d v="2023-07-01T00:00:00"/>
    <d v="2023-01-01T00:00:00"/>
    <n v="6"/>
    <n v="0"/>
  </r>
  <r>
    <s v="ORD-2023-292714"/>
    <d v="2023-07-10T00:00:00"/>
    <d v="2023-08-01T00:00:00"/>
    <n v="22"/>
    <x v="2"/>
    <x v="3"/>
    <s v="Marseille"/>
    <s v="Consumer"/>
    <x v="0"/>
    <s v="B. Chen"/>
    <x v="3"/>
    <s v="PRN-1504"/>
    <n v="1303.56"/>
    <n v="1791.37"/>
    <n v="1791.37"/>
    <n v="0.126"/>
    <n v="22"/>
    <n v="34444.462359999998"/>
    <n v="28678.32"/>
    <n v="5766.142359999998"/>
    <n v="0.16740404596055358"/>
    <d v="2025-03-15T00:00:00"/>
    <s v="Q3-2023"/>
    <s v="Europe → France → Marseille"/>
    <s v="High"/>
    <d v="2023-07-01T00:00:00"/>
    <d v="2023-01-01T00:00:00"/>
    <n v="6"/>
    <n v="0"/>
  </r>
  <r>
    <s v="ORD-2023-451931"/>
    <d v="2023-07-30T00:00:00"/>
    <d v="2023-08-19T00:00:00"/>
    <n v="20"/>
    <x v="2"/>
    <x v="3"/>
    <s v="Paris"/>
    <s v="Enterprise"/>
    <x v="0"/>
    <s v="G. Dubois"/>
    <x v="4"/>
    <s v="NET-5423"/>
    <n v="1418.51"/>
    <n v="2789.61"/>
    <n v="2789.61"/>
    <n v="0.17100000000000001"/>
    <n v="8"/>
    <n v="18500.693520000001"/>
    <n v="11348.08"/>
    <n v="7152.6135200000008"/>
    <n v="0.38661326464695689"/>
    <d v="2025-02-28T00:00:00"/>
    <s v="Q3-2023"/>
    <s v="Europe → France → Paris"/>
    <s v="High"/>
    <d v="2023-07-01T00:00:00"/>
    <d v="2023-01-01T00:00:00"/>
    <n v="6"/>
    <n v="0"/>
  </r>
  <r>
    <s v="ORD-2023-243704"/>
    <d v="2023-08-29T00:00:00"/>
    <d v="2023-09-19T00:00:00"/>
    <n v="21"/>
    <x v="2"/>
    <x v="3"/>
    <s v="Lyon"/>
    <s v="Small Business"/>
    <x v="2"/>
    <s v="B. Chen"/>
    <x v="3"/>
    <s v="PRN-7079"/>
    <n v="784.46"/>
    <n v="1843.51"/>
    <n v="1843.51"/>
    <n v="0.13800000000000001"/>
    <n v="23"/>
    <n v="36549.429260000004"/>
    <n v="18042.580000000002"/>
    <n v="18506.849260000003"/>
    <n v="0.50635125184441798"/>
    <d v="2025-01-17T00:00:00"/>
    <s v="Q3-2023"/>
    <s v="Europe → France → Lyon"/>
    <s v="High"/>
    <d v="2023-08-01T00:00:00"/>
    <d v="2023-01-01T00:00:00"/>
    <n v="7"/>
    <n v="0"/>
  </r>
  <r>
    <s v="ORD-2023-192324"/>
    <d v="2023-09-14T00:00:00"/>
    <d v="2023-09-16T00:00:00"/>
    <n v="2"/>
    <x v="2"/>
    <x v="3"/>
    <s v="Lyon"/>
    <s v="Non-Profit"/>
    <x v="2"/>
    <s v="B. Chen"/>
    <x v="3"/>
    <s v="PRN-4432"/>
    <n v="376.83"/>
    <n v="732.88"/>
    <n v="732.88"/>
    <n v="0.188"/>
    <n v="25"/>
    <n v="14877.464000000002"/>
    <n v="9420.75"/>
    <n v="5456.7140000000018"/>
    <n v="0.36677716040852132"/>
    <d v="2025-01-09T00:00:00"/>
    <s v="Q3-2023"/>
    <s v="Europe → France → Lyon"/>
    <s v="Low"/>
    <d v="2023-09-01T00:00:00"/>
    <d v="2023-01-01T00:00:00"/>
    <n v="8"/>
    <n v="1"/>
  </r>
  <r>
    <s v="ORD-2023-597666"/>
    <d v="2023-10-25T00:00:00"/>
    <d v="2023-11-24T00:00:00"/>
    <n v="30"/>
    <x v="2"/>
    <x v="3"/>
    <s v="Paris"/>
    <s v="Enterprise"/>
    <x v="3"/>
    <s v="C. Otieno"/>
    <x v="2"/>
    <s v="PHN-5938"/>
    <n v="287.85000000000002"/>
    <n v="602.91999999999996"/>
    <n v="602.91999999999996"/>
    <n v="0.222"/>
    <n v="11"/>
    <n v="5159.7893599999998"/>
    <n v="3166.3500000000004"/>
    <n v="1993.4393599999994"/>
    <n v="0.38634122847216373"/>
    <d v="2024-11-22T00:00:00"/>
    <s v="Q4-2023"/>
    <s v="Europe → France → Paris"/>
    <s v="Low"/>
    <d v="2023-10-01T00:00:00"/>
    <d v="2023-01-01T00:00:00"/>
    <n v="9"/>
    <n v="0"/>
  </r>
  <r>
    <s v="ORD-2023-576840"/>
    <d v="2023-11-19T00:00:00"/>
    <d v="2023-12-13T00:00:00"/>
    <n v="24"/>
    <x v="2"/>
    <x v="3"/>
    <s v="Lyon"/>
    <s v="Non-Profit"/>
    <x v="2"/>
    <s v="H. Kim"/>
    <x v="0"/>
    <s v="MON-3745"/>
    <n v="1297.42"/>
    <n v="2742.97"/>
    <n v="2742.97"/>
    <n v="6.9000000000000006E-2"/>
    <n v="9"/>
    <n v="22983.34563"/>
    <n v="11676.78"/>
    <n v="11306.565629999999"/>
    <n v="0.49194602961727291"/>
    <d v="2024-11-07T00:00:00"/>
    <s v="Q4-2023"/>
    <s v="Europe → France → Lyon"/>
    <s v="High"/>
    <d v="2023-11-01T00:00:00"/>
    <d v="2023-01-01T00:00:00"/>
    <n v="10"/>
    <n v="0"/>
  </r>
  <r>
    <s v="ORD-2023-813340"/>
    <d v="2023-12-26T00:00:00"/>
    <d v="2024-01-03T00:00:00"/>
    <n v="8"/>
    <x v="2"/>
    <x v="3"/>
    <s v="Lyon"/>
    <s v="Small Business"/>
    <x v="4"/>
    <s v="M. Rossi"/>
    <x v="6"/>
    <s v="LAP-2942"/>
    <n v="492.75"/>
    <n v="731.29"/>
    <n v="731.29"/>
    <n v="5.8000000000000003E-2"/>
    <n v="6"/>
    <n v="4133.25108"/>
    <n v="2956.5"/>
    <n v="1176.75108"/>
    <n v="0.28470350753528384"/>
    <d v="2024-10-22T00:00:00"/>
    <s v="Q4-2023"/>
    <s v="Europe → France → Lyon"/>
    <s v="Low"/>
    <d v="2023-12-01T00:00:00"/>
    <d v="2023-01-01T00:00:00"/>
    <n v="11"/>
    <n v="0"/>
  </r>
  <r>
    <s v="ORD-2023-808024"/>
    <d v="2023-12-30T00:00:00"/>
    <d v="2024-01-08T00:00:00"/>
    <n v="9"/>
    <x v="2"/>
    <x v="3"/>
    <s v="Marseille"/>
    <s v="Consumer"/>
    <x v="0"/>
    <s v="L. Okafor"/>
    <x v="5"/>
    <s v="ACC-6594"/>
    <n v="861.1"/>
    <n v="1224.72"/>
    <n v="1224.72"/>
    <n v="0.17399999999999999"/>
    <n v="24"/>
    <n v="24278.849280000002"/>
    <n v="20666.400000000001"/>
    <n v="3612.4492800000007"/>
    <n v="0.14878997098827909"/>
    <d v="2024-10-02T00:00:00"/>
    <s v="Q4-2023"/>
    <s v="Europe → France → Marseille"/>
    <s v="Medium"/>
    <d v="2023-12-01T00:00:00"/>
    <d v="2023-01-01T00:00:00"/>
    <n v="11"/>
    <n v="0"/>
  </r>
  <r>
    <s v="ORD-2024-885858"/>
    <d v="2024-01-10T00:00:00"/>
    <d v="2024-01-23T00:00:00"/>
    <n v="13"/>
    <x v="2"/>
    <x v="3"/>
    <s v="Marseille"/>
    <s v="Corporate"/>
    <x v="2"/>
    <s v="A. Patel"/>
    <x v="3"/>
    <s v="PRN-6776"/>
    <n v="720"/>
    <n v="907.59"/>
    <n v="907.59"/>
    <n v="0.154"/>
    <n v="10"/>
    <n v="7678.2113999999992"/>
    <n v="7200"/>
    <n v="478.21139999999923"/>
    <n v="6.2281614179052078E-2"/>
    <d v="2024-10-08T00:00:00"/>
    <s v="Q1-2024"/>
    <s v="Europe → France → Marseille"/>
    <s v="Medium"/>
    <d v="2024-01-01T00:00:00"/>
    <d v="2023-01-01T00:00:00"/>
    <n v="12"/>
    <n v="0"/>
  </r>
  <r>
    <s v="ORD-2024-890180"/>
    <d v="2024-01-20T00:00:00"/>
    <d v="2024-02-13T00:00:00"/>
    <n v="24"/>
    <x v="2"/>
    <x v="3"/>
    <s v="Marseille"/>
    <s v="Corporate"/>
    <x v="4"/>
    <s v="H. Kim"/>
    <x v="3"/>
    <s v="PRN-8392"/>
    <n v="643.53"/>
    <n v="1439.01"/>
    <n v="1439.01"/>
    <n v="0"/>
    <n v="15"/>
    <n v="21585.15"/>
    <n v="9652.9499999999989"/>
    <n v="11932.200000000003"/>
    <n v="0.55279671440782208"/>
    <d v="2024-09-05T00:00:00"/>
    <s v="Q1-2024"/>
    <s v="Europe → France → Marseille"/>
    <s v="Medium"/>
    <d v="2024-01-01T00:00:00"/>
    <d v="2023-01-01T00:00:00"/>
    <n v="12"/>
    <n v="0"/>
  </r>
  <r>
    <s v="ORD-2024-764468"/>
    <d v="2024-02-01T00:00:00"/>
    <d v="2024-02-21T00:00:00"/>
    <n v="20"/>
    <x v="2"/>
    <x v="3"/>
    <s v="Paris"/>
    <s v="Small Business"/>
    <x v="0"/>
    <s v="A. Patel"/>
    <x v="4"/>
    <s v="NET-8761"/>
    <n v="656.2"/>
    <n v="1467.17"/>
    <n v="1467.17"/>
    <n v="1.7999999999999999E-2"/>
    <n v="5"/>
    <n v="7203.8047000000006"/>
    <n v="3281"/>
    <n v="3922.8047000000006"/>
    <n v="0.54454623124360946"/>
    <d v="2024-09-02T00:00:00"/>
    <s v="Q1-2024"/>
    <s v="Europe → France → Paris"/>
    <s v="Medium"/>
    <d v="2024-02-01T00:00:00"/>
    <d v="2023-01-01T00:00:00"/>
    <n v="13"/>
    <n v="0"/>
  </r>
  <r>
    <s v="ORD-2024-811752"/>
    <d v="2024-02-25T00:00:00"/>
    <d v="2024-03-09T00:00:00"/>
    <n v="13"/>
    <x v="2"/>
    <x v="3"/>
    <s v="Marseille"/>
    <s v="Small Business"/>
    <x v="3"/>
    <s v="E. Garcia"/>
    <x v="0"/>
    <s v="MON-3350"/>
    <n v="322.44"/>
    <n v="395.61"/>
    <n v="395.61"/>
    <n v="0"/>
    <n v="34"/>
    <n v="13450.74"/>
    <n v="10962.96"/>
    <n v="2487.7800000000007"/>
    <n v="0.18495487980586947"/>
    <d v="2024-08-07T00:00:00"/>
    <s v="Q1-2024"/>
    <s v="Europe → France → Marseille"/>
    <s v="Low"/>
    <d v="2024-02-01T00:00:00"/>
    <d v="2023-01-01T00:00:00"/>
    <n v="13"/>
    <n v="0"/>
  </r>
  <r>
    <s v="ORD-2024-906395"/>
    <d v="2024-03-10T00:00:00"/>
    <d v="2024-04-09T00:00:00"/>
    <n v="30"/>
    <x v="2"/>
    <x v="3"/>
    <s v="Lyon"/>
    <s v="Corporate"/>
    <x v="2"/>
    <s v="I. Johnson"/>
    <x v="1"/>
    <s v="CMP-8002"/>
    <n v="1176.56"/>
    <n v="1911.89"/>
    <n v="1911.89"/>
    <n v="0.11899999999999999"/>
    <n v="20"/>
    <n v="33687.501800000005"/>
    <n v="23531.199999999997"/>
    <n v="10156.301800000008"/>
    <n v="0.30148575160892477"/>
    <d v="2024-07-24T00:00:00"/>
    <s v="Q1-2024"/>
    <s v="Europe → France → Lyon"/>
    <s v="High"/>
    <d v="2024-03-01T00:00:00"/>
    <d v="2023-01-01T00:00:00"/>
    <n v="14"/>
    <n v="0"/>
  </r>
  <r>
    <s v="ORD-2024-834983"/>
    <d v="2024-03-16T00:00:00"/>
    <d v="2024-04-13T00:00:00"/>
    <n v="28"/>
    <x v="2"/>
    <x v="3"/>
    <s v="Paris"/>
    <s v="Small Business"/>
    <x v="1"/>
    <s v="K. Singh"/>
    <x v="3"/>
    <s v="PRN-8758"/>
    <n v="287.61"/>
    <n v="628.54"/>
    <n v="628.54"/>
    <n v="0.13500000000000001"/>
    <n v="21"/>
    <n v="11417.429099999999"/>
    <n v="6039.81"/>
    <n v="5377.619099999999"/>
    <n v="0.47100087531964613"/>
    <d v="2024-07-12T00:00:00"/>
    <s v="Q1-2024"/>
    <s v="Europe → France → Paris"/>
    <s v="Low"/>
    <d v="2024-03-01T00:00:00"/>
    <d v="2023-01-01T00:00:00"/>
    <n v="14"/>
    <n v="0"/>
  </r>
  <r>
    <s v="ORD-2024-332076"/>
    <d v="2024-04-09T00:00:00"/>
    <d v="2024-04-18T00:00:00"/>
    <n v="9"/>
    <x v="2"/>
    <x v="3"/>
    <s v="Lyon"/>
    <s v="Consumer"/>
    <x v="1"/>
    <s v="E. Garcia"/>
    <x v="3"/>
    <s v="PRN-1086"/>
    <n v="1288.8499999999999"/>
    <n v="2751.84"/>
    <n v="2751.84"/>
    <n v="0.158"/>
    <n v="7"/>
    <n v="16219.34496"/>
    <n v="9021.9499999999989"/>
    <n v="7197.3949600000014"/>
    <n v="0.44375373837538756"/>
    <d v="2024-06-06T00:00:00"/>
    <s v="Q2-2024"/>
    <s v="Europe → France → Lyon"/>
    <s v="High"/>
    <d v="2024-04-01T00:00:00"/>
    <d v="2023-01-01T00:00:00"/>
    <n v="15"/>
    <n v="0"/>
  </r>
  <r>
    <s v="ORD-2024-202166"/>
    <d v="2024-05-05T00:00:00"/>
    <d v="2024-05-18T00:00:00"/>
    <n v="13"/>
    <x v="2"/>
    <x v="3"/>
    <s v="Marseille"/>
    <s v="Corporate"/>
    <x v="0"/>
    <s v="A. Patel"/>
    <x v="1"/>
    <s v="CMP-3313"/>
    <n v="1264.04"/>
    <n v="1870.89"/>
    <n v="1870.89"/>
    <n v="0"/>
    <n v="13"/>
    <n v="24321.57"/>
    <n v="16432.52"/>
    <n v="7889.0499999999993"/>
    <n v="0.32436433996653996"/>
    <d v="2024-06-07T00:00:00"/>
    <s v="Q2-2024"/>
    <s v="Europe → France → Marseille"/>
    <s v="High"/>
    <d v="2024-05-01T00:00:00"/>
    <d v="2023-01-01T00:00:00"/>
    <n v="16"/>
    <n v="0"/>
  </r>
  <r>
    <s v="ORD-2024-375848"/>
    <d v="2024-05-18T00:00:00"/>
    <d v="2024-05-21T00:00:00"/>
    <n v="3"/>
    <x v="2"/>
    <x v="3"/>
    <s v="Marseille"/>
    <s v="Non-Profit"/>
    <x v="0"/>
    <s v="D. Smith"/>
    <x v="3"/>
    <s v="PRN-1725"/>
    <n v="663.66"/>
    <n v="824.26"/>
    <n v="824.26"/>
    <n v="0.23899999999999999"/>
    <n v="11"/>
    <n v="6899.8804600000003"/>
    <n v="7300.2599999999993"/>
    <n v="-400.379539999999"/>
    <n v="-5.8027025587048933E-2"/>
    <d v="2024-05-14T00:00:00"/>
    <s v="Q2-2024"/>
    <s v="Europe → France → Marseille"/>
    <s v="Medium"/>
    <d v="2024-05-01T00:00:00"/>
    <d v="2023-01-01T00:00:00"/>
    <n v="16"/>
    <n v="1"/>
  </r>
  <r>
    <s v="ORD-2024-329104"/>
    <d v="2024-05-23T00:00:00"/>
    <d v="2024-06-14T00:00:00"/>
    <n v="22"/>
    <x v="2"/>
    <x v="3"/>
    <s v="Marseille"/>
    <s v="Small Business"/>
    <x v="1"/>
    <s v="N. Brown"/>
    <x v="0"/>
    <s v="MON-2100"/>
    <n v="1481.74"/>
    <n v="1848.97"/>
    <n v="1848.97"/>
    <n v="0.254"/>
    <n v="9"/>
    <n v="12413.98458"/>
    <n v="13335.66"/>
    <n v="-921.67541999999958"/>
    <n v="-7.4244930309072407E-2"/>
    <d v="2024-05-18T00:00:00"/>
    <s v="Q2-2024"/>
    <s v="Europe → France → Marseille"/>
    <s v="High"/>
    <d v="2024-05-01T00:00:00"/>
    <d v="2023-01-01T00:00:00"/>
    <n v="16"/>
    <n v="0"/>
  </r>
  <r>
    <s v="ORD-2024-892879"/>
    <d v="2024-07-09T00:00:00"/>
    <d v="2024-08-08T00:00:00"/>
    <n v="30"/>
    <x v="2"/>
    <x v="3"/>
    <s v="Marseille"/>
    <s v="Corporate"/>
    <x v="2"/>
    <s v="J. Njeri"/>
    <x v="1"/>
    <s v="CMP-5825"/>
    <n v="1062.3800000000001"/>
    <n v="1503.96"/>
    <n v="1503.96"/>
    <n v="0.18"/>
    <n v="6"/>
    <n v="7399.4832000000006"/>
    <n v="6374.2800000000007"/>
    <n v="1025.2031999999999"/>
    <n v="0.13855064905073369"/>
    <d v="2024-03-26T00:00:00"/>
    <s v="Q3-2024"/>
    <s v="Europe → France → Marseille"/>
    <s v="Medium"/>
    <d v="2024-07-01T00:00:00"/>
    <d v="2023-01-01T00:00:00"/>
    <n v="18"/>
    <n v="0"/>
  </r>
  <r>
    <s v="ORD-2024-398783"/>
    <d v="2024-07-18T00:00:00"/>
    <d v="2024-08-07T00:00:00"/>
    <n v="20"/>
    <x v="2"/>
    <x v="3"/>
    <s v="Marseille"/>
    <s v="Corporate"/>
    <x v="4"/>
    <s v="F. Müller"/>
    <x v="0"/>
    <s v="MON-7622"/>
    <n v="941.35"/>
    <n v="899.83"/>
    <n v="899.83"/>
    <n v="5.8000000000000003E-2"/>
    <n v="18"/>
    <n v="15257.51748"/>
    <n v="16944.3"/>
    <n v="-1686.7825199999988"/>
    <n v="-0.11055419220139073"/>
    <d v="2024-03-09T00:00:00"/>
    <s v="Q3-2024"/>
    <s v="Europe → France → Marseille"/>
    <s v="Medium"/>
    <d v="2024-07-01T00:00:00"/>
    <d v="2023-01-01T00:00:00"/>
    <n v="18"/>
    <n v="0"/>
  </r>
  <r>
    <s v="ORD-2024-678110"/>
    <d v="2024-07-24T00:00:00"/>
    <d v="2024-08-08T00:00:00"/>
    <n v="15"/>
    <x v="2"/>
    <x v="3"/>
    <s v="Marseille"/>
    <s v="Enterprise"/>
    <x v="0"/>
    <s v="H. Kim"/>
    <x v="6"/>
    <s v="LAP-9901"/>
    <n v="501.5"/>
    <n v="1201.47"/>
    <n v="1201.47"/>
    <n v="0.126"/>
    <n v="5"/>
    <n v="5250.4239000000007"/>
    <n v="2507.5"/>
    <n v="2742.9239000000007"/>
    <n v="0.52241951359394057"/>
    <d v="2024-02-27T00:00:00"/>
    <s v="Q3-2024"/>
    <s v="Europe → France → Marseille"/>
    <s v="Medium"/>
    <d v="2024-07-01T00:00:00"/>
    <d v="2023-01-01T00:00:00"/>
    <n v="18"/>
    <n v="0"/>
  </r>
  <r>
    <s v="ORD-2024-307849"/>
    <d v="2024-08-10T00:00:00"/>
    <d v="2024-09-07T00:00:00"/>
    <n v="28"/>
    <x v="2"/>
    <x v="3"/>
    <s v="Marseille"/>
    <s v="Non-Profit"/>
    <x v="2"/>
    <s v="F. Müller"/>
    <x v="3"/>
    <s v="PRN-1183"/>
    <n v="229.96"/>
    <n v="564.26"/>
    <n v="564.26"/>
    <n v="0.105"/>
    <n v="5"/>
    <n v="2525.0635000000002"/>
    <n v="1149.8"/>
    <n v="1375.2635000000002"/>
    <n v="0.54464511486542821"/>
    <d v="2024-02-19T00:00:00"/>
    <s v="Q3-2024"/>
    <s v="Europe → France → Marseille"/>
    <s v="Low"/>
    <d v="2024-08-01T00:00:00"/>
    <d v="2023-01-01T00:00:00"/>
    <n v="19"/>
    <n v="0"/>
  </r>
  <r>
    <s v="ORD-2024-792353"/>
    <d v="2024-08-19T00:00:00"/>
    <d v="2024-09-07T00:00:00"/>
    <n v="19"/>
    <x v="2"/>
    <x v="3"/>
    <s v="Lyon"/>
    <s v="Corporate"/>
    <x v="2"/>
    <s v="J. Njeri"/>
    <x v="1"/>
    <s v="CMP-5435"/>
    <n v="297.58999999999997"/>
    <n v="666.41"/>
    <n v="666.41"/>
    <n v="0"/>
    <n v="10"/>
    <n v="6664.0999999999995"/>
    <n v="2975.8999999999996"/>
    <n v="3688.2"/>
    <n v="0.55344307558409989"/>
    <d v="2024-02-06T00:00:00"/>
    <s v="Q3-2024"/>
    <s v="Europe → France → Lyon"/>
    <s v="Low"/>
    <d v="2024-08-01T00:00:00"/>
    <d v="2023-01-01T00:00:00"/>
    <n v="19"/>
    <n v="0"/>
  </r>
  <r>
    <s v="ORD-2024-756884"/>
    <d v="2024-10-13T00:00:00"/>
    <d v="2024-10-24T00:00:00"/>
    <n v="11"/>
    <x v="2"/>
    <x v="3"/>
    <s v="Paris"/>
    <s v="Education"/>
    <x v="3"/>
    <s v="F. Müller"/>
    <x v="1"/>
    <s v="CMP-5006"/>
    <n v="816.7"/>
    <n v="1010.75"/>
    <n v="1010.75"/>
    <n v="4.7E-2"/>
    <n v="43"/>
    <n v="41419.524249999995"/>
    <n v="35118.1"/>
    <n v="6301.4242499999964"/>
    <n v="0.15213656757537472"/>
    <d v="2023-12-30T00:00:00"/>
    <s v="Q4-2024"/>
    <s v="Europe → France → Paris"/>
    <s v="Medium"/>
    <d v="2024-10-01T00:00:00"/>
    <d v="2023-01-01T00:00:00"/>
    <n v="21"/>
    <n v="0"/>
  </r>
  <r>
    <s v="ORD-2024-766980"/>
    <d v="2024-11-04T00:00:00"/>
    <d v="2024-11-07T00:00:00"/>
    <n v="3"/>
    <x v="2"/>
    <x v="3"/>
    <s v="Lyon"/>
    <s v="Corporate"/>
    <x v="1"/>
    <s v="O. Wang"/>
    <x v="0"/>
    <s v="MON-1118"/>
    <n v="740.68"/>
    <n v="1837.19"/>
    <n v="1837.19"/>
    <n v="0.19700000000000001"/>
    <n v="17"/>
    <n v="25079.480689999997"/>
    <n v="12591.56"/>
    <n v="12487.920689999997"/>
    <n v="0.4979337827748298"/>
    <d v="2023-11-19T00:00:00"/>
    <s v="Q4-2024"/>
    <s v="Europe → France → Lyon"/>
    <s v="High"/>
    <d v="2024-11-01T00:00:00"/>
    <d v="2023-01-01T00:00:00"/>
    <n v="22"/>
    <n v="1"/>
  </r>
  <r>
    <s v="ORD-2024-783321"/>
    <d v="2024-11-20T00:00:00"/>
    <d v="2024-12-15T00:00:00"/>
    <n v="25"/>
    <x v="2"/>
    <x v="3"/>
    <s v="Paris"/>
    <s v="Corporate"/>
    <x v="1"/>
    <s v="G. Dubois"/>
    <x v="3"/>
    <s v="PRN-4911"/>
    <n v="1203.58"/>
    <n v="1856.16"/>
    <n v="1856.16"/>
    <n v="0.129"/>
    <n v="22"/>
    <n v="35567.737920000007"/>
    <n v="26478.76"/>
    <n v="9088.9779200000085"/>
    <n v="0.25553994860295032"/>
    <d v="2023-11-29T00:00:00"/>
    <s v="Q4-2024"/>
    <s v="Europe → France → Paris"/>
    <s v="High"/>
    <d v="2024-11-01T00:00:00"/>
    <d v="2023-01-01T00:00:00"/>
    <n v="22"/>
    <n v="0"/>
  </r>
  <r>
    <s v="ORD-2024-192263"/>
    <d v="2024-11-21T00:00:00"/>
    <d v="2024-12-21T00:00:00"/>
    <n v="30"/>
    <x v="2"/>
    <x v="3"/>
    <s v="Marseille"/>
    <s v="Small Business"/>
    <x v="2"/>
    <s v="I. Johnson"/>
    <x v="0"/>
    <s v="MON-7943"/>
    <n v="1122.68"/>
    <n v="1997.19"/>
    <n v="1997.19"/>
    <n v="0.186"/>
    <n v="3"/>
    <n v="4877.1379800000004"/>
    <n v="3368.04"/>
    <n v="1509.0979800000005"/>
    <n v="0.30942285951073306"/>
    <d v="2023-11-10T00:00:00"/>
    <s v="Q4-2024"/>
    <s v="Europe → France → Marseille"/>
    <s v="High"/>
    <d v="2024-11-01T00:00:00"/>
    <d v="2023-01-01T00:00:00"/>
    <n v="22"/>
    <n v="0"/>
  </r>
  <r>
    <s v="ORD-2024-788105"/>
    <d v="2024-11-30T00:00:00"/>
    <d v="2024-12-30T00:00:00"/>
    <n v="30"/>
    <x v="2"/>
    <x v="3"/>
    <s v="Marseille"/>
    <s v="Consumer"/>
    <x v="0"/>
    <s v="F. Müller"/>
    <x v="3"/>
    <s v="PRN-4170"/>
    <n v="117.64"/>
    <n v="175.67"/>
    <n v="175.67"/>
    <n v="0"/>
    <n v="10"/>
    <n v="1756.6999999999998"/>
    <n v="1176.4000000000001"/>
    <n v="580.29999999999973"/>
    <n v="0.33033528775545046"/>
    <d v="2023-10-15T00:00:00"/>
    <s v="Q4-2024"/>
    <s v="Europe → France → Marseille"/>
    <s v="Low"/>
    <d v="2024-11-01T00:00:00"/>
    <d v="2023-01-01T00:00:00"/>
    <n v="22"/>
    <n v="0"/>
  </r>
  <r>
    <s v="ORD-2024-382152"/>
    <d v="2024-12-08T00:00:00"/>
    <d v="2024-12-08T00:00:00"/>
    <n v="0"/>
    <x v="2"/>
    <x v="3"/>
    <s v="Lyon"/>
    <s v="Enterprise"/>
    <x v="4"/>
    <s v="H. Kim"/>
    <x v="1"/>
    <s v="CMP-2335"/>
    <n v="257.44"/>
    <n v="290.33"/>
    <n v="290.33"/>
    <n v="9.1999999999999998E-2"/>
    <n v="23"/>
    <n v="6063.2517199999993"/>
    <n v="5921.12"/>
    <n v="142.1317199999994"/>
    <n v="2.3441500792581216E-2"/>
    <d v="2023-10-12T00:00:00"/>
    <s v="Q4-2024"/>
    <s v="Europe → France → Lyon"/>
    <s v="Low"/>
    <d v="2024-12-01T00:00:00"/>
    <d v="2023-01-01T00:00:00"/>
    <n v="23"/>
    <n v="1"/>
  </r>
  <r>
    <s v="ORD-2024-206081"/>
    <d v="2024-12-10T00:00:00"/>
    <d v="2025-01-08T00:00:00"/>
    <n v="29"/>
    <x v="2"/>
    <x v="3"/>
    <s v="Marseille"/>
    <s v="Small Business"/>
    <x v="4"/>
    <s v="K. Singh"/>
    <x v="3"/>
    <s v="PRN-6791"/>
    <n v="891.08"/>
    <n v="1040.0999999999999"/>
    <n v="1040.0999999999999"/>
    <n v="0.109"/>
    <n v="28"/>
    <n v="25948.414799999995"/>
    <n v="24950.240000000002"/>
    <n v="998.17479999999341"/>
    <n v="3.8467660074556598E-2"/>
    <d v="2023-10-04T00:00:00"/>
    <s v="Q4-2024"/>
    <s v="Europe → France → Marseille"/>
    <s v="Medium"/>
    <d v="2024-12-01T00:00:00"/>
    <d v="2023-01-01T00:00:00"/>
    <n v="23"/>
    <n v="0"/>
  </r>
  <r>
    <s v="ORD-2025-542939"/>
    <d v="2025-01-13T00:00:00"/>
    <d v="2025-02-08T00:00:00"/>
    <n v="26"/>
    <x v="2"/>
    <x v="3"/>
    <s v="Paris"/>
    <s v="Non-Profit"/>
    <x v="5"/>
    <s v="E. Garcia"/>
    <x v="0"/>
    <s v="MON-1593"/>
    <n v="594.74"/>
    <n v="1020.69"/>
    <n v="1020.69"/>
    <n v="0.21099999999999999"/>
    <n v="6"/>
    <n v="4831.9464600000001"/>
    <n v="3568.44"/>
    <n v="1263.5064600000001"/>
    <n v="0.26149016146176424"/>
    <d v="2023-09-08T00:00:00"/>
    <s v="Q1-2025"/>
    <s v="Europe → France → Paris"/>
    <s v="Medium"/>
    <d v="2025-01-01T00:00:00"/>
    <d v="2023-01-01T00:00:00"/>
    <n v="24"/>
    <n v="0"/>
  </r>
  <r>
    <s v="ORD-2025-578007"/>
    <d v="2025-01-21T00:00:00"/>
    <d v="2025-02-16T00:00:00"/>
    <n v="26"/>
    <x v="2"/>
    <x v="3"/>
    <s v="Lyon"/>
    <s v="Corporate"/>
    <x v="3"/>
    <s v="O. Wang"/>
    <x v="6"/>
    <s v="LAP-3779"/>
    <n v="204.11"/>
    <n v="236.87"/>
    <n v="236.87"/>
    <n v="0.182"/>
    <n v="13"/>
    <n v="2518.8755800000004"/>
    <n v="2653.4300000000003"/>
    <n v="-134.55441999999994"/>
    <n v="-5.3418446337075494E-2"/>
    <d v="2023-08-27T00:00:00"/>
    <s v="Q1-2025"/>
    <s v="Europe → France → Lyon"/>
    <s v="Low"/>
    <d v="2025-01-01T00:00:00"/>
    <d v="2023-01-01T00:00:00"/>
    <n v="24"/>
    <n v="0"/>
  </r>
  <r>
    <s v="ORD-2025-939953"/>
    <d v="2025-01-22T00:00:00"/>
    <d v="2025-01-22T00:00:00"/>
    <n v="0"/>
    <x v="2"/>
    <x v="3"/>
    <s v="Lyon"/>
    <s v="Small Business"/>
    <x v="1"/>
    <s v="B. Chen"/>
    <x v="5"/>
    <s v="ACC-5422"/>
    <n v="591.72"/>
    <n v="577.24"/>
    <n v="577.24"/>
    <n v="0"/>
    <n v="22"/>
    <n v="12699.28"/>
    <n v="13017.84"/>
    <n v="-318.55999999999949"/>
    <n v="-2.5084886702238195E-2"/>
    <d v="2023-08-15T00:00:00"/>
    <s v="Q1-2025"/>
    <s v="Europe → France → Lyon"/>
    <s v="Low"/>
    <d v="2025-01-01T00:00:00"/>
    <d v="2023-01-01T00:00:00"/>
    <n v="24"/>
    <n v="1"/>
  </r>
  <r>
    <s v="ORD-2025-281062"/>
    <d v="2025-02-15T00:00:00"/>
    <d v="2025-02-27T00:00:00"/>
    <n v="12"/>
    <x v="2"/>
    <x v="3"/>
    <s v="Lyon"/>
    <s v="Non-Profit"/>
    <x v="2"/>
    <s v="K. Singh"/>
    <x v="5"/>
    <s v="ACC-1604"/>
    <n v="1027.26"/>
    <n v="2200.41"/>
    <n v="2200.41"/>
    <n v="8.7999999999999995E-2"/>
    <n v="6"/>
    <n v="12040.64352"/>
    <n v="6163.5599999999995"/>
    <n v="5877.0835200000001"/>
    <n v="0.48810377204822358"/>
    <d v="2023-08-02T00:00:00"/>
    <s v="Q1-2025"/>
    <s v="Europe → France → Lyon"/>
    <s v="High"/>
    <d v="2025-02-01T00:00:00"/>
    <d v="2023-01-01T00:00:00"/>
    <n v="25"/>
    <n v="0"/>
  </r>
  <r>
    <s v="ORD-2025-548982"/>
    <d v="2025-04-07T00:00:00"/>
    <d v="2025-04-11T00:00:00"/>
    <n v="4"/>
    <x v="2"/>
    <x v="3"/>
    <s v="Lyon"/>
    <s v="Education"/>
    <x v="4"/>
    <s v="E. Garcia"/>
    <x v="4"/>
    <s v="NET-9716"/>
    <n v="754.77"/>
    <n v="1666.18"/>
    <n v="1666.18"/>
    <n v="0.13900000000000001"/>
    <n v="14"/>
    <n v="20084.133720000002"/>
    <n v="10566.779999999999"/>
    <n v="9517.3537200000028"/>
    <n v="0.47387424584424653"/>
    <d v="2023-06-20T00:00:00"/>
    <s v="Q2-2025"/>
    <s v="Europe → France → Lyon"/>
    <s v="High"/>
    <d v="2025-04-01T00:00:00"/>
    <d v="2023-01-01T00:00:00"/>
    <n v="27"/>
    <n v="1"/>
  </r>
  <r>
    <s v="ORD-2025-138578"/>
    <d v="2025-04-09T00:00:00"/>
    <d v="2025-04-12T00:00:00"/>
    <n v="3"/>
    <x v="2"/>
    <x v="3"/>
    <s v="Lyon"/>
    <s v="Small Business"/>
    <x v="3"/>
    <s v="H. Kim"/>
    <x v="0"/>
    <s v="MON-5276"/>
    <n v="86.68"/>
    <n v="213.32"/>
    <n v="213.32"/>
    <n v="3.7999999999999999E-2"/>
    <n v="8"/>
    <n v="1641.7107199999998"/>
    <n v="693.44"/>
    <n v="948.27071999999976"/>
    <n v="0.57761133459614611"/>
    <d v="2023-06-23T00:00:00"/>
    <s v="Q2-2025"/>
    <s v="Europe → France → Lyon"/>
    <s v="Low"/>
    <d v="2025-04-01T00:00:00"/>
    <d v="2023-01-01T00:00:00"/>
    <n v="27"/>
    <n v="1"/>
  </r>
  <r>
    <s v="ORD-2025-778145"/>
    <d v="2025-04-22T00:00:00"/>
    <d v="2025-05-12T00:00:00"/>
    <n v="20"/>
    <x v="2"/>
    <x v="3"/>
    <s v="Lyon"/>
    <s v="Enterprise"/>
    <x v="0"/>
    <s v="K. Singh"/>
    <x v="0"/>
    <s v="MON-9216"/>
    <n v="59.51"/>
    <n v="67.040000000000006"/>
    <n v="67.040000000000006"/>
    <n v="0.114"/>
    <n v="9"/>
    <n v="534.57695999999999"/>
    <n v="535.59"/>
    <n v="-1.0130400000000463"/>
    <n v="-1.8950311663264469E-3"/>
    <d v="2023-06-09T00:00:00"/>
    <s v="Q2-2025"/>
    <s v="Europe → France → Lyon"/>
    <s v="Low"/>
    <d v="2025-04-01T00:00:00"/>
    <d v="2023-01-01T00:00:00"/>
    <n v="27"/>
    <n v="0"/>
  </r>
  <r>
    <s v="ORD-2025-526650"/>
    <d v="2025-04-27T00:00:00"/>
    <d v="2025-05-25T00:00:00"/>
    <n v="28"/>
    <x v="2"/>
    <x v="3"/>
    <s v="Paris"/>
    <s v="Small Business"/>
    <x v="0"/>
    <s v="I. Johnson"/>
    <x v="2"/>
    <s v="PHN-8350"/>
    <n v="603.45000000000005"/>
    <n v="1244.08"/>
    <n v="1244.08"/>
    <n v="0.2"/>
    <n v="11"/>
    <n v="10947.904"/>
    <n v="6637.9500000000007"/>
    <n v="4309.9539999999997"/>
    <n v="0.39367846119220623"/>
    <d v="2023-05-17T00:00:00"/>
    <s v="Q2-2025"/>
    <s v="Europe → France → Paris"/>
    <s v="Medium"/>
    <d v="2025-04-01T00:00:00"/>
    <d v="2023-01-01T00:00:00"/>
    <n v="27"/>
    <n v="0"/>
  </r>
  <r>
    <s v="ORD-2025-114382"/>
    <d v="2025-05-14T00:00:00"/>
    <d v="2025-05-24T00:00:00"/>
    <n v="10"/>
    <x v="2"/>
    <x v="3"/>
    <s v="Paris"/>
    <s v="Small Business"/>
    <x v="0"/>
    <s v="K. Singh"/>
    <x v="1"/>
    <s v="CMP-2865"/>
    <n v="170.39"/>
    <n v="388.04"/>
    <n v="388.04"/>
    <n v="8.4000000000000005E-2"/>
    <n v="15"/>
    <n v="5331.6696000000002"/>
    <n v="2555.85"/>
    <n v="2775.8196000000003"/>
    <n v="0.52062858508711796"/>
    <d v="2023-05-10T00:00:00"/>
    <s v="Q2-2025"/>
    <s v="Europe → France → Paris"/>
    <s v="Low"/>
    <d v="2025-05-01T00:00:00"/>
    <d v="2023-01-01T00:00:00"/>
    <n v="28"/>
    <n v="0"/>
  </r>
  <r>
    <s v="ORD-2025-231184"/>
    <d v="2025-06-01T00:00:00"/>
    <d v="2025-06-06T00:00:00"/>
    <n v="5"/>
    <x v="2"/>
    <x v="3"/>
    <s v="Paris"/>
    <s v="Consumer"/>
    <x v="3"/>
    <s v="G. Dubois"/>
    <x v="1"/>
    <s v="CMP-4093"/>
    <n v="379.45"/>
    <n v="742.23"/>
    <n v="742.23"/>
    <n v="0.09"/>
    <n v="13"/>
    <n v="8780.5809000000008"/>
    <n v="4932.8499999999995"/>
    <n v="3847.7309000000014"/>
    <n v="0.43820915083192286"/>
    <d v="2023-05-06T00:00:00"/>
    <s v="Q2-2025"/>
    <s v="Europe → France → Paris"/>
    <s v="Low"/>
    <d v="2025-06-01T00:00:00"/>
    <d v="2023-01-01T00:00:00"/>
    <n v="29"/>
    <n v="1"/>
  </r>
  <r>
    <s v="ORD-2025-639542"/>
    <d v="2025-06-09T00:00:00"/>
    <d v="2025-06-18T00:00:00"/>
    <n v="9"/>
    <x v="2"/>
    <x v="3"/>
    <s v="Marseille"/>
    <s v="Small Business"/>
    <x v="0"/>
    <s v="H. Kim"/>
    <x v="5"/>
    <s v="ACC-1770"/>
    <n v="1225.5"/>
    <n v="-5.27"/>
    <n v="5.27"/>
    <n v="7.4999999999999997E-2"/>
    <n v="56"/>
    <n v="272.98599999999999"/>
    <n v="68628"/>
    <n v="-68355.013999999996"/>
    <n v="-250.39750756449047"/>
    <d v="2023-04-19T00:00:00"/>
    <s v="Q2-2025"/>
    <s v="Europe → France → Marseille"/>
    <s v="Low"/>
    <d v="2025-06-01T00:00:00"/>
    <d v="2023-01-01T00:00:00"/>
    <n v="29"/>
    <n v="0"/>
  </r>
  <r>
    <s v="ORD-2025-856556"/>
    <d v="2025-06-15T00:00:00"/>
    <d v="2025-07-12T00:00:00"/>
    <n v="27"/>
    <x v="2"/>
    <x v="3"/>
    <s v="Marseille"/>
    <s v="Consumer"/>
    <x v="2"/>
    <s v="C. Otieno"/>
    <x v="5"/>
    <s v="ACC-7906"/>
    <n v="318.83"/>
    <n v="699.5"/>
    <n v="699.5"/>
    <n v="0.08"/>
    <n v="13"/>
    <n v="8366.02"/>
    <n v="4144.79"/>
    <n v="4221.2300000000005"/>
    <n v="0.50456848059172699"/>
    <d v="2023-04-13T00:00:00"/>
    <s v="Q2-2025"/>
    <s v="Europe → France → Marseille"/>
    <s v="Low"/>
    <d v="2025-06-01T00:00:00"/>
    <d v="2023-01-01T00:00:00"/>
    <n v="29"/>
    <n v="0"/>
  </r>
  <r>
    <s v="ORD-2025-189846"/>
    <d v="2025-08-11T00:00:00"/>
    <d v="2025-08-28T00:00:00"/>
    <n v="17"/>
    <x v="2"/>
    <x v="3"/>
    <s v="Paris"/>
    <s v="Education"/>
    <x v="1"/>
    <s v="F. Müller"/>
    <x v="4"/>
    <s v="NET-6218"/>
    <n v="416.16"/>
    <n v="571.9"/>
    <n v="571.9"/>
    <n v="7.0999999999999994E-2"/>
    <n v="2"/>
    <n v="1062.5902000000001"/>
    <n v="832.32"/>
    <n v="230.27020000000005"/>
    <n v="0.21670649701079497"/>
    <d v="2023-02-20T00:00:00"/>
    <s v="Q3-2025"/>
    <s v="Europe → France → Paris"/>
    <s v="Low"/>
    <d v="2025-08-01T00:00:00"/>
    <d v="2023-01-01T00:00:00"/>
    <n v="31"/>
    <n v="0"/>
  </r>
  <r>
    <s v="ORD-2025-683043"/>
    <d v="2025-08-13T00:00:00"/>
    <d v="2025-09-03T00:00:00"/>
    <n v="21"/>
    <x v="2"/>
    <x v="3"/>
    <s v="Paris"/>
    <s v="Education"/>
    <x v="4"/>
    <s v="I. Johnson"/>
    <x v="2"/>
    <s v="PHN-9465"/>
    <n v="603.47"/>
    <n v="1344.05"/>
    <n v="1344.05"/>
    <n v="0.20499999999999999"/>
    <n v="18"/>
    <n v="19233.355499999998"/>
    <n v="10862.460000000001"/>
    <n v="8370.8954999999969"/>
    <n v="0.43522803392262976"/>
    <d v="2023-02-05T00:00:00"/>
    <s v="Q3-2025"/>
    <s v="Europe → France → Paris"/>
    <s v="Medium"/>
    <d v="2025-08-01T00:00:00"/>
    <d v="2023-01-01T00:00:00"/>
    <n v="31"/>
    <n v="0"/>
  </r>
  <r>
    <s v="ORD-2025-993993"/>
    <d v="2025-08-30T00:00:00"/>
    <d v="2025-09-22T00:00:00"/>
    <n v="23"/>
    <x v="2"/>
    <x v="3"/>
    <s v="Marseille"/>
    <s v="Corporate"/>
    <x v="2"/>
    <s v="E. Garcia"/>
    <x v="1"/>
    <s v="CMP-5311"/>
    <n v="663.9"/>
    <n v="947.77"/>
    <n v="947.77"/>
    <n v="0.17399999999999999"/>
    <n v="15"/>
    <n v="11742.8703"/>
    <n v="9958.5"/>
    <n v="1784.3703000000005"/>
    <n v="0.1519535049280073"/>
    <d v="2023-02-07T00:00:00"/>
    <s v="Q3-2025"/>
    <s v="Europe → France → Marseille"/>
    <s v="Medium"/>
    <d v="2025-08-01T00:00:00"/>
    <d v="2023-01-01T00:00:00"/>
    <n v="31"/>
    <n v="0"/>
  </r>
  <r>
    <s v="ORD-2025-417336"/>
    <d v="2025-08-30T00:00:00"/>
    <d v="2025-09-03T00:00:00"/>
    <n v="4"/>
    <x v="2"/>
    <x v="3"/>
    <s v="Marseille"/>
    <s v="Small Business"/>
    <x v="0"/>
    <s v="J. Njeri"/>
    <x v="6"/>
    <s v="LAP-3220"/>
    <n v="1286.56"/>
    <n v="2777.35"/>
    <n v="2777.35"/>
    <n v="0.13200000000000001"/>
    <n v="15"/>
    <n v="36161.097000000002"/>
    <n v="19298.399999999998"/>
    <n v="16862.697000000004"/>
    <n v="0.46632150014696744"/>
    <d v="2023-02-08T00:00:00"/>
    <s v="Q3-2025"/>
    <s v="Europe → France → Marseille"/>
    <s v="High"/>
    <d v="2025-08-01T00:00:00"/>
    <d v="2023-01-01T00:00:00"/>
    <n v="31"/>
    <n v="1"/>
  </r>
  <r>
    <s v="ORD-2023-613317"/>
    <d v="2023-01-21T00:00:00"/>
    <d v="2023-01-22T00:00:00"/>
    <n v="1"/>
    <x v="2"/>
    <x v="4"/>
    <s v="Munich"/>
    <s v="Corporate"/>
    <x v="2"/>
    <s v="F. Müller"/>
    <x v="0"/>
    <s v="MON-2537"/>
    <n v="150.86000000000001"/>
    <n v="346.96"/>
    <n v="346.96"/>
    <n v="0.19600000000000001"/>
    <n v="8"/>
    <n v="2231.6467200000002"/>
    <n v="1206.8800000000001"/>
    <n v="1024.7667200000001"/>
    <n v="0.45919755614365343"/>
    <d v="2025-09-14T00:00:00"/>
    <s v="Q1-2023"/>
    <s v="Europe → Germany → Munich"/>
    <s v="Low"/>
    <d v="2023-01-01T00:00:00"/>
    <d v="2023-01-01T00:00:00"/>
    <n v="0"/>
    <n v="1"/>
  </r>
  <r>
    <s v="ORD-2023-811823"/>
    <d v="2023-01-26T00:00:00"/>
    <d v="2023-02-15T00:00:00"/>
    <n v="20"/>
    <x v="2"/>
    <x v="4"/>
    <s v="Berlin"/>
    <s v="Small Business"/>
    <x v="1"/>
    <s v="O. Wang"/>
    <x v="4"/>
    <s v="NET-8787"/>
    <n v="492.62"/>
    <n v="366.7"/>
    <n v="366.7"/>
    <n v="8.8999999999999996E-2"/>
    <n v="10"/>
    <n v="3340.6370000000002"/>
    <n v="4926.2"/>
    <n v="-1585.5629999999996"/>
    <n v="-0.47462894052840809"/>
    <d v="2025-09-15T00:00:00"/>
    <s v="Q1-2023"/>
    <s v="Europe → Germany → Berlin"/>
    <s v="Low"/>
    <d v="2023-01-01T00:00:00"/>
    <d v="2023-01-01T00:00:00"/>
    <n v="0"/>
    <n v="0"/>
  </r>
  <r>
    <s v="ORD-2023-575584"/>
    <d v="2023-01-30T00:00:00"/>
    <d v="2023-02-21T00:00:00"/>
    <n v="22"/>
    <x v="2"/>
    <x v="4"/>
    <s v="Munich"/>
    <s v="Small Business"/>
    <x v="0"/>
    <s v="G. Dubois"/>
    <x v="4"/>
    <s v="NET-3460"/>
    <n v="1142.8800000000001"/>
    <n v="1465.29"/>
    <n v="1465.29"/>
    <n v="0.186"/>
    <n v="7"/>
    <n v="8349.2224200000001"/>
    <n v="8000.1600000000008"/>
    <n v="349.06241999999929"/>
    <n v="4.1807775915017401E-2"/>
    <d v="2025-08-21T00:00:00"/>
    <s v="Q1-2023"/>
    <s v="Europe → Germany → Munich"/>
    <s v="Medium"/>
    <d v="2023-01-01T00:00:00"/>
    <d v="2023-01-01T00:00:00"/>
    <n v="0"/>
    <n v="0"/>
  </r>
  <r>
    <s v="ORD-2023-884625"/>
    <d v="2023-02-19T00:00:00"/>
    <d v="2023-03-12T00:00:00"/>
    <n v="21"/>
    <x v="2"/>
    <x v="4"/>
    <s v="Berlin"/>
    <s v="Small Business"/>
    <x v="2"/>
    <s v="L. Okafor"/>
    <x v="0"/>
    <s v="MON-6699"/>
    <n v="1234.81"/>
    <n v="2055.2399999999998"/>
    <n v="2055.2399999999998"/>
    <n v="5.2999999999999999E-2"/>
    <n v="44"/>
    <n v="85637.740319999997"/>
    <n v="54331.64"/>
    <n v="31306.100319999998"/>
    <n v="0.36556429680441616"/>
    <d v="2025-08-13T00:00:00"/>
    <s v="Q1-2023"/>
    <s v="Europe → Germany → Berlin"/>
    <s v="High"/>
    <d v="2023-02-01T00:00:00"/>
    <d v="2023-01-01T00:00:00"/>
    <n v="1"/>
    <n v="0"/>
  </r>
  <r>
    <s v="ORD-2023-422918"/>
    <d v="2023-02-28T00:00:00"/>
    <d v="2023-03-20T00:00:00"/>
    <n v="20"/>
    <x v="2"/>
    <x v="4"/>
    <s v="Berlin"/>
    <s v="Small Business"/>
    <x v="2"/>
    <s v="H. Kim"/>
    <x v="6"/>
    <s v="LAP-3679"/>
    <n v="1200.78"/>
    <n v="2001.17"/>
    <n v="2001.17"/>
    <n v="0.29199999999999998"/>
    <n v="18"/>
    <n v="25502.910479999999"/>
    <n v="21614.04"/>
    <n v="3888.8704799999978"/>
    <n v="0.15248732034132906"/>
    <d v="2025-07-22T00:00:00"/>
    <s v="Q1-2023"/>
    <s v="Europe → Germany → Berlin"/>
    <s v="High"/>
    <d v="2023-02-01T00:00:00"/>
    <d v="2023-01-01T00:00:00"/>
    <n v="1"/>
    <n v="0"/>
  </r>
  <r>
    <s v="ORD-2023-472078"/>
    <d v="2023-02-28T00:00:00"/>
    <d v="2023-03-06T00:00:00"/>
    <n v="6"/>
    <x v="2"/>
    <x v="4"/>
    <s v="Frankfurt"/>
    <s v="Small Business"/>
    <x v="0"/>
    <s v="D. Smith"/>
    <x v="3"/>
    <s v="PRN-9624"/>
    <n v="880.02"/>
    <n v="1251.21"/>
    <n v="1251.21"/>
    <n v="0.123"/>
    <n v="29"/>
    <n v="31822.023930000003"/>
    <n v="25520.579999999998"/>
    <n v="6301.4439300000049"/>
    <n v="0.19802146915172672"/>
    <d v="2025-07-23T00:00:00"/>
    <s v="Q1-2023"/>
    <s v="Europe → Germany → Frankfurt"/>
    <s v="Medium"/>
    <d v="2023-02-01T00:00:00"/>
    <d v="2023-01-01T00:00:00"/>
    <n v="1"/>
    <n v="1"/>
  </r>
  <r>
    <s v="ORD-2023-799597"/>
    <d v="2023-03-14T00:00:00"/>
    <d v="2023-03-18T00:00:00"/>
    <n v="4"/>
    <x v="2"/>
    <x v="4"/>
    <s v="Frankfurt"/>
    <s v="Enterprise"/>
    <x v="2"/>
    <s v="A. Patel"/>
    <x v="1"/>
    <s v="CMP-8675"/>
    <n v="472.33"/>
    <n v="360.34"/>
    <n v="360.34"/>
    <n v="0.16500000000000001"/>
    <n v="14"/>
    <n v="4212.3745999999992"/>
    <n v="6612.62"/>
    <n v="-2400.2454000000007"/>
    <n v="-0.56980815523861561"/>
    <d v="2025-07-20T00:00:00"/>
    <s v="Q1-2023"/>
    <s v="Europe → Germany → Frankfurt"/>
    <s v="Low"/>
    <d v="2023-03-01T00:00:00"/>
    <d v="2023-01-01T00:00:00"/>
    <n v="2"/>
    <n v="1"/>
  </r>
  <r>
    <s v="ORD-2023-933238"/>
    <d v="2023-03-17T00:00:00"/>
    <d v="2023-04-06T00:00:00"/>
    <n v="20"/>
    <x v="2"/>
    <x v="4"/>
    <s v="Munich"/>
    <s v="Consumer"/>
    <x v="4"/>
    <s v="O. Wang"/>
    <x v="2"/>
    <s v="PHN-8483"/>
    <n v="692.18"/>
    <n v="1159.3499999999999"/>
    <n v="1159.3499999999999"/>
    <n v="0.112"/>
    <n v="2"/>
    <n v="2059.0056"/>
    <n v="1384.36"/>
    <n v="674.64560000000006"/>
    <n v="0.32765602968734037"/>
    <d v="2025-07-14T00:00:00"/>
    <s v="Q1-2023"/>
    <s v="Europe → Germany → Munich"/>
    <s v="Medium"/>
    <d v="2023-03-01T00:00:00"/>
    <d v="2023-01-01T00:00:00"/>
    <n v="2"/>
    <n v="0"/>
  </r>
  <r>
    <s v="ORD-2023-701153"/>
    <d v="2023-04-14T00:00:00"/>
    <d v="2023-05-13T00:00:00"/>
    <n v="29"/>
    <x v="2"/>
    <x v="4"/>
    <s v="Frankfurt"/>
    <s v="Consumer"/>
    <x v="2"/>
    <s v="J. Njeri"/>
    <x v="3"/>
    <s v="PRN-7019"/>
    <n v="1320.33"/>
    <n v="2645.23"/>
    <n v="2645.23"/>
    <n v="0.155"/>
    <n v="25"/>
    <n v="55880.483749999999"/>
    <n v="33008.25"/>
    <n v="22872.233749999999"/>
    <n v="0.40930629470436536"/>
    <d v="2025-06-22T00:00:00"/>
    <s v="Q2-2023"/>
    <s v="Europe → Germany → Frankfurt"/>
    <s v="High"/>
    <d v="2023-04-01T00:00:00"/>
    <d v="2023-01-01T00:00:00"/>
    <n v="3"/>
    <n v="0"/>
  </r>
  <r>
    <s v="ORD-2023-609394"/>
    <d v="2023-04-16T00:00:00"/>
    <d v="2023-04-19T00:00:00"/>
    <n v="3"/>
    <x v="2"/>
    <x v="4"/>
    <s v="Munich"/>
    <s v="Corporate"/>
    <x v="2"/>
    <s v="B. Chen"/>
    <x v="5"/>
    <s v="ACC-1731"/>
    <n v="553.61"/>
    <n v="699.47"/>
    <n v="699.47"/>
    <n v="0.02"/>
    <n v="33"/>
    <n v="22620.859800000002"/>
    <n v="18269.13"/>
    <n v="4351.729800000001"/>
    <n v="0.19237685209472014"/>
    <d v="2025-06-27T00:00:00"/>
    <s v="Q2-2023"/>
    <s v="Europe → Germany → Munich"/>
    <s v="Low"/>
    <d v="2023-04-01T00:00:00"/>
    <d v="2023-01-01T00:00:00"/>
    <n v="3"/>
    <n v="1"/>
  </r>
  <r>
    <s v="ORD-2023-390998"/>
    <d v="2023-04-19T00:00:00"/>
    <d v="2023-04-28T00:00:00"/>
    <n v="9"/>
    <x v="2"/>
    <x v="4"/>
    <s v="Berlin"/>
    <s v="Education"/>
    <x v="1"/>
    <s v="E. Garcia"/>
    <x v="0"/>
    <s v="MON-1663"/>
    <n v="1178.42"/>
    <n v="2446.56"/>
    <n v="2446.56"/>
    <n v="2.9000000000000001E-2"/>
    <n v="11"/>
    <n v="26131.70736"/>
    <n v="12962.62"/>
    <n v="13169.08736"/>
    <n v="0.5039505141618883"/>
    <d v="2025-06-09T00:00:00"/>
    <s v="Q2-2023"/>
    <s v="Europe → Germany → Berlin"/>
    <s v="High"/>
    <d v="2023-04-01T00:00:00"/>
    <d v="2023-01-01T00:00:00"/>
    <n v="3"/>
    <n v="0"/>
  </r>
  <r>
    <s v="ORD-2023-521280"/>
    <d v="2023-05-27T00:00:00"/>
    <d v="2023-06-19T00:00:00"/>
    <n v="23"/>
    <x v="2"/>
    <x v="4"/>
    <s v="Berlin"/>
    <s v="Education"/>
    <x v="4"/>
    <s v="O. Wang"/>
    <x v="5"/>
    <s v="ACC-1882"/>
    <n v="1471.58"/>
    <n v="2576.65"/>
    <n v="2576.65"/>
    <n v="4.0000000000000001E-3"/>
    <n v="7"/>
    <n v="17964.4038"/>
    <n v="10301.06"/>
    <n v="7663.3438000000006"/>
    <n v="0.4265849223451546"/>
    <d v="2025-05-02T00:00:00"/>
    <s v="Q2-2023"/>
    <s v="Europe → Germany → Berlin"/>
    <s v="High"/>
    <d v="2023-05-01T00:00:00"/>
    <d v="2023-01-01T00:00:00"/>
    <n v="4"/>
    <n v="0"/>
  </r>
  <r>
    <s v="ORD-2023-349264"/>
    <d v="2023-06-01T00:00:00"/>
    <d v="2023-06-08T00:00:00"/>
    <n v="7"/>
    <x v="2"/>
    <x v="4"/>
    <s v="Frankfurt"/>
    <s v="Consumer"/>
    <x v="1"/>
    <s v="A. Patel"/>
    <x v="2"/>
    <s v="PHN-1924"/>
    <n v="804.17"/>
    <n v="1072.29"/>
    <n v="1072.29"/>
    <n v="3.2000000000000001E-2"/>
    <n v="5"/>
    <n v="5189.8836000000001"/>
    <n v="4020.85"/>
    <n v="1169.0336000000002"/>
    <n v="0.2252523736755869"/>
    <d v="2025-04-22T00:00:00"/>
    <s v="Q2-2023"/>
    <s v="Europe → Germany → Frankfurt"/>
    <s v="Medium"/>
    <d v="2023-06-01T00:00:00"/>
    <d v="2023-01-01T00:00:00"/>
    <n v="5"/>
    <n v="1"/>
  </r>
  <r>
    <s v="ORD-2023-453699"/>
    <d v="2023-07-01T00:00:00"/>
    <d v="2023-07-08T00:00:00"/>
    <n v="7"/>
    <x v="2"/>
    <x v="4"/>
    <s v="Frankfurt"/>
    <s v="Small Business"/>
    <x v="3"/>
    <s v="N. Brown"/>
    <x v="6"/>
    <s v="LAP-4666"/>
    <n v="460.21"/>
    <n v="1139.1500000000001"/>
    <n v="1139.1500000000001"/>
    <n v="0.115"/>
    <n v="14"/>
    <n v="14114.068500000001"/>
    <n v="6442.94"/>
    <n v="7671.1285000000016"/>
    <n v="0.54350937151821255"/>
    <d v="2025-03-14T00:00:00"/>
    <s v="Q3-2023"/>
    <s v="Europe → Germany → Frankfurt"/>
    <s v="Medium"/>
    <d v="2023-07-01T00:00:00"/>
    <d v="2023-01-01T00:00:00"/>
    <n v="6"/>
    <n v="1"/>
  </r>
  <r>
    <s v="ORD-2023-235230"/>
    <d v="2023-08-30T00:00:00"/>
    <d v="2023-09-01T00:00:00"/>
    <n v="2"/>
    <x v="2"/>
    <x v="4"/>
    <s v="Munich"/>
    <s v="Corporate"/>
    <x v="2"/>
    <s v="N. Brown"/>
    <x v="4"/>
    <s v="NET-9989"/>
    <n v="44.42"/>
    <n v="41.9"/>
    <n v="41.9"/>
    <n v="0.14399999999999999"/>
    <n v="6"/>
    <n v="215.19839999999996"/>
    <n v="266.52"/>
    <n v="-51.321600000000018"/>
    <n v="-0.23848504449847224"/>
    <d v="2025-01-22T00:00:00"/>
    <s v="Q3-2023"/>
    <s v="Europe → Germany → Munich"/>
    <s v="Low"/>
    <d v="2023-08-01T00:00:00"/>
    <d v="2023-01-01T00:00:00"/>
    <n v="7"/>
    <n v="1"/>
  </r>
  <r>
    <s v="ORD-2023-191563"/>
    <d v="2023-11-30T00:00:00"/>
    <d v="2023-12-10T00:00:00"/>
    <n v="10"/>
    <x v="2"/>
    <x v="4"/>
    <s v="Munich"/>
    <s v="Small Business"/>
    <x v="2"/>
    <s v="F. Müller"/>
    <x v="6"/>
    <s v="LAP-4899"/>
    <n v="174.74"/>
    <n v="415.96"/>
    <n v="415.96"/>
    <n v="0.125"/>
    <n v="21"/>
    <n v="7643.2649999999994"/>
    <n v="3669.54"/>
    <n v="3973.7249999999995"/>
    <n v="0.51989889137691803"/>
    <d v="2024-10-27T00:00:00"/>
    <s v="Q4-2023"/>
    <s v="Europe → Germany → Munich"/>
    <s v="Low"/>
    <d v="2023-11-01T00:00:00"/>
    <d v="2023-01-01T00:00:00"/>
    <n v="10"/>
    <n v="0"/>
  </r>
  <r>
    <s v="ORD-2023-212701"/>
    <d v="2023-12-02T00:00:00"/>
    <d v="2023-12-16T00:00:00"/>
    <n v="14"/>
    <x v="2"/>
    <x v="4"/>
    <s v="Frankfurt"/>
    <s v="Education"/>
    <x v="2"/>
    <s v="N. Brown"/>
    <x v="0"/>
    <s v="MON-4278"/>
    <n v="879.08"/>
    <n v="1093.3900000000001"/>
    <n v="1093.3900000000001"/>
    <n v="0.113"/>
    <n v="17"/>
    <n v="16487.22781"/>
    <n v="14944.36"/>
    <n v="1542.8678099999997"/>
    <n v="9.3579577341935186E-2"/>
    <d v="2024-10-25T00:00:00"/>
    <s v="Q4-2023"/>
    <s v="Europe → Germany → Frankfurt"/>
    <s v="Medium"/>
    <d v="2023-12-01T00:00:00"/>
    <d v="2023-01-01T00:00:00"/>
    <n v="11"/>
    <n v="0"/>
  </r>
  <r>
    <s v="ORD-2023-961864"/>
    <d v="2023-12-07T00:00:00"/>
    <d v="2024-01-02T00:00:00"/>
    <n v="26"/>
    <x v="2"/>
    <x v="4"/>
    <s v="Frankfurt"/>
    <s v="Enterprise"/>
    <x v="3"/>
    <s v="E. Garcia"/>
    <x v="1"/>
    <s v="CMP-1940"/>
    <n v="1071.99"/>
    <n v="2397.3000000000002"/>
    <n v="2397.3000000000002"/>
    <n v="6.2E-2"/>
    <n v="18"/>
    <n v="40476.013200000001"/>
    <n v="19295.82"/>
    <n v="21180.193200000002"/>
    <n v="0.52327765324476183"/>
    <d v="2024-11-05T00:00:00"/>
    <s v="Q4-2023"/>
    <s v="Europe → Germany → Frankfurt"/>
    <s v="High"/>
    <d v="2023-12-01T00:00:00"/>
    <d v="2023-01-01T00:00:00"/>
    <n v="11"/>
    <n v="0"/>
  </r>
  <r>
    <s v="ORD-2024-366010"/>
    <d v="2024-01-13T00:00:00"/>
    <d v="2024-02-05T00:00:00"/>
    <n v="23"/>
    <x v="2"/>
    <x v="4"/>
    <s v="Frankfurt"/>
    <s v="Education"/>
    <x v="2"/>
    <s v="B. Chen"/>
    <x v="6"/>
    <s v="LAP-9931"/>
    <n v="1017.93"/>
    <n v="1529.14"/>
    <n v="1529.14"/>
    <n v="0.155"/>
    <n v="12"/>
    <n v="15505.479600000001"/>
    <n v="12215.16"/>
    <n v="3290.3196000000007"/>
    <n v="0.21220366508366503"/>
    <d v="2024-09-25T00:00:00"/>
    <s v="Q1-2024"/>
    <s v="Europe → Germany → Frankfurt"/>
    <s v="Medium"/>
    <d v="2024-01-01T00:00:00"/>
    <d v="2023-01-01T00:00:00"/>
    <n v="12"/>
    <n v="0"/>
  </r>
  <r>
    <s v="ORD-2024-749242"/>
    <d v="2024-01-16T00:00:00"/>
    <d v="2024-02-11T00:00:00"/>
    <n v="26"/>
    <x v="2"/>
    <x v="4"/>
    <s v="Frankfurt"/>
    <s v="Non-Profit"/>
    <x v="3"/>
    <s v="E. Garcia"/>
    <x v="0"/>
    <s v="MON-4195"/>
    <n v="504.93"/>
    <n v="819.06"/>
    <n v="819.06"/>
    <n v="0.22600000000000001"/>
    <n v="15"/>
    <n v="9509.2865999999995"/>
    <n v="7573.95"/>
    <n v="1935.3365999999996"/>
    <n v="0.20352069312959814"/>
    <d v="2024-09-09T00:00:00"/>
    <s v="Q1-2024"/>
    <s v="Europe → Germany → Frankfurt"/>
    <s v="Medium"/>
    <d v="2024-01-01T00:00:00"/>
    <d v="2023-01-01T00:00:00"/>
    <n v="12"/>
    <n v="0"/>
  </r>
  <r>
    <s v="ORD-2024-210687"/>
    <d v="2024-01-28T00:00:00"/>
    <d v="2024-02-09T00:00:00"/>
    <n v="12"/>
    <x v="2"/>
    <x v="4"/>
    <s v="Berlin"/>
    <s v="Corporate"/>
    <x v="1"/>
    <s v="G. Dubois"/>
    <x v="5"/>
    <s v="ACC-7938"/>
    <n v="644.16999999999996"/>
    <n v="700.12"/>
    <n v="700.12"/>
    <n v="6.0000000000000001E-3"/>
    <n v="23"/>
    <n v="16006.14344"/>
    <n v="14815.91"/>
    <n v="1190.23344"/>
    <n v="7.436103796405813E-2"/>
    <d v="2024-08-18T00:00:00"/>
    <s v="Q1-2024"/>
    <s v="Europe → Germany → Berlin"/>
    <s v="Low"/>
    <d v="2024-01-01T00:00:00"/>
    <d v="2023-01-01T00:00:00"/>
    <n v="12"/>
    <n v="0"/>
  </r>
  <r>
    <s v="ORD-2024-960952"/>
    <d v="2024-02-03T00:00:00"/>
    <d v="2024-02-21T00:00:00"/>
    <n v="18"/>
    <x v="2"/>
    <x v="4"/>
    <s v="Frankfurt"/>
    <s v="Corporate"/>
    <x v="4"/>
    <s v="H. Kim"/>
    <x v="1"/>
    <s v="CMP-9264"/>
    <n v="39.229999999999997"/>
    <n v="30.09"/>
    <n v="30.09"/>
    <n v="0.17699999999999999"/>
    <n v="13"/>
    <n v="321.93290999999999"/>
    <n v="509.98999999999995"/>
    <n v="-188.05708999999996"/>
    <n v="-0.58414993981199359"/>
    <d v="2024-09-03T00:00:00"/>
    <s v="Q1-2024"/>
    <s v="Europe → Germany → Frankfurt"/>
    <s v="Low"/>
    <d v="2024-02-01T00:00:00"/>
    <d v="2023-01-01T00:00:00"/>
    <n v="13"/>
    <n v="0"/>
  </r>
  <r>
    <s v="ORD-2024-356812"/>
    <d v="2024-03-07T00:00:00"/>
    <d v="2024-04-03T00:00:00"/>
    <n v="27"/>
    <x v="2"/>
    <x v="4"/>
    <s v="Frankfurt"/>
    <s v="Corporate"/>
    <x v="2"/>
    <s v="M. Rossi"/>
    <x v="3"/>
    <s v="PRN-6911"/>
    <n v="738.16"/>
    <n v="956.49"/>
    <n v="956.49"/>
    <n v="0.152"/>
    <n v="5"/>
    <n v="4055.5175999999997"/>
    <n v="3690.7999999999997"/>
    <n v="364.71759999999995"/>
    <n v="8.9931208780847108E-2"/>
    <d v="2024-07-13T00:00:00"/>
    <s v="Q1-2024"/>
    <s v="Europe → Germany → Frankfurt"/>
    <s v="Medium"/>
    <d v="2024-03-01T00:00:00"/>
    <d v="2023-01-01T00:00:00"/>
    <n v="14"/>
    <n v="0"/>
  </r>
  <r>
    <s v="ORD-2024-692673"/>
    <d v="2024-03-07T00:00:00"/>
    <d v="2024-03-25T00:00:00"/>
    <n v="18"/>
    <x v="2"/>
    <x v="4"/>
    <s v="Munich"/>
    <s v="Corporate"/>
    <x v="1"/>
    <s v="B. Chen"/>
    <x v="1"/>
    <s v="CMP-7617"/>
    <n v="712.84"/>
    <n v="927.51"/>
    <n v="927.51"/>
    <n v="0.24299999999999999"/>
    <n v="27"/>
    <n v="18957.37689"/>
    <n v="19246.68"/>
    <n v="-289.30311000000074"/>
    <n v="-1.5260714163076427E-2"/>
    <d v="2024-07-25T00:00:00"/>
    <s v="Q1-2024"/>
    <s v="Europe → Germany → Munich"/>
    <s v="Medium"/>
    <d v="2024-03-01T00:00:00"/>
    <d v="2023-01-01T00:00:00"/>
    <n v="14"/>
    <n v="0"/>
  </r>
  <r>
    <s v="ORD-2024-287210"/>
    <d v="2024-03-18T00:00:00"/>
    <d v="2024-03-21T00:00:00"/>
    <n v="3"/>
    <x v="2"/>
    <x v="4"/>
    <s v="Munich"/>
    <s v="Small Business"/>
    <x v="1"/>
    <s v="M. Rossi"/>
    <x v="5"/>
    <s v="ACC-2761"/>
    <n v="910.63"/>
    <n v="1269.4000000000001"/>
    <n v="1269.4000000000001"/>
    <n v="6.8000000000000005E-2"/>
    <n v="9"/>
    <n v="10647.727199999999"/>
    <n v="8195.67"/>
    <n v="2452.0571999999993"/>
    <n v="0.23028925834989455"/>
    <d v="2024-07-09T00:00:00"/>
    <s v="Q1-2024"/>
    <s v="Europe → Germany → Munich"/>
    <s v="Medium"/>
    <d v="2024-03-01T00:00:00"/>
    <d v="2023-01-01T00:00:00"/>
    <n v="14"/>
    <n v="1"/>
  </r>
  <r>
    <s v="ORD-2024-745822"/>
    <d v="2024-03-31T00:00:00"/>
    <d v="2024-04-17T00:00:00"/>
    <n v="17"/>
    <x v="2"/>
    <x v="4"/>
    <s v="Frankfurt"/>
    <s v="Education"/>
    <x v="2"/>
    <s v="H. Kim"/>
    <x v="0"/>
    <s v="MON-8651"/>
    <n v="1025.51"/>
    <n v="1436.54"/>
    <n v="1436.54"/>
    <n v="0.13900000000000001"/>
    <n v="28"/>
    <n v="34632.106319999999"/>
    <n v="28714.28"/>
    <n v="5917.8263200000001"/>
    <n v="0.17087688127656453"/>
    <d v="2024-06-25T00:00:00"/>
    <s v="Q1-2024"/>
    <s v="Europe → Germany → Frankfurt"/>
    <s v="Medium"/>
    <d v="2024-03-01T00:00:00"/>
    <d v="2023-01-01T00:00:00"/>
    <n v="14"/>
    <n v="0"/>
  </r>
  <r>
    <s v="ORD-2024-211453"/>
    <d v="2024-04-04T00:00:00"/>
    <d v="2024-04-24T00:00:00"/>
    <n v="20"/>
    <x v="2"/>
    <x v="4"/>
    <s v="Frankfurt"/>
    <s v="Non-Profit"/>
    <x v="2"/>
    <s v="O. Wang"/>
    <x v="5"/>
    <s v="ACC-6543"/>
    <n v="683.42"/>
    <n v="951.51"/>
    <n v="951.51"/>
    <n v="0"/>
    <n v="14"/>
    <n v="13321.14"/>
    <n v="9567.8799999999992"/>
    <n v="3753.26"/>
    <n v="0.28175216235247136"/>
    <d v="2024-06-07T00:00:00"/>
    <s v="Q2-2024"/>
    <s v="Europe → Germany → Frankfurt"/>
    <s v="Medium"/>
    <d v="2024-04-01T00:00:00"/>
    <d v="2023-01-01T00:00:00"/>
    <n v="15"/>
    <n v="0"/>
  </r>
  <r>
    <s v="ORD-2024-855600"/>
    <d v="2024-04-29T00:00:00"/>
    <d v="2024-05-19T00:00:00"/>
    <n v="20"/>
    <x v="2"/>
    <x v="4"/>
    <s v="Frankfurt"/>
    <s v="Enterprise"/>
    <x v="0"/>
    <s v="C. Otieno"/>
    <x v="6"/>
    <s v="LAP-5009"/>
    <n v="668.97"/>
    <n v="1667.44"/>
    <n v="1667.44"/>
    <n v="3.4000000000000002E-2"/>
    <n v="15"/>
    <n v="24161.205600000001"/>
    <n v="10034.550000000001"/>
    <n v="14126.6556"/>
    <n v="0.58468339013679016"/>
    <d v="2024-06-02T00:00:00"/>
    <s v="Q2-2024"/>
    <s v="Europe → Germany → Frankfurt"/>
    <s v="High"/>
    <d v="2024-04-01T00:00:00"/>
    <d v="2023-01-01T00:00:00"/>
    <n v="15"/>
    <n v="0"/>
  </r>
  <r>
    <s v="ORD-2024-402240"/>
    <d v="2024-05-01T00:00:00"/>
    <d v="2024-05-26T00:00:00"/>
    <n v="25"/>
    <x v="2"/>
    <x v="4"/>
    <s v="Berlin"/>
    <s v="Non-Profit"/>
    <x v="4"/>
    <s v="B. Chen"/>
    <x v="4"/>
    <s v="NET-4228"/>
    <n v="930.71"/>
    <n v="1625.42"/>
    <n v="1625.42"/>
    <n v="0.13800000000000001"/>
    <n v="7"/>
    <n v="9807.7842799999999"/>
    <n v="6514.97"/>
    <n v="3292.8142799999996"/>
    <n v="0.33573477821231196"/>
    <d v="2024-05-23T00:00:00"/>
    <s v="Q2-2024"/>
    <s v="Europe → Germany → Berlin"/>
    <s v="Medium"/>
    <d v="2024-05-01T00:00:00"/>
    <d v="2023-01-01T00:00:00"/>
    <n v="16"/>
    <n v="0"/>
  </r>
  <r>
    <s v="ORD-2024-819979"/>
    <d v="2024-05-28T00:00:00"/>
    <d v="2024-06-18T00:00:00"/>
    <n v="21"/>
    <x v="2"/>
    <x v="4"/>
    <s v="Frankfurt"/>
    <s v="Small Business"/>
    <x v="1"/>
    <s v="E. Garcia"/>
    <x v="2"/>
    <s v="PHN-9399"/>
    <n v="986.85"/>
    <n v="2422.1"/>
    <n v="2422.1"/>
    <n v="7.5999999999999998E-2"/>
    <n v="10"/>
    <n v="22380.204000000002"/>
    <n v="9868.5"/>
    <n v="12511.704000000002"/>
    <n v="0.55905227673527913"/>
    <d v="2024-04-21T00:00:00"/>
    <s v="Q2-2024"/>
    <s v="Europe → Germany → Frankfurt"/>
    <s v="High"/>
    <d v="2024-05-01T00:00:00"/>
    <d v="2023-01-01T00:00:00"/>
    <n v="16"/>
    <n v="0"/>
  </r>
  <r>
    <s v="ORD-2024-584090"/>
    <d v="2024-06-07T00:00:00"/>
    <d v="2024-06-26T00:00:00"/>
    <n v="19"/>
    <x v="2"/>
    <x v="4"/>
    <s v="Berlin"/>
    <s v="Non-Profit"/>
    <x v="0"/>
    <s v="M. Rossi"/>
    <x v="1"/>
    <s v="CMP-2040"/>
    <n v="1064.32"/>
    <n v="1848.39"/>
    <n v="1848.39"/>
    <n v="7.2999999999999995E-2"/>
    <n v="38"/>
    <n v="65111.38614000001"/>
    <n v="40444.159999999996"/>
    <n v="24667.226140000013"/>
    <n v="0.3788465827921631"/>
    <d v="2024-04-19T00:00:00"/>
    <s v="Q2-2024"/>
    <s v="Europe → Germany → Berlin"/>
    <s v="High"/>
    <d v="2024-06-01T00:00:00"/>
    <d v="2023-01-01T00:00:00"/>
    <n v="17"/>
    <n v="0"/>
  </r>
  <r>
    <s v="ORD-2024-745424"/>
    <d v="2024-08-22T00:00:00"/>
    <d v="2024-09-04T00:00:00"/>
    <n v="13"/>
    <x v="2"/>
    <x v="4"/>
    <s v="Frankfurt"/>
    <s v="Non-Profit"/>
    <x v="4"/>
    <s v="L. Okafor"/>
    <x v="3"/>
    <s v="PRN-4892"/>
    <n v="90.04"/>
    <n v="194.62"/>
    <n v="194.62"/>
    <n v="4.2999999999999997E-2"/>
    <n v="32"/>
    <n v="5960.04288"/>
    <n v="2881.28"/>
    <n v="3078.7628799999998"/>
    <n v="0.51656723650954672"/>
    <d v="2024-02-20T00:00:00"/>
    <s v="Q3-2024"/>
    <s v="Europe → Germany → Frankfurt"/>
    <s v="Low"/>
    <d v="2024-08-01T00:00:00"/>
    <d v="2023-01-01T00:00:00"/>
    <n v="19"/>
    <n v="0"/>
  </r>
  <r>
    <s v="ORD-2024-635626"/>
    <d v="2024-08-27T00:00:00"/>
    <d v="2024-09-19T00:00:00"/>
    <n v="23"/>
    <x v="2"/>
    <x v="4"/>
    <s v="Berlin"/>
    <s v="Small Business"/>
    <x v="2"/>
    <s v="D. Smith"/>
    <x v="0"/>
    <s v="MON-9967"/>
    <n v="1024.01"/>
    <n v="1580.97"/>
    <n v="1580.97"/>
    <n v="3.6999999999999998E-2"/>
    <n v="27"/>
    <n v="41106.800970000004"/>
    <n v="27648.27"/>
    <n v="13458.530970000003"/>
    <n v="0.3274039976942531"/>
    <d v="2024-02-03T00:00:00"/>
    <s v="Q3-2024"/>
    <s v="Europe → Germany → Berlin"/>
    <s v="Medium"/>
    <d v="2024-08-01T00:00:00"/>
    <d v="2023-01-01T00:00:00"/>
    <n v="19"/>
    <n v="0"/>
  </r>
  <r>
    <s v="ORD-2024-381197"/>
    <d v="2024-11-01T00:00:00"/>
    <d v="2024-11-12T00:00:00"/>
    <n v="11"/>
    <x v="2"/>
    <x v="4"/>
    <s v="Frankfurt"/>
    <s v="Consumer"/>
    <x v="1"/>
    <s v="B. Chen"/>
    <x v="3"/>
    <s v="PRN-2409"/>
    <n v="599.84"/>
    <n v="1330.85"/>
    <n v="1330.85"/>
    <n v="0.115"/>
    <n v="11"/>
    <n v="12955.824749999998"/>
    <n v="6598.2400000000007"/>
    <n v="6357.5847499999973"/>
    <n v="0.49071246892252063"/>
    <d v="2023-11-19T00:00:00"/>
    <s v="Q4-2024"/>
    <s v="Europe → Germany → Frankfurt"/>
    <s v="Medium"/>
    <d v="2024-11-01T00:00:00"/>
    <d v="2023-01-01T00:00:00"/>
    <n v="22"/>
    <n v="0"/>
  </r>
  <r>
    <s v="ORD-2024-866535"/>
    <d v="2024-12-04T00:00:00"/>
    <d v="2024-12-12T00:00:00"/>
    <n v="8"/>
    <x v="2"/>
    <x v="4"/>
    <s v="Frankfurt"/>
    <s v="Enterprise"/>
    <x v="0"/>
    <s v="B. Chen"/>
    <x v="3"/>
    <s v="PRN-5492"/>
    <n v="72.06"/>
    <n v="122.74"/>
    <n v="122.74"/>
    <n v="0.23799999999999999"/>
    <n v="8"/>
    <n v="748.22303999999997"/>
    <n v="576.48"/>
    <n v="171.74303999999995"/>
    <n v="0.22953455162246802"/>
    <d v="2023-10-31T00:00:00"/>
    <s v="Q4-2024"/>
    <s v="Europe → Germany → Frankfurt"/>
    <s v="Low"/>
    <d v="2024-12-01T00:00:00"/>
    <d v="2023-01-01T00:00:00"/>
    <n v="23"/>
    <n v="0"/>
  </r>
  <r>
    <s v="ORD-2024-289089"/>
    <d v="2024-12-17T00:00:00"/>
    <d v="2024-12-18T00:00:00"/>
    <n v="1"/>
    <x v="2"/>
    <x v="4"/>
    <s v="Munich"/>
    <s v="Education"/>
    <x v="4"/>
    <s v="L. Okafor"/>
    <x v="5"/>
    <s v="ACC-5780"/>
    <n v="346.82"/>
    <n v="701.95"/>
    <n v="701.95"/>
    <n v="0.14699999999999999"/>
    <n v="8"/>
    <n v="4790.1068000000005"/>
    <n v="2774.56"/>
    <n v="2015.5468000000005"/>
    <n v="0.42077283120284509"/>
    <d v="2023-10-11T00:00:00"/>
    <s v="Q4-2024"/>
    <s v="Europe → Germany → Munich"/>
    <s v="Low"/>
    <d v="2024-12-01T00:00:00"/>
    <d v="2023-01-01T00:00:00"/>
    <n v="23"/>
    <n v="1"/>
  </r>
  <r>
    <s v="ORD-2024-902741"/>
    <d v="2024-12-23T00:00:00"/>
    <d v="2025-01-11T00:00:00"/>
    <n v="19"/>
    <x v="2"/>
    <x v="4"/>
    <s v="Berlin"/>
    <s v="Education"/>
    <x v="4"/>
    <s v="K. Singh"/>
    <x v="2"/>
    <s v="PHN-8057"/>
    <n v="501.81"/>
    <n v="921.62"/>
    <n v="921.62"/>
    <n v="0.01"/>
    <n v="9"/>
    <n v="8211.6342000000004"/>
    <n v="4516.29"/>
    <n v="3695.3442000000005"/>
    <n v="0.45001325071202031"/>
    <d v="2023-09-25T00:00:00"/>
    <s v="Q4-2024"/>
    <s v="Europe → Germany → Berlin"/>
    <s v="Medium"/>
    <d v="2024-12-01T00:00:00"/>
    <d v="2023-01-01T00:00:00"/>
    <n v="23"/>
    <n v="0"/>
  </r>
  <r>
    <s v="ORD-2024-474999"/>
    <d v="2024-12-27T00:00:00"/>
    <d v="2025-01-02T00:00:00"/>
    <n v="6"/>
    <x v="2"/>
    <x v="4"/>
    <s v="Frankfurt"/>
    <s v="Education"/>
    <x v="2"/>
    <s v="F. Müller"/>
    <x v="6"/>
    <s v="LAP-8214"/>
    <n v="1391.99"/>
    <n v="3469.7"/>
    <n v="3469.7"/>
    <n v="0.184"/>
    <n v="23"/>
    <n v="65119.329599999997"/>
    <n v="32015.77"/>
    <n v="33103.559599999993"/>
    <n v="0.50835227886006973"/>
    <d v="2023-09-30T00:00:00"/>
    <s v="Q4-2024"/>
    <s v="Europe → Germany → Frankfurt"/>
    <s v="High"/>
    <d v="2024-12-01T00:00:00"/>
    <d v="2023-01-01T00:00:00"/>
    <n v="23"/>
    <n v="1"/>
  </r>
  <r>
    <s v="ORD-2025-766923"/>
    <d v="2025-02-15T00:00:00"/>
    <d v="2025-02-15T00:00:00"/>
    <n v="0"/>
    <x v="2"/>
    <x v="4"/>
    <s v="Frankfurt"/>
    <s v="Small Business"/>
    <x v="0"/>
    <s v="L. Okafor"/>
    <x v="5"/>
    <s v="ACC-3989"/>
    <n v="815.83"/>
    <n v="1982.18"/>
    <n v="1982.18"/>
    <n v="0.127"/>
    <n v="6"/>
    <n v="10382.65884"/>
    <n v="4894.9800000000005"/>
    <n v="5487.6788399999996"/>
    <n v="0.52854272923408507"/>
    <d v="2023-07-24T00:00:00"/>
    <s v="Q1-2025"/>
    <s v="Europe → Germany → Frankfurt"/>
    <s v="High"/>
    <d v="2025-02-01T00:00:00"/>
    <d v="2023-01-01T00:00:00"/>
    <n v="25"/>
    <n v="1"/>
  </r>
  <r>
    <s v="ORD-2025-337268"/>
    <d v="2025-02-16T00:00:00"/>
    <d v="2025-03-17T00:00:00"/>
    <n v="29"/>
    <x v="2"/>
    <x v="4"/>
    <s v="Munich"/>
    <s v="Consumer"/>
    <x v="4"/>
    <s v="L. Okafor"/>
    <x v="5"/>
    <s v="ACC-5150"/>
    <n v="730.42"/>
    <n v="956.7"/>
    <n v="956.7"/>
    <n v="4.2000000000000003E-2"/>
    <n v="22"/>
    <n v="20163.409200000002"/>
    <n v="16069.24"/>
    <n v="4094.1692000000021"/>
    <n v="0.20304945256975698"/>
    <d v="2023-08-10T00:00:00"/>
    <s v="Q1-2025"/>
    <s v="Europe → Germany → Munich"/>
    <s v="Medium"/>
    <d v="2025-02-01T00:00:00"/>
    <d v="2023-01-01T00:00:00"/>
    <n v="25"/>
    <n v="0"/>
  </r>
  <r>
    <s v="ORD-2025-926547"/>
    <d v="2025-03-11T00:00:00"/>
    <d v="2025-03-26T00:00:00"/>
    <n v="15"/>
    <x v="2"/>
    <x v="4"/>
    <s v="Berlin"/>
    <s v="Small Business"/>
    <x v="1"/>
    <s v="I. Johnson"/>
    <x v="2"/>
    <s v="PHN-3007"/>
    <n v="116.97"/>
    <n v="140.82"/>
    <n v="140.82"/>
    <n v="0.122"/>
    <n v="5"/>
    <n v="618.19979999999987"/>
    <n v="584.85"/>
    <n v="33.349799999999846"/>
    <n v="5.3946636669891926E-2"/>
    <d v="2023-07-03T00:00:00"/>
    <s v="Q1-2025"/>
    <s v="Europe → Germany → Berlin"/>
    <s v="Low"/>
    <d v="2025-03-01T00:00:00"/>
    <d v="2023-01-01T00:00:00"/>
    <n v="26"/>
    <n v="0"/>
  </r>
  <r>
    <s v="ORD-2025-947929"/>
    <d v="2025-03-23T00:00:00"/>
    <d v="2025-04-02T00:00:00"/>
    <n v="10"/>
    <x v="2"/>
    <x v="4"/>
    <s v="Berlin"/>
    <s v="Enterprise"/>
    <x v="1"/>
    <s v="E. Garcia"/>
    <x v="3"/>
    <s v="PRN-3159"/>
    <n v="663.61"/>
    <n v="1002.11"/>
    <n v="1002.11"/>
    <n v="4.5999999999999999E-2"/>
    <n v="17"/>
    <n v="16252.219979999998"/>
    <n v="11281.37"/>
    <n v="4970.8499799999972"/>
    <n v="0.30585667595670812"/>
    <d v="2023-06-22T00:00:00"/>
    <s v="Q1-2025"/>
    <s v="Europe → Germany → Berlin"/>
    <s v="Medium"/>
    <d v="2025-03-01T00:00:00"/>
    <d v="2023-01-01T00:00:00"/>
    <n v="26"/>
    <n v="0"/>
  </r>
  <r>
    <s v="ORD-2025-541048"/>
    <d v="2025-04-04T00:00:00"/>
    <d v="2025-04-13T00:00:00"/>
    <n v="9"/>
    <x v="2"/>
    <x v="4"/>
    <s v="Munich"/>
    <s v="Consumer"/>
    <x v="0"/>
    <s v="F. Müller"/>
    <x v="2"/>
    <s v="PHN-3803"/>
    <n v="7.02"/>
    <n v="6.28"/>
    <n v="6.28"/>
    <n v="0.13400000000000001"/>
    <n v="14"/>
    <n v="76.138720000000006"/>
    <n v="98.28"/>
    <n v="-22.141279999999995"/>
    <n v="-0.29080184169106066"/>
    <d v="2023-07-01T00:00:00"/>
    <s v="Q2-2025"/>
    <s v="Europe → Germany → Munich"/>
    <s v="Low"/>
    <d v="2025-04-01T00:00:00"/>
    <d v="2023-01-01T00:00:00"/>
    <n v="27"/>
    <n v="0"/>
  </r>
  <r>
    <s v="ORD-2025-946490"/>
    <d v="2025-04-22T00:00:00"/>
    <d v="2025-05-02T00:00:00"/>
    <n v="10"/>
    <x v="2"/>
    <x v="4"/>
    <s v="Berlin"/>
    <s v="Corporate"/>
    <x v="0"/>
    <s v="C. Otieno"/>
    <x v="0"/>
    <s v="MON-2842"/>
    <n v="20.149999999999999"/>
    <n v="39.74"/>
    <n v="39.74"/>
    <n v="0.151"/>
    <n v="18"/>
    <n v="607.30668000000003"/>
    <n v="362.7"/>
    <n v="244.60668000000004"/>
    <n v="0.4027729120318585"/>
    <d v="2023-05-27T00:00:00"/>
    <s v="Q2-2025"/>
    <s v="Europe → Germany → Berlin"/>
    <s v="Low"/>
    <d v="2025-04-01T00:00:00"/>
    <d v="2023-01-01T00:00:00"/>
    <n v="27"/>
    <n v="0"/>
  </r>
  <r>
    <s v="ORD-2025-252117"/>
    <d v="2025-04-28T00:00:00"/>
    <d v="2025-05-19T00:00:00"/>
    <n v="21"/>
    <x v="2"/>
    <x v="4"/>
    <s v="Berlin"/>
    <s v="Corporate"/>
    <x v="3"/>
    <s v="B. Chen"/>
    <x v="2"/>
    <s v="PHN-2462"/>
    <n v="350.76"/>
    <n v="492.18"/>
    <n v="492.18"/>
    <n v="5.2999999999999999E-2"/>
    <n v="11"/>
    <n v="5127.0390600000001"/>
    <n v="3858.3599999999997"/>
    <n v="1268.6790600000004"/>
    <n v="0.24744868239798437"/>
    <d v="2023-06-01T00:00:00"/>
    <s v="Q2-2025"/>
    <s v="Europe → Germany → Berlin"/>
    <s v="Low"/>
    <d v="2025-04-01T00:00:00"/>
    <d v="2023-01-01T00:00:00"/>
    <n v="27"/>
    <n v="0"/>
  </r>
  <r>
    <s v="ORD-2025-820255"/>
    <d v="2025-05-29T00:00:00"/>
    <d v="2025-06-20T00:00:00"/>
    <n v="22"/>
    <x v="2"/>
    <x v="4"/>
    <s v="Berlin"/>
    <s v="Corporate"/>
    <x v="2"/>
    <s v="A. Patel"/>
    <x v="3"/>
    <s v="PRN-9787"/>
    <n v="483.47"/>
    <n v="1135.43"/>
    <n v="1135.43"/>
    <n v="0.14599999999999999"/>
    <n v="11"/>
    <n v="10666.229420000001"/>
    <n v="5318.17"/>
    <n v="5348.0594200000014"/>
    <n v="0.50140112399719983"/>
    <d v="2023-05-02T00:00:00"/>
    <s v="Q2-2025"/>
    <s v="Europe → Germany → Berlin"/>
    <s v="Medium"/>
    <d v="2025-05-01T00:00:00"/>
    <d v="2023-01-01T00:00:00"/>
    <n v="28"/>
    <n v="0"/>
  </r>
  <r>
    <s v="ORD-2025-398335"/>
    <d v="2025-06-01T00:00:00"/>
    <d v="2025-06-27T00:00:00"/>
    <n v="26"/>
    <x v="2"/>
    <x v="4"/>
    <s v="Munich"/>
    <s v="Consumer"/>
    <x v="3"/>
    <s v="E. Garcia"/>
    <x v="6"/>
    <s v="LAP-1619"/>
    <n v="1362.31"/>
    <n v="3294.57"/>
    <n v="3294.57"/>
    <n v="0.113"/>
    <n v="7"/>
    <n v="20455.985130000001"/>
    <n v="9536.17"/>
    <n v="10919.815130000001"/>
    <n v="0.5338200561157721"/>
    <d v="2023-05-10T00:00:00"/>
    <s v="Q2-2025"/>
    <s v="Europe → Germany → Munich"/>
    <s v="High"/>
    <d v="2025-06-01T00:00:00"/>
    <d v="2023-01-01T00:00:00"/>
    <n v="29"/>
    <n v="0"/>
  </r>
  <r>
    <s v="ORD-2025-795385"/>
    <d v="2025-06-01T00:00:00"/>
    <d v="2025-06-05T00:00:00"/>
    <n v="4"/>
    <x v="2"/>
    <x v="4"/>
    <s v="Munich"/>
    <s v="Enterprise"/>
    <x v="2"/>
    <s v="M. Rossi"/>
    <x v="1"/>
    <s v="CMP-4159"/>
    <n v="1171.42"/>
    <n v="2187.8000000000002"/>
    <n v="2187.8000000000002"/>
    <n v="0.23"/>
    <n v="15"/>
    <n v="25269.09"/>
    <n v="17571.300000000003"/>
    <n v="7697.7899999999972"/>
    <n v="0.30463265594447592"/>
    <d v="2023-04-22T00:00:00"/>
    <s v="Q2-2025"/>
    <s v="Europe → Germany → Munich"/>
    <s v="High"/>
    <d v="2025-06-01T00:00:00"/>
    <d v="2023-01-01T00:00:00"/>
    <n v="29"/>
    <n v="1"/>
  </r>
  <r>
    <s v="ORD-2025-678328"/>
    <d v="2025-06-24T00:00:00"/>
    <d v="2025-07-14T00:00:00"/>
    <n v="20"/>
    <x v="2"/>
    <x v="4"/>
    <s v="Berlin"/>
    <s v="Corporate"/>
    <x v="2"/>
    <s v="O. Wang"/>
    <x v="5"/>
    <s v="ACC-8094"/>
    <n v="385.08"/>
    <n v="893.19"/>
    <n v="893.19"/>
    <n v="0.151"/>
    <n v="8"/>
    <n v="6066.54648"/>
    <n v="3080.64"/>
    <n v="2985.9064800000001"/>
    <n v="0.49219213762621666"/>
    <d v="2023-04-22T00:00:00"/>
    <s v="Q2-2025"/>
    <s v="Europe → Germany → Berlin"/>
    <s v="Medium"/>
    <d v="2025-06-01T00:00:00"/>
    <d v="2023-01-01T00:00:00"/>
    <n v="29"/>
    <n v="0"/>
  </r>
  <r>
    <s v="ORD-2025-184754"/>
    <d v="2025-06-27T00:00:00"/>
    <d v="2025-07-05T00:00:00"/>
    <n v="8"/>
    <x v="2"/>
    <x v="4"/>
    <s v="Munich"/>
    <s v="Small Business"/>
    <x v="2"/>
    <s v="G. Dubois"/>
    <x v="0"/>
    <s v="MON-7626"/>
    <n v="314.93"/>
    <n v="687.95"/>
    <n v="687.95"/>
    <n v="0.20499999999999999"/>
    <n v="8"/>
    <n v="4375.3620000000001"/>
    <n v="2519.44"/>
    <n v="1855.922"/>
    <n v="0.424175645352316"/>
    <d v="2023-04-05T00:00:00"/>
    <s v="Q2-2025"/>
    <s v="Europe → Germany → Munich"/>
    <s v="Low"/>
    <d v="2025-06-01T00:00:00"/>
    <d v="2023-01-01T00:00:00"/>
    <n v="29"/>
    <n v="0"/>
  </r>
  <r>
    <s v="ORD-2025-677880"/>
    <d v="2025-08-21T00:00:00"/>
    <d v="2025-09-14T00:00:00"/>
    <n v="24"/>
    <x v="2"/>
    <x v="4"/>
    <s v="Berlin"/>
    <s v="Non-Profit"/>
    <x v="1"/>
    <s v="A. Patel"/>
    <x v="0"/>
    <s v="MON-9662"/>
    <n v="1397.67"/>
    <n v="3131.37"/>
    <n v="3131.37"/>
    <n v="0.10299999999999999"/>
    <n v="20"/>
    <n v="56176.777799999996"/>
    <n v="27953.4"/>
    <n v="28223.377799999995"/>
    <n v="0.50240293062874808"/>
    <d v="2023-02-26T00:00:00"/>
    <s v="Q3-2025"/>
    <s v="Europe → Germany → Berlin"/>
    <s v="High"/>
    <d v="2025-08-01T00:00:00"/>
    <d v="2023-01-01T00:00:00"/>
    <n v="31"/>
    <n v="0"/>
  </r>
  <r>
    <s v="ORD-2023-521818"/>
    <d v="2023-01-29T00:00:00"/>
    <d v="2023-02-28T00:00:00"/>
    <n v="30"/>
    <x v="1"/>
    <x v="5"/>
    <s v="Bengaluru"/>
    <s v="Non-Profit"/>
    <x v="4"/>
    <s v="B. Chen"/>
    <x v="5"/>
    <s v="ACC-4631"/>
    <n v="1262.0999999999999"/>
    <n v="1395.53"/>
    <n v="1395.53"/>
    <n v="0.23300000000000001"/>
    <n v="25"/>
    <n v="26759.28775"/>
    <n v="31552.499999999996"/>
    <n v="-4793.2122499999969"/>
    <n v="-0.17912331205452198"/>
    <d v="2025-09-10T00:00:00"/>
    <s v="Q1-2023"/>
    <s v="Asia → India → Bengaluru"/>
    <s v="Medium"/>
    <d v="2023-01-01T00:00:00"/>
    <d v="2023-01-01T00:00:00"/>
    <n v="0"/>
    <n v="0"/>
  </r>
  <r>
    <s v="ORD-2023-848013"/>
    <d v="2023-02-20T00:00:00"/>
    <d v="2023-03-04T00:00:00"/>
    <n v="12"/>
    <x v="1"/>
    <x v="5"/>
    <s v="Delhi"/>
    <s v="Consumer"/>
    <x v="3"/>
    <s v="M. Rossi"/>
    <x v="0"/>
    <s v="MON-9906"/>
    <n v="299.75"/>
    <n v="523.01"/>
    <n v="523.01"/>
    <n v="0.157"/>
    <n v="50"/>
    <n v="22044.871499999997"/>
    <n v="14987.5"/>
    <n v="7057.3714999999975"/>
    <n v="0.32013665854210122"/>
    <d v="2025-08-10T00:00:00"/>
    <s v="Q1-2023"/>
    <s v="Asia → India → Delhi"/>
    <s v="Low"/>
    <d v="2023-02-01T00:00:00"/>
    <d v="2023-01-01T00:00:00"/>
    <n v="1"/>
    <n v="0"/>
  </r>
  <r>
    <s v="ORD-2023-864121"/>
    <d v="2023-03-27T00:00:00"/>
    <d v="2023-04-22T00:00:00"/>
    <n v="26"/>
    <x v="1"/>
    <x v="5"/>
    <s v="Delhi"/>
    <s v="Non-Profit"/>
    <x v="0"/>
    <s v="J. Njeri"/>
    <x v="3"/>
    <s v="PRN-4506"/>
    <n v="178.53"/>
    <n v="199.37"/>
    <n v="199.37"/>
    <n v="0.10100000000000001"/>
    <n v="37"/>
    <n v="6631.6443100000006"/>
    <n v="6605.61"/>
    <n v="26.034310000000914"/>
    <n v="3.9257699573457538E-3"/>
    <d v="2025-07-03T00:00:00"/>
    <s v="Q1-2023"/>
    <s v="Asia → India → Delhi"/>
    <s v="Low"/>
    <d v="2023-03-01T00:00:00"/>
    <d v="2023-01-01T00:00:00"/>
    <n v="2"/>
    <n v="0"/>
  </r>
  <r>
    <s v="ORD-2023-308124"/>
    <d v="2023-04-19T00:00:00"/>
    <d v="2023-04-30T00:00:00"/>
    <n v="11"/>
    <x v="1"/>
    <x v="5"/>
    <s v="Delhi"/>
    <s v="Small Business"/>
    <x v="4"/>
    <s v="A. Patel"/>
    <x v="4"/>
    <s v="NET-2062"/>
    <n v="826.55"/>
    <n v="1397.05"/>
    <n v="1397.05"/>
    <n v="0.16900000000000001"/>
    <n v="28"/>
    <n v="32506.559399999998"/>
    <n v="23143.399999999998"/>
    <n v="9363.1594000000005"/>
    <n v="0.28803907804527601"/>
    <d v="2025-06-01T00:00:00"/>
    <s v="Q2-2023"/>
    <s v="Asia → India → Delhi"/>
    <s v="Medium"/>
    <d v="2023-04-01T00:00:00"/>
    <d v="2023-01-01T00:00:00"/>
    <n v="3"/>
    <n v="0"/>
  </r>
  <r>
    <s v="ORD-2023-906481"/>
    <d v="2023-05-02T00:00:00"/>
    <d v="2023-05-18T00:00:00"/>
    <n v="16"/>
    <x v="1"/>
    <x v="5"/>
    <s v="Delhi"/>
    <s v="Small Business"/>
    <x v="0"/>
    <s v="K. Singh"/>
    <x v="0"/>
    <s v="MON-2266"/>
    <n v="1463.92"/>
    <n v="2252.2399999999998"/>
    <n v="2252.2399999999998"/>
    <n v="0.11799999999999999"/>
    <n v="44"/>
    <n v="87404.929919999995"/>
    <n v="64412.480000000003"/>
    <n v="22992.449919999992"/>
    <n v="0.26305667130040061"/>
    <d v="2025-05-18T00:00:00"/>
    <s v="Q2-2023"/>
    <s v="Asia → India → Delhi"/>
    <s v="High"/>
    <d v="2023-05-01T00:00:00"/>
    <d v="2023-01-01T00:00:00"/>
    <n v="4"/>
    <n v="0"/>
  </r>
  <r>
    <s v="ORD-2023-573656"/>
    <d v="2023-05-02T00:00:00"/>
    <d v="2023-05-16T00:00:00"/>
    <n v="14"/>
    <x v="1"/>
    <x v="5"/>
    <s v="Bengaluru"/>
    <s v="Non-Profit"/>
    <x v="4"/>
    <s v="L. Okafor"/>
    <x v="0"/>
    <s v="MON-4830"/>
    <n v="475.37"/>
    <n v="963.73"/>
    <n v="963.73"/>
    <n v="4.1000000000000002E-2"/>
    <n v="22"/>
    <n v="20332.775539999999"/>
    <n v="10458.14"/>
    <n v="9874.6355399999993"/>
    <n v="0.48565113604750881"/>
    <d v="2025-05-27T00:00:00"/>
    <s v="Q2-2023"/>
    <s v="Asia → India → Bengaluru"/>
    <s v="Medium"/>
    <d v="2023-05-01T00:00:00"/>
    <d v="2023-01-01T00:00:00"/>
    <n v="4"/>
    <n v="0"/>
  </r>
  <r>
    <s v="ORD-2023-957692"/>
    <d v="2023-05-07T00:00:00"/>
    <d v="2023-05-20T00:00:00"/>
    <n v="13"/>
    <x v="1"/>
    <x v="5"/>
    <s v="Mumbai"/>
    <s v="Enterprise"/>
    <x v="4"/>
    <s v="D. Smith"/>
    <x v="5"/>
    <s v="ACC-9283"/>
    <n v="1443.28"/>
    <n v="2580.5700000000002"/>
    <n v="2580.5700000000002"/>
    <n v="0"/>
    <n v="18"/>
    <n v="46450.26"/>
    <n v="25979.040000000001"/>
    <n v="20471.22"/>
    <n v="0.4407127107577008"/>
    <d v="2025-05-10T00:00:00"/>
    <s v="Q2-2023"/>
    <s v="Asia → India → Mumbai"/>
    <s v="High"/>
    <d v="2023-05-01T00:00:00"/>
    <d v="2023-01-01T00:00:00"/>
    <n v="4"/>
    <n v="0"/>
  </r>
  <r>
    <s v="ORD-2023-472050"/>
    <d v="2023-05-10T00:00:00"/>
    <d v="2023-05-27T00:00:00"/>
    <n v="17"/>
    <x v="1"/>
    <x v="5"/>
    <s v="Mumbai"/>
    <s v="Consumer"/>
    <x v="4"/>
    <s v="M. Rossi"/>
    <x v="6"/>
    <s v="LAP-6499"/>
    <n v="1286.1600000000001"/>
    <n v="3101.11"/>
    <n v="3101.11"/>
    <n v="0.1"/>
    <n v="23"/>
    <n v="64192.976999999999"/>
    <n v="29581.68"/>
    <n v="34611.296999999999"/>
    <n v="0.53917575749758417"/>
    <d v="2025-04-27T00:00:00"/>
    <s v="Q2-2023"/>
    <s v="Asia → India → Mumbai"/>
    <s v="High"/>
    <d v="2023-05-01T00:00:00"/>
    <d v="2023-01-01T00:00:00"/>
    <n v="4"/>
    <n v="0"/>
  </r>
  <r>
    <s v="ORD-2023-913592"/>
    <d v="2023-05-10T00:00:00"/>
    <d v="2023-05-14T00:00:00"/>
    <n v="4"/>
    <x v="1"/>
    <x v="5"/>
    <s v="Delhi"/>
    <s v="Non-Profit"/>
    <x v="3"/>
    <s v="C. Otieno"/>
    <x v="0"/>
    <s v="MON-2465"/>
    <n v="622.6"/>
    <n v="833.69"/>
    <n v="833.69"/>
    <n v="0.20899999999999999"/>
    <n v="14"/>
    <n v="9232.2830599999998"/>
    <n v="8716.4"/>
    <n v="515.88306000000011"/>
    <n v="5.5878167582959715E-2"/>
    <d v="2025-05-12T00:00:00"/>
    <s v="Q2-2023"/>
    <s v="Asia → India → Delhi"/>
    <s v="Medium"/>
    <d v="2023-05-01T00:00:00"/>
    <d v="2023-01-01T00:00:00"/>
    <n v="4"/>
    <n v="1"/>
  </r>
  <r>
    <s v="ORD-2023-676553"/>
    <d v="2023-05-20T00:00:00"/>
    <d v="2023-06-19T00:00:00"/>
    <n v="30"/>
    <x v="1"/>
    <x v="5"/>
    <s v="Delhi"/>
    <s v="Non-Profit"/>
    <x v="0"/>
    <s v="H. Kim"/>
    <x v="6"/>
    <s v="LAP-2806"/>
    <n v="1161.2"/>
    <n v="878.73"/>
    <n v="878.73"/>
    <n v="0.19"/>
    <n v="31"/>
    <n v="22064.910300000003"/>
    <n v="35997.200000000004"/>
    <n v="-13932.289700000001"/>
    <n v="-0.63142290227212028"/>
    <d v="2025-05-17T00:00:00"/>
    <s v="Q2-2023"/>
    <s v="Asia → India → Delhi"/>
    <s v="Medium"/>
    <d v="2023-05-01T00:00:00"/>
    <d v="2023-01-01T00:00:00"/>
    <n v="4"/>
    <n v="0"/>
  </r>
  <r>
    <s v="ORD-2023-868460"/>
    <d v="2023-06-01T00:00:00"/>
    <d v="2023-06-01T00:00:00"/>
    <n v="0"/>
    <x v="1"/>
    <x v="5"/>
    <s v="Bengaluru"/>
    <s v="Corporate"/>
    <x v="4"/>
    <s v="E. Garcia"/>
    <x v="5"/>
    <s v="ACC-4587"/>
    <n v="669.37"/>
    <n v="997.2"/>
    <n v="997.2"/>
    <n v="8.2000000000000003E-2"/>
    <n v="5"/>
    <n v="4577.1480000000001"/>
    <n v="3346.85"/>
    <n v="1230.2980000000002"/>
    <n v="0.26879139586484863"/>
    <d v="2025-04-24T00:00:00"/>
    <s v="Q2-2023"/>
    <s v="Asia → India → Bengaluru"/>
    <s v="Medium"/>
    <d v="2023-06-01T00:00:00"/>
    <d v="2023-01-01T00:00:00"/>
    <n v="5"/>
    <n v="1"/>
  </r>
  <r>
    <s v="ORD-2023-109927"/>
    <d v="2023-07-21T00:00:00"/>
    <d v="2023-07-22T00:00:00"/>
    <n v="1"/>
    <x v="1"/>
    <x v="5"/>
    <s v="Delhi"/>
    <s v="Small Business"/>
    <x v="3"/>
    <s v="E. Garcia"/>
    <x v="3"/>
    <s v="PRN-2301"/>
    <n v="946.99"/>
    <n v="2132.19"/>
    <n v="2132.19"/>
    <n v="0.16500000000000001"/>
    <n v="7"/>
    <n v="12462.65055"/>
    <n v="6628.93"/>
    <n v="5833.72055"/>
    <n v="0.46809629513362228"/>
    <d v="2025-03-03T00:00:00"/>
    <s v="Q3-2023"/>
    <s v="Asia → India → Delhi"/>
    <s v="High"/>
    <d v="2023-07-01T00:00:00"/>
    <d v="2023-01-01T00:00:00"/>
    <n v="6"/>
    <n v="1"/>
  </r>
  <r>
    <s v="ORD-2023-944052"/>
    <d v="2023-08-30T00:00:00"/>
    <d v="2023-09-03T00:00:00"/>
    <n v="4"/>
    <x v="1"/>
    <x v="5"/>
    <s v="Delhi"/>
    <s v="Small Business"/>
    <x v="0"/>
    <s v="L. Okafor"/>
    <x v="5"/>
    <s v="ACC-3068"/>
    <n v="1082.25"/>
    <n v="2433.34"/>
    <n v="2433.34"/>
    <n v="0.27"/>
    <n v="4"/>
    <n v="7105.3528000000006"/>
    <n v="4329"/>
    <n v="2776.3528000000006"/>
    <n v="0.3907410199251472"/>
    <d v="2025-01-03T00:00:00"/>
    <s v="Q3-2023"/>
    <s v="Asia → India → Delhi"/>
    <s v="High"/>
    <d v="2023-08-01T00:00:00"/>
    <d v="2023-01-01T00:00:00"/>
    <n v="7"/>
    <n v="1"/>
  </r>
  <r>
    <s v="ORD-2023-722117"/>
    <d v="2023-09-18T00:00:00"/>
    <d v="2023-10-08T00:00:00"/>
    <n v="20"/>
    <x v="1"/>
    <x v="5"/>
    <s v="Delhi"/>
    <s v="Small Business"/>
    <x v="2"/>
    <s v="B. Chen"/>
    <x v="1"/>
    <s v="CMP-1009"/>
    <n v="825.64"/>
    <n v="1108.43"/>
    <n v="1108.43"/>
    <n v="0.114"/>
    <n v="7"/>
    <n v="6874.4828600000001"/>
    <n v="5779.48"/>
    <n v="1095.0028600000005"/>
    <n v="0.15928512475773349"/>
    <d v="2024-12-27T00:00:00"/>
    <s v="Q3-2023"/>
    <s v="Asia → India → Delhi"/>
    <s v="Medium"/>
    <d v="2023-09-01T00:00:00"/>
    <d v="2023-01-01T00:00:00"/>
    <n v="8"/>
    <n v="0"/>
  </r>
  <r>
    <s v="ORD-2023-517216"/>
    <d v="2023-09-19T00:00:00"/>
    <d v="2023-10-08T00:00:00"/>
    <n v="19"/>
    <x v="1"/>
    <x v="5"/>
    <s v="Bengaluru"/>
    <s v="Education"/>
    <x v="2"/>
    <s v="J. Njeri"/>
    <x v="3"/>
    <s v="PRN-5005"/>
    <n v="385.32"/>
    <n v="606.76"/>
    <n v="606.76"/>
    <n v="8.5999999999999993E-2"/>
    <n v="8"/>
    <n v="4436.6291200000005"/>
    <n v="3082.56"/>
    <n v="1354.0691200000006"/>
    <n v="0.30520223425842735"/>
    <d v="2024-12-20T00:00:00"/>
    <s v="Q3-2023"/>
    <s v="Asia → India → Bengaluru"/>
    <s v="Low"/>
    <d v="2023-09-01T00:00:00"/>
    <d v="2023-01-01T00:00:00"/>
    <n v="8"/>
    <n v="0"/>
  </r>
  <r>
    <s v="ORD-2023-842820"/>
    <d v="2023-09-20T00:00:00"/>
    <d v="2023-09-28T00:00:00"/>
    <n v="8"/>
    <x v="1"/>
    <x v="5"/>
    <s v="Delhi"/>
    <s v="Corporate"/>
    <x v="2"/>
    <s v="B. Chen"/>
    <x v="5"/>
    <s v="ACC-1375"/>
    <n v="1362.06"/>
    <n v="3398.37"/>
    <n v="3398.37"/>
    <n v="0.157"/>
    <n v="11"/>
    <n v="31513.085009999999"/>
    <n v="14982.66"/>
    <n v="16530.425009999999"/>
    <n v="0.52455749745714919"/>
    <d v="2024-12-24T00:00:00"/>
    <s v="Q3-2023"/>
    <s v="Asia → India → Delhi"/>
    <s v="High"/>
    <d v="2023-09-01T00:00:00"/>
    <d v="2023-01-01T00:00:00"/>
    <n v="8"/>
    <n v="0"/>
  </r>
  <r>
    <s v="ORD-2023-474313"/>
    <d v="2023-10-05T00:00:00"/>
    <d v="2023-10-06T00:00:00"/>
    <n v="1"/>
    <x v="1"/>
    <x v="5"/>
    <s v="Bengaluru"/>
    <s v="Non-Profit"/>
    <x v="1"/>
    <s v="I. Johnson"/>
    <x v="1"/>
    <s v="CMP-4807"/>
    <n v="1470.26"/>
    <n v="2562.5500000000002"/>
    <n v="2562.5500000000002"/>
    <n v="0.17299999999999999"/>
    <n v="9"/>
    <n v="19073.059649999999"/>
    <n v="13232.34"/>
    <n v="5840.7196499999991"/>
    <n v="0.30622877279157462"/>
    <d v="2024-11-30T00:00:00"/>
    <s v="Q4-2023"/>
    <s v="Asia → India → Bengaluru"/>
    <s v="High"/>
    <d v="2023-10-01T00:00:00"/>
    <d v="2023-01-01T00:00:00"/>
    <n v="9"/>
    <n v="1"/>
  </r>
  <r>
    <s v="ORD-2023-304451"/>
    <d v="2023-10-07T00:00:00"/>
    <d v="2023-10-23T00:00:00"/>
    <n v="16"/>
    <x v="1"/>
    <x v="5"/>
    <s v="Hyderabad"/>
    <s v="Consumer"/>
    <x v="4"/>
    <s v="G. Dubois"/>
    <x v="0"/>
    <s v="MON-7602"/>
    <n v="906.81"/>
    <n v="1395.56"/>
    <n v="1395.56"/>
    <n v="0.185"/>
    <n v="6"/>
    <n v="6824.2884000000004"/>
    <n v="5440.86"/>
    <n v="1383.4284000000007"/>
    <n v="0.20272126834498974"/>
    <d v="2024-12-27T00:00:00"/>
    <s v="Q4-2023"/>
    <s v="Asia → India → Hyderabad"/>
    <s v="Medium"/>
    <d v="2023-10-01T00:00:00"/>
    <d v="2023-01-01T00:00:00"/>
    <n v="9"/>
    <n v="0"/>
  </r>
  <r>
    <s v="ORD-2023-211715"/>
    <d v="2023-10-30T00:00:00"/>
    <d v="2023-11-14T00:00:00"/>
    <n v="15"/>
    <x v="1"/>
    <x v="5"/>
    <s v="Bengaluru"/>
    <s v="Corporate"/>
    <x v="1"/>
    <s v="F. Müller"/>
    <x v="6"/>
    <s v="LAP-2378"/>
    <n v="953.46"/>
    <n v="2066.75"/>
    <n v="2066.75"/>
    <n v="0.13800000000000001"/>
    <n v="5"/>
    <n v="8907.6924999999992"/>
    <n v="4767.3"/>
    <n v="4140.392499999999"/>
    <n v="0.46481089238318446"/>
    <d v="2024-12-04T00:00:00"/>
    <s v="Q4-2023"/>
    <s v="Asia → India → Bengaluru"/>
    <s v="High"/>
    <d v="2023-10-01T00:00:00"/>
    <d v="2023-01-01T00:00:00"/>
    <n v="9"/>
    <n v="0"/>
  </r>
  <r>
    <s v="ORD-2023-561823"/>
    <d v="2023-11-19T00:00:00"/>
    <d v="2023-12-12T00:00:00"/>
    <n v="23"/>
    <x v="1"/>
    <x v="5"/>
    <s v="Delhi"/>
    <s v="Small Business"/>
    <x v="2"/>
    <s v="C. Otieno"/>
    <x v="4"/>
    <s v="NET-2460"/>
    <n v="1349.04"/>
    <n v="2636.6"/>
    <n v="2636.6"/>
    <n v="0.114"/>
    <n v="14"/>
    <n v="32704.386400000003"/>
    <n v="18886.559999999998"/>
    <n v="13817.826400000005"/>
    <n v="0.42250682312143928"/>
    <d v="2024-11-11T00:00:00"/>
    <s v="Q4-2023"/>
    <s v="Asia → India → Delhi"/>
    <s v="High"/>
    <d v="2023-11-01T00:00:00"/>
    <d v="2023-01-01T00:00:00"/>
    <n v="10"/>
    <n v="0"/>
  </r>
  <r>
    <s v="ORD-2023-964434"/>
    <d v="2023-11-28T00:00:00"/>
    <d v="2023-12-07T00:00:00"/>
    <n v="9"/>
    <x v="1"/>
    <x v="5"/>
    <s v="Delhi"/>
    <s v="Enterprise"/>
    <x v="0"/>
    <s v="L. Okafor"/>
    <x v="2"/>
    <s v="PHN-2447"/>
    <n v="699.33"/>
    <n v="873.75"/>
    <n v="873.75"/>
    <n v="0.23499999999999999"/>
    <n v="10"/>
    <n v="6684.1875"/>
    <n v="6993.3"/>
    <n v="-309.11250000000018"/>
    <n v="-4.6245336475076469E-2"/>
    <d v="2024-11-06T00:00:00"/>
    <s v="Q4-2023"/>
    <s v="Asia → India → Delhi"/>
    <s v="Medium"/>
    <d v="2023-11-01T00:00:00"/>
    <d v="2023-01-01T00:00:00"/>
    <n v="10"/>
    <n v="0"/>
  </r>
  <r>
    <s v="ORD-2023-728177"/>
    <d v="2023-12-18T00:00:00"/>
    <d v="2024-01-14T00:00:00"/>
    <n v="27"/>
    <x v="1"/>
    <x v="5"/>
    <s v="Mumbai"/>
    <s v="Consumer"/>
    <x v="3"/>
    <s v="D. Smith"/>
    <x v="4"/>
    <s v="NET-6014"/>
    <n v="1408.3"/>
    <n v="2193.13"/>
    <n v="2193.13"/>
    <n v="7.0999999999999994E-2"/>
    <n v="7"/>
    <n v="14261.92439"/>
    <n v="9858.1"/>
    <n v="4403.8243899999998"/>
    <n v="0.30878191957656281"/>
    <d v="2024-10-14T00:00:00"/>
    <s v="Q4-2023"/>
    <s v="Asia → India → Mumbai"/>
    <s v="High"/>
    <d v="2023-12-01T00:00:00"/>
    <d v="2023-01-01T00:00:00"/>
    <n v="11"/>
    <n v="0"/>
  </r>
  <r>
    <s v="ORD-2023-431328"/>
    <d v="2023-12-20T00:00:00"/>
    <d v="2024-01-14T00:00:00"/>
    <n v="25"/>
    <x v="1"/>
    <x v="5"/>
    <s v="Mumbai"/>
    <s v="Non-Profit"/>
    <x v="0"/>
    <s v="L. Okafor"/>
    <x v="0"/>
    <s v="MON-1572"/>
    <n v="1085.6099999999999"/>
    <n v="1246.4100000000001"/>
    <n v="1246.4100000000001"/>
    <n v="0.113"/>
    <n v="7"/>
    <n v="7738.9596900000006"/>
    <n v="7599.2699999999995"/>
    <n v="139.68969000000106"/>
    <n v="1.8050189637310417E-2"/>
    <d v="2024-10-19T00:00:00"/>
    <s v="Q4-2023"/>
    <s v="Asia → India → Mumbai"/>
    <s v="Medium"/>
    <d v="2023-12-01T00:00:00"/>
    <d v="2023-01-01T00:00:00"/>
    <n v="11"/>
    <n v="0"/>
  </r>
  <r>
    <s v="ORD-2023-249805"/>
    <d v="2023-12-22T00:00:00"/>
    <d v="2024-01-16T00:00:00"/>
    <n v="25"/>
    <x v="1"/>
    <x v="5"/>
    <s v="Hyderabad"/>
    <s v="Small Business"/>
    <x v="4"/>
    <s v="A. Patel"/>
    <x v="1"/>
    <s v="CMP-1555"/>
    <n v="1346.81"/>
    <n v="978.09"/>
    <n v="978.09"/>
    <n v="0.159"/>
    <n v="17"/>
    <n v="13983.752729999998"/>
    <n v="22895.77"/>
    <n v="-8912.0172700000021"/>
    <n v="-0.6373122753293996"/>
    <d v="2024-11-04T00:00:00"/>
    <s v="Q4-2023"/>
    <s v="Asia → India → Hyderabad"/>
    <s v="Medium"/>
    <d v="2023-12-01T00:00:00"/>
    <d v="2023-01-01T00:00:00"/>
    <n v="11"/>
    <n v="0"/>
  </r>
  <r>
    <s v="ORD-2024-872291"/>
    <d v="2024-01-08T00:00:00"/>
    <d v="2024-01-12T00:00:00"/>
    <n v="4"/>
    <x v="1"/>
    <x v="5"/>
    <s v="Bengaluru"/>
    <s v="Corporate"/>
    <x v="2"/>
    <s v="E. Garcia"/>
    <x v="3"/>
    <s v="PRN-6585"/>
    <n v="802.32"/>
    <n v="602.34"/>
    <n v="602.34"/>
    <n v="0.12"/>
    <n v="25"/>
    <n v="13251.48"/>
    <n v="20058"/>
    <n v="-6806.52"/>
    <n v="-0.51364224977134632"/>
    <d v="2024-10-03T00:00:00"/>
    <s v="Q1-2024"/>
    <s v="Asia → India → Bengaluru"/>
    <s v="Low"/>
    <d v="2024-01-01T00:00:00"/>
    <d v="2023-01-01T00:00:00"/>
    <n v="12"/>
    <n v="1"/>
  </r>
  <r>
    <s v="ORD-2024-153053"/>
    <d v="2024-01-12T00:00:00"/>
    <d v="2024-01-29T00:00:00"/>
    <n v="17"/>
    <x v="1"/>
    <x v="5"/>
    <s v="Hyderabad"/>
    <s v="Small Business"/>
    <x v="2"/>
    <s v="B. Chen"/>
    <x v="1"/>
    <s v="CMP-5138"/>
    <n v="310.02"/>
    <n v="619.51"/>
    <n v="619.51"/>
    <n v="4.2000000000000003E-2"/>
    <n v="4"/>
    <n v="2373.9623200000001"/>
    <n v="1240.08"/>
    <n v="1133.8823200000002"/>
    <n v="0.47763282106347843"/>
    <d v="2024-09-14T00:00:00"/>
    <s v="Q1-2024"/>
    <s v="Asia → India → Hyderabad"/>
    <s v="Low"/>
    <d v="2024-01-01T00:00:00"/>
    <d v="2023-01-01T00:00:00"/>
    <n v="12"/>
    <n v="0"/>
  </r>
  <r>
    <s v="ORD-2024-851883"/>
    <d v="2024-01-13T00:00:00"/>
    <d v="2024-01-22T00:00:00"/>
    <n v="9"/>
    <x v="1"/>
    <x v="5"/>
    <s v="Mumbai"/>
    <s v="Enterprise"/>
    <x v="0"/>
    <s v="J. Njeri"/>
    <x v="1"/>
    <s v="CMP-8141"/>
    <n v="313.60000000000002"/>
    <n v="334.28"/>
    <n v="334.28"/>
    <n v="0.14000000000000001"/>
    <n v="22"/>
    <n v="6324.5775999999996"/>
    <n v="6899.2000000000007"/>
    <n v="-574.62240000000111"/>
    <n v="-9.0855458868905517E-2"/>
    <d v="2024-09-13T00:00:00"/>
    <s v="Q1-2024"/>
    <s v="Asia → India → Mumbai"/>
    <s v="Low"/>
    <d v="2024-01-01T00:00:00"/>
    <d v="2023-01-01T00:00:00"/>
    <n v="12"/>
    <n v="0"/>
  </r>
  <r>
    <s v="ORD-2024-604471"/>
    <d v="2024-01-21T00:00:00"/>
    <d v="2024-01-25T00:00:00"/>
    <n v="4"/>
    <x v="1"/>
    <x v="5"/>
    <s v="Delhi"/>
    <s v="Consumer"/>
    <x v="2"/>
    <s v="C. Otieno"/>
    <x v="0"/>
    <s v="MON-8973"/>
    <n v="523.70000000000005"/>
    <n v="1109.92"/>
    <n v="1109.92"/>
    <n v="0.03"/>
    <n v="11"/>
    <n v="11842.8464"/>
    <n v="5760.7000000000007"/>
    <n v="6082.1463999999996"/>
    <n v="0.51357133197302973"/>
    <d v="2024-08-28T00:00:00"/>
    <s v="Q1-2024"/>
    <s v="Asia → India → Delhi"/>
    <s v="Medium"/>
    <d v="2024-01-01T00:00:00"/>
    <d v="2023-01-01T00:00:00"/>
    <n v="12"/>
    <n v="1"/>
  </r>
  <r>
    <s v="ORD-2024-647473"/>
    <d v="2024-02-17T00:00:00"/>
    <d v="2024-03-04T00:00:00"/>
    <n v="16"/>
    <x v="1"/>
    <x v="5"/>
    <s v="Delhi"/>
    <s v="Small Business"/>
    <x v="0"/>
    <s v="F. Müller"/>
    <x v="2"/>
    <s v="PHN-1717"/>
    <n v="1231.8"/>
    <n v="2015.99"/>
    <n v="2015.99"/>
    <n v="0.26100000000000001"/>
    <n v="6"/>
    <n v="8938.8996600000009"/>
    <n v="7390.7999999999993"/>
    <n v="1548.0996600000017"/>
    <n v="0.17318682599464391"/>
    <d v="2024-08-12T00:00:00"/>
    <s v="Q1-2024"/>
    <s v="Asia → India → Delhi"/>
    <s v="High"/>
    <d v="2024-02-01T00:00:00"/>
    <d v="2023-01-01T00:00:00"/>
    <n v="13"/>
    <n v="0"/>
  </r>
  <r>
    <s v="ORD-2024-515105"/>
    <d v="2024-02-27T00:00:00"/>
    <d v="2024-03-26T00:00:00"/>
    <n v="28"/>
    <x v="1"/>
    <x v="5"/>
    <s v="Mumbai"/>
    <s v="Education"/>
    <x v="0"/>
    <s v="G. Dubois"/>
    <x v="6"/>
    <s v="LAP-8469"/>
    <n v="1035.19"/>
    <n v="2322.6999999999998"/>
    <n v="2322.6999999999998"/>
    <n v="0.17299999999999999"/>
    <n v="8"/>
    <n v="15366.983199999999"/>
    <n v="8281.52"/>
    <n v="7085.4631999999983"/>
    <n v="0.46108355217047409"/>
    <d v="2024-08-04T00:00:00"/>
    <s v="Q1-2024"/>
    <s v="Asia → India → Mumbai"/>
    <s v="High"/>
    <d v="2024-02-01T00:00:00"/>
    <d v="2023-01-01T00:00:00"/>
    <n v="13"/>
    <n v="0"/>
  </r>
  <r>
    <s v="ORD-2024-446030"/>
    <d v="2024-03-23T00:00:00"/>
    <d v="2024-03-26T00:00:00"/>
    <n v="3"/>
    <x v="1"/>
    <x v="5"/>
    <s v="Bengaluru"/>
    <s v="Education"/>
    <x v="2"/>
    <s v="G. Dubois"/>
    <x v="2"/>
    <s v="PHN-4346"/>
    <n v="382.21"/>
    <n v="571.89"/>
    <n v="571.89"/>
    <n v="0.14799999999999999"/>
    <n v="26"/>
    <n v="12668.50728"/>
    <n v="9937.4599999999991"/>
    <n v="2731.0472800000007"/>
    <n v="0.2155776698578809"/>
    <d v="2024-06-11T00:00:00"/>
    <s v="Q1-2024"/>
    <s v="Asia → India → Bengaluru"/>
    <s v="Low"/>
    <d v="2024-03-01T00:00:00"/>
    <d v="2023-01-01T00:00:00"/>
    <n v="14"/>
    <n v="1"/>
  </r>
  <r>
    <s v="ORD-2024-851993"/>
    <d v="2024-05-01T00:00:00"/>
    <d v="2024-05-16T00:00:00"/>
    <n v="15"/>
    <x v="1"/>
    <x v="5"/>
    <s v="Bengaluru"/>
    <s v="Small Business"/>
    <x v="4"/>
    <s v="L. Okafor"/>
    <x v="1"/>
    <s v="CMP-6811"/>
    <n v="901.19"/>
    <n v="2125.44"/>
    <n v="2125.44"/>
    <n v="7.0999999999999994E-2"/>
    <n v="12"/>
    <n v="23694.405119999999"/>
    <n v="10814.28"/>
    <n v="12880.125119999999"/>
    <n v="0.54359352154100415"/>
    <d v="2024-05-30T00:00:00"/>
    <s v="Q2-2024"/>
    <s v="Asia → India → Bengaluru"/>
    <s v="High"/>
    <d v="2024-05-01T00:00:00"/>
    <d v="2023-01-01T00:00:00"/>
    <n v="16"/>
    <n v="0"/>
  </r>
  <r>
    <s v="ORD-2024-578646"/>
    <d v="2024-05-27T00:00:00"/>
    <d v="2024-06-17T00:00:00"/>
    <n v="21"/>
    <x v="1"/>
    <x v="5"/>
    <s v="Delhi"/>
    <s v="Small Business"/>
    <x v="1"/>
    <s v="H. Kim"/>
    <x v="5"/>
    <s v="ACC-7240"/>
    <n v="465.02"/>
    <n v="651.55999999999995"/>
    <n v="651.55999999999995"/>
    <n v="4.2000000000000003E-2"/>
    <n v="19"/>
    <n v="11859.695119999998"/>
    <n v="8835.3799999999992"/>
    <n v="3024.3151199999993"/>
    <n v="0.25500783025187918"/>
    <d v="2024-04-29T00:00:00"/>
    <s v="Q2-2024"/>
    <s v="Asia → India → Delhi"/>
    <s v="Low"/>
    <d v="2024-05-01T00:00:00"/>
    <d v="2023-01-01T00:00:00"/>
    <n v="16"/>
    <n v="0"/>
  </r>
  <r>
    <s v="ORD-2024-465898"/>
    <d v="2024-06-06T00:00:00"/>
    <d v="2024-06-24T00:00:00"/>
    <n v="18"/>
    <x v="1"/>
    <x v="5"/>
    <s v="Bengaluru"/>
    <s v="Small Business"/>
    <x v="2"/>
    <s v="H. Kim"/>
    <x v="4"/>
    <s v="NET-6578"/>
    <n v="1253.25"/>
    <n v="3087.13"/>
    <n v="3087.13"/>
    <n v="7.1999999999999995E-2"/>
    <n v="11"/>
    <n v="31513.423040000001"/>
    <n v="13785.75"/>
    <n v="17727.673040000001"/>
    <n v="0.562543555408064"/>
    <d v="2024-04-12T00:00:00"/>
    <s v="Q2-2024"/>
    <s v="Asia → India → Bengaluru"/>
    <s v="High"/>
    <d v="2024-06-01T00:00:00"/>
    <d v="2023-01-01T00:00:00"/>
    <n v="17"/>
    <n v="0"/>
  </r>
  <r>
    <s v="ORD-2024-817997"/>
    <d v="2024-07-28T00:00:00"/>
    <d v="2024-08-23T00:00:00"/>
    <n v="26"/>
    <x v="1"/>
    <x v="5"/>
    <s v="Hyderabad"/>
    <s v="Corporate"/>
    <x v="4"/>
    <s v="J. Njeri"/>
    <x v="4"/>
    <s v="NET-4675"/>
    <n v="1339.24"/>
    <n v="1558.89"/>
    <n v="1558.89"/>
    <n v="0.192"/>
    <n v="24"/>
    <n v="30229.994880000002"/>
    <n v="32141.760000000002"/>
    <n v="-1911.76512"/>
    <n v="-6.3240669659021781E-2"/>
    <d v="2024-03-09T00:00:00"/>
    <s v="Q3-2024"/>
    <s v="Asia → India → Hyderabad"/>
    <s v="Medium"/>
    <d v="2024-07-01T00:00:00"/>
    <d v="2023-01-01T00:00:00"/>
    <n v="18"/>
    <n v="0"/>
  </r>
  <r>
    <s v="ORD-2024-993481"/>
    <d v="2024-08-18T00:00:00"/>
    <d v="2024-09-12T00:00:00"/>
    <n v="25"/>
    <x v="1"/>
    <x v="5"/>
    <s v="Mumbai"/>
    <s v="Consumer"/>
    <x v="0"/>
    <s v="C. Otieno"/>
    <x v="2"/>
    <s v="PHN-3077"/>
    <n v="1154.03"/>
    <n v="1590.36"/>
    <n v="1590.36"/>
    <n v="0.314"/>
    <n v="18"/>
    <n v="19637.76528"/>
    <n v="20772.54"/>
    <n v="-1134.7747200000013"/>
    <n v="-5.7785328616576745E-2"/>
    <d v="2024-02-29T00:00:00"/>
    <s v="Q3-2024"/>
    <s v="Asia → India → Mumbai"/>
    <s v="Medium"/>
    <d v="2024-08-01T00:00:00"/>
    <d v="2023-01-01T00:00:00"/>
    <n v="19"/>
    <n v="0"/>
  </r>
  <r>
    <s v="ORD-2024-553449"/>
    <d v="2024-08-27T00:00:00"/>
    <d v="2024-09-18T00:00:00"/>
    <n v="22"/>
    <x v="1"/>
    <x v="5"/>
    <s v="Delhi"/>
    <s v="Consumer"/>
    <x v="2"/>
    <s v="B. Chen"/>
    <x v="1"/>
    <s v="CMP-3875"/>
    <n v="896.75"/>
    <n v="1651.14"/>
    <n v="1651.14"/>
    <n v="2.5000000000000001E-2"/>
    <n v="15"/>
    <n v="24147.922500000001"/>
    <n v="13451.25"/>
    <n v="10696.672500000001"/>
    <n v="0.44296450346815552"/>
    <d v="2024-02-14T00:00:00"/>
    <s v="Q3-2024"/>
    <s v="Asia → India → Delhi"/>
    <s v="High"/>
    <d v="2024-08-01T00:00:00"/>
    <d v="2023-01-01T00:00:00"/>
    <n v="19"/>
    <n v="0"/>
  </r>
  <r>
    <s v="ORD-2024-862371"/>
    <d v="2024-09-07T00:00:00"/>
    <d v="2024-09-07T00:00:00"/>
    <n v="0"/>
    <x v="1"/>
    <x v="5"/>
    <s v="Mumbai"/>
    <s v="Education"/>
    <x v="3"/>
    <s v="B. Chen"/>
    <x v="4"/>
    <s v="NET-9835"/>
    <n v="1066.6500000000001"/>
    <n v="2569.77"/>
    <n v="2569.77"/>
    <n v="0.13400000000000001"/>
    <n v="9"/>
    <n v="20028.787380000002"/>
    <n v="9599.85"/>
    <n v="10428.937380000001"/>
    <n v="0.52069739331368348"/>
    <d v="2024-02-01T00:00:00"/>
    <s v="Q3-2024"/>
    <s v="Asia → India → Mumbai"/>
    <s v="High"/>
    <d v="2024-09-01T00:00:00"/>
    <d v="2023-01-01T00:00:00"/>
    <n v="20"/>
    <n v="1"/>
  </r>
  <r>
    <s v="ORD-2024-260775"/>
    <d v="2024-10-17T00:00:00"/>
    <d v="2024-11-06T00:00:00"/>
    <n v="20"/>
    <x v="1"/>
    <x v="5"/>
    <s v="Bengaluru"/>
    <s v="Enterprise"/>
    <x v="3"/>
    <s v="O. Wang"/>
    <x v="0"/>
    <s v="MON-4330"/>
    <n v="72.94"/>
    <n v="106.3"/>
    <n v="106.3"/>
    <n v="0.29499999999999998"/>
    <n v="8"/>
    <n v="599.53200000000004"/>
    <n v="583.52"/>
    <n v="16.012000000000057"/>
    <n v="2.6707498515508857E-2"/>
    <d v="2024-01-02T00:00:00"/>
    <s v="Q4-2024"/>
    <s v="Asia → India → Bengaluru"/>
    <s v="Low"/>
    <d v="2024-10-01T00:00:00"/>
    <d v="2023-01-01T00:00:00"/>
    <n v="21"/>
    <n v="0"/>
  </r>
  <r>
    <s v="ORD-2024-247979"/>
    <d v="2024-11-02T00:00:00"/>
    <d v="2024-11-18T00:00:00"/>
    <n v="16"/>
    <x v="1"/>
    <x v="5"/>
    <s v="Mumbai"/>
    <s v="Small Business"/>
    <x v="3"/>
    <s v="O. Wang"/>
    <x v="0"/>
    <s v="MON-5188"/>
    <n v="1233.58"/>
    <n v="1912.51"/>
    <n v="1912.51"/>
    <n v="0.255"/>
    <n v="51"/>
    <n v="72665.817450000002"/>
    <n v="62912.579999999994"/>
    <n v="9753.2374500000078"/>
    <n v="0.134220432553601"/>
    <d v="2023-12-01T00:00:00"/>
    <s v="Q4-2024"/>
    <s v="Asia → India → Mumbai"/>
    <s v="High"/>
    <d v="2024-11-01T00:00:00"/>
    <d v="2023-01-01T00:00:00"/>
    <n v="22"/>
    <n v="0"/>
  </r>
  <r>
    <s v="ORD-2024-776337"/>
    <d v="2024-11-12T00:00:00"/>
    <d v="2024-11-21T00:00:00"/>
    <n v="9"/>
    <x v="1"/>
    <x v="5"/>
    <s v="Mumbai"/>
    <s v="Corporate"/>
    <x v="2"/>
    <s v="H. Kim"/>
    <x v="6"/>
    <s v="LAP-5078"/>
    <n v="903.41"/>
    <n v="1860.41"/>
    <n v="1860.41"/>
    <n v="0.108"/>
    <n v="5"/>
    <n v="8297.4286000000011"/>
    <n v="4517.05"/>
    <n v="3780.3786000000009"/>
    <n v="0.455608451996803"/>
    <d v="2023-11-20T00:00:00"/>
    <s v="Q4-2024"/>
    <s v="Asia → India → Mumbai"/>
    <s v="High"/>
    <d v="2024-11-01T00:00:00"/>
    <d v="2023-01-01T00:00:00"/>
    <n v="22"/>
    <n v="0"/>
  </r>
  <r>
    <s v="ORD-2024-655710"/>
    <d v="2024-11-30T00:00:00"/>
    <d v="2024-12-10T00:00:00"/>
    <n v="10"/>
    <x v="1"/>
    <x v="5"/>
    <s v="Hyderabad"/>
    <s v="Small Business"/>
    <x v="4"/>
    <s v="F. Müller"/>
    <x v="5"/>
    <s v="ACC-1075"/>
    <n v="851.49"/>
    <n v="901.79"/>
    <n v="901.79"/>
    <n v="0.245"/>
    <n v="16"/>
    <n v="10893.6232"/>
    <n v="13623.84"/>
    <n v="-2730.2168000000001"/>
    <n v="-0.25062522816100341"/>
    <d v="2023-10-26T00:00:00"/>
    <s v="Q4-2024"/>
    <s v="Asia → India → Hyderabad"/>
    <s v="Medium"/>
    <d v="2024-11-01T00:00:00"/>
    <d v="2023-01-01T00:00:00"/>
    <n v="22"/>
    <n v="0"/>
  </r>
  <r>
    <s v="ORD-2024-390951"/>
    <d v="2024-12-20T00:00:00"/>
    <d v="2025-01-14T00:00:00"/>
    <n v="25"/>
    <x v="1"/>
    <x v="5"/>
    <s v="Delhi"/>
    <s v="Small Business"/>
    <x v="4"/>
    <s v="M. Rossi"/>
    <x v="3"/>
    <s v="PRN-9378"/>
    <n v="1361.34"/>
    <n v="1737.9"/>
    <n v="1737.9"/>
    <n v="7.6999999999999999E-2"/>
    <n v="14"/>
    <n v="22457.143800000002"/>
    <n v="19058.759999999998"/>
    <n v="3398.3838000000032"/>
    <n v="0.15132751654731813"/>
    <d v="2023-10-09T00:00:00"/>
    <s v="Q4-2024"/>
    <s v="Asia → India → Delhi"/>
    <s v="High"/>
    <d v="2024-12-01T00:00:00"/>
    <d v="2023-01-01T00:00:00"/>
    <n v="23"/>
    <n v="0"/>
  </r>
  <r>
    <s v="ORD-2024-972318"/>
    <d v="2024-12-24T00:00:00"/>
    <d v="2025-01-13T00:00:00"/>
    <n v="20"/>
    <x v="1"/>
    <x v="5"/>
    <s v="Bengaluru"/>
    <s v="Corporate"/>
    <x v="0"/>
    <s v="D. Smith"/>
    <x v="4"/>
    <s v="NET-9832"/>
    <n v="126.15"/>
    <n v="284.23"/>
    <n v="284.23"/>
    <n v="0.113"/>
    <n v="22"/>
    <n v="5546.4642200000008"/>
    <n v="2775.3"/>
    <n v="2771.1642200000006"/>
    <n v="0.49962716968541088"/>
    <d v="2023-09-19T00:00:00"/>
    <s v="Q4-2024"/>
    <s v="Asia → India → Bengaluru"/>
    <s v="Low"/>
    <d v="2024-12-01T00:00:00"/>
    <d v="2023-01-01T00:00:00"/>
    <n v="23"/>
    <n v="0"/>
  </r>
  <r>
    <s v="ORD-2024-170313"/>
    <d v="2024-12-27T00:00:00"/>
    <d v="2025-01-15T00:00:00"/>
    <n v="19"/>
    <x v="1"/>
    <x v="5"/>
    <s v="Delhi"/>
    <s v="Non-Profit"/>
    <x v="3"/>
    <s v="G. Dubois"/>
    <x v="1"/>
    <s v="CMP-6919"/>
    <n v="495.59"/>
    <n v="631.78"/>
    <n v="631.78"/>
    <n v="8.6999999999999994E-2"/>
    <n v="17"/>
    <n v="9805.8573800000013"/>
    <n v="8425.0299999999988"/>
    <n v="1380.8273800000024"/>
    <n v="0.14081658813601899"/>
    <d v="2023-09-18T00:00:00"/>
    <s v="Q4-2024"/>
    <s v="Asia → India → Delhi"/>
    <s v="Low"/>
    <d v="2024-12-01T00:00:00"/>
    <d v="2023-01-01T00:00:00"/>
    <n v="23"/>
    <n v="0"/>
  </r>
  <r>
    <s v="ORD-2024-336584"/>
    <d v="2024-12-27T00:00:00"/>
    <d v="2025-01-14T00:00:00"/>
    <n v="18"/>
    <x v="1"/>
    <x v="5"/>
    <s v="Bengaluru"/>
    <s v="Small Business"/>
    <x v="0"/>
    <s v="E. Garcia"/>
    <x v="0"/>
    <s v="MON-8629"/>
    <n v="586.07000000000005"/>
    <n v="845.97"/>
    <n v="845.97"/>
    <n v="0.14699999999999999"/>
    <n v="4"/>
    <n v="2886.4496399999998"/>
    <n v="2344.2800000000002"/>
    <n v="542.16963999999962"/>
    <n v="0.18783270370862928"/>
    <d v="2023-10-05T00:00:00"/>
    <s v="Q4-2024"/>
    <s v="Asia → India → Bengaluru"/>
    <s v="Medium"/>
    <d v="2024-12-01T00:00:00"/>
    <d v="2023-01-01T00:00:00"/>
    <n v="23"/>
    <n v="0"/>
  </r>
  <r>
    <s v="ORD-2025-137394"/>
    <d v="2025-01-04T00:00:00"/>
    <d v="2025-01-05T00:00:00"/>
    <n v="1"/>
    <x v="1"/>
    <x v="5"/>
    <s v="Delhi"/>
    <s v="Education"/>
    <x v="4"/>
    <s v="I. Johnson"/>
    <x v="1"/>
    <s v="CMP-1156"/>
    <n v="1428.33"/>
    <n v="3028.05"/>
    <n v="3028.05"/>
    <n v="0"/>
    <n v="11"/>
    <n v="33308.550000000003"/>
    <n v="15711.63"/>
    <n v="17596.920000000006"/>
    <n v="0.52830039134096207"/>
    <d v="2023-08-23T00:00:00"/>
    <s v="Q1-2025"/>
    <s v="Asia → India → Delhi"/>
    <s v="High"/>
    <d v="2025-01-01T00:00:00"/>
    <d v="2023-01-01T00:00:00"/>
    <n v="24"/>
    <n v="1"/>
  </r>
  <r>
    <s v="ORD-2025-484073"/>
    <d v="2025-02-19T00:00:00"/>
    <d v="2025-03-09T00:00:00"/>
    <n v="18"/>
    <x v="1"/>
    <x v="5"/>
    <s v="Delhi"/>
    <s v="Small Business"/>
    <x v="2"/>
    <s v="O. Wang"/>
    <x v="0"/>
    <s v="MON-1436"/>
    <n v="325.87"/>
    <n v="538.79"/>
    <n v="538.79"/>
    <n v="0.17399999999999999"/>
    <n v="16"/>
    <n v="7120.6486400000003"/>
    <n v="5213.92"/>
    <n v="1906.7286400000003"/>
    <n v="0.26777457172778013"/>
    <d v="2023-08-03T00:00:00"/>
    <s v="Q1-2025"/>
    <s v="Asia → India → Delhi"/>
    <s v="Low"/>
    <d v="2025-02-01T00:00:00"/>
    <d v="2023-01-01T00:00:00"/>
    <n v="25"/>
    <n v="0"/>
  </r>
  <r>
    <s v="ORD-2025-512310"/>
    <d v="2025-03-08T00:00:00"/>
    <d v="2025-03-15T00:00:00"/>
    <n v="7"/>
    <x v="1"/>
    <x v="5"/>
    <s v="Bengaluru"/>
    <s v="Corporate"/>
    <x v="3"/>
    <s v="K. Singh"/>
    <x v="6"/>
    <s v="LAP-8119"/>
    <n v="475.66"/>
    <n v="529.14"/>
    <n v="529.14"/>
    <n v="0.19600000000000001"/>
    <n v="11"/>
    <n v="4679.7141600000004"/>
    <n v="5232.26"/>
    <n v="-552.54583999999977"/>
    <n v="-0.11807256193613323"/>
    <d v="2023-08-02T00:00:00"/>
    <s v="Q1-2025"/>
    <s v="Asia → India → Bengaluru"/>
    <s v="Low"/>
    <d v="2025-03-01T00:00:00"/>
    <d v="2023-01-01T00:00:00"/>
    <n v="26"/>
    <n v="1"/>
  </r>
  <r>
    <s v="ORD-2025-624006"/>
    <d v="2025-03-15T00:00:00"/>
    <d v="2025-03-29T00:00:00"/>
    <n v="14"/>
    <x v="1"/>
    <x v="5"/>
    <s v="Mumbai"/>
    <s v="Enterprise"/>
    <x v="2"/>
    <s v="C. Otieno"/>
    <x v="1"/>
    <s v="CMP-3259"/>
    <n v="935.83"/>
    <n v="2303.46"/>
    <n v="2303.46"/>
    <n v="0.105"/>
    <n v="9"/>
    <n v="18554.370299999999"/>
    <n v="8422.4700000000012"/>
    <n v="10131.900299999998"/>
    <n v="0.54606543559174292"/>
    <d v="2023-07-14T00:00:00"/>
    <s v="Q1-2025"/>
    <s v="Asia → India → Mumbai"/>
    <s v="High"/>
    <d v="2025-03-01T00:00:00"/>
    <d v="2023-01-01T00:00:00"/>
    <n v="26"/>
    <n v="0"/>
  </r>
  <r>
    <s v="ORD-2025-177994"/>
    <d v="2025-03-24T00:00:00"/>
    <d v="2025-04-04T00:00:00"/>
    <n v="11"/>
    <x v="1"/>
    <x v="5"/>
    <s v="Mumbai"/>
    <s v="Education"/>
    <x v="0"/>
    <s v="J. Njeri"/>
    <x v="2"/>
    <s v="PHN-4395"/>
    <n v="23.83"/>
    <n v="47.29"/>
    <n v="47.29"/>
    <n v="6.4000000000000001E-2"/>
    <n v="19"/>
    <n v="841.00536"/>
    <n v="452.77"/>
    <n v="388.23536000000001"/>
    <n v="0.46163244429262618"/>
    <d v="2023-07-09T00:00:00"/>
    <s v="Q1-2025"/>
    <s v="Asia → India → Mumbai"/>
    <s v="Low"/>
    <d v="2025-03-01T00:00:00"/>
    <d v="2023-01-01T00:00:00"/>
    <n v="26"/>
    <n v="0"/>
  </r>
  <r>
    <s v="ORD-2025-323492"/>
    <d v="2025-04-27T00:00:00"/>
    <d v="2025-05-27T00:00:00"/>
    <n v="30"/>
    <x v="1"/>
    <x v="5"/>
    <s v="Delhi"/>
    <s v="Enterprise"/>
    <x v="0"/>
    <s v="H. Kim"/>
    <x v="2"/>
    <s v="PHN-3854"/>
    <n v="481.32"/>
    <n v="1135.99"/>
    <n v="1135.99"/>
    <n v="0.14499999999999999"/>
    <n v="5"/>
    <n v="4856.35725"/>
    <n v="2406.6"/>
    <n v="2449.7572500000001"/>
    <n v="0.50444337677175621"/>
    <d v="2023-06-14T00:00:00"/>
    <s v="Q2-2025"/>
    <s v="Asia → India → Delhi"/>
    <s v="Medium"/>
    <d v="2025-04-01T00:00:00"/>
    <d v="2023-01-01T00:00:00"/>
    <n v="27"/>
    <n v="0"/>
  </r>
  <r>
    <s v="ORD-2025-673091"/>
    <d v="2025-05-07T00:00:00"/>
    <d v="2025-05-13T00:00:00"/>
    <n v="6"/>
    <x v="1"/>
    <x v="5"/>
    <s v="Bengaluru"/>
    <s v="Enterprise"/>
    <x v="2"/>
    <s v="J. Njeri"/>
    <x v="2"/>
    <s v="PHN-5683"/>
    <n v="935.98"/>
    <n v="2077.69"/>
    <n v="2077.69"/>
    <n v="0.17499999999999999"/>
    <n v="24"/>
    <n v="41138.261999999995"/>
    <n v="22463.52"/>
    <n v="18674.741999999995"/>
    <n v="0.45395067978321491"/>
    <d v="2023-05-17T00:00:00"/>
    <s v="Q2-2025"/>
    <s v="Asia → India → Bengaluru"/>
    <s v="High"/>
    <d v="2025-05-01T00:00:00"/>
    <d v="2023-01-01T00:00:00"/>
    <n v="28"/>
    <n v="1"/>
  </r>
  <r>
    <s v="ORD-2025-866565"/>
    <d v="2025-05-12T00:00:00"/>
    <d v="2025-05-26T00:00:00"/>
    <n v="14"/>
    <x v="1"/>
    <x v="5"/>
    <s v="Hyderabad"/>
    <s v="Corporate"/>
    <x v="0"/>
    <s v="G. Dubois"/>
    <x v="3"/>
    <s v="PRN-8850"/>
    <n v="320.12"/>
    <n v="594.41999999999996"/>
    <n v="594.41999999999996"/>
    <n v="0.104"/>
    <n v="18"/>
    <n v="9586.8057599999993"/>
    <n v="5762.16"/>
    <n v="3824.6457599999994"/>
    <n v="0.39894891538931104"/>
    <d v="2023-05-07T00:00:00"/>
    <s v="Q2-2025"/>
    <s v="Asia → India → Hyderabad"/>
    <s v="Low"/>
    <d v="2025-05-01T00:00:00"/>
    <d v="2023-01-01T00:00:00"/>
    <n v="28"/>
    <n v="0"/>
  </r>
  <r>
    <s v="ORD-2025-983096"/>
    <d v="2025-05-17T00:00:00"/>
    <d v="2025-05-28T00:00:00"/>
    <n v="11"/>
    <x v="1"/>
    <x v="5"/>
    <s v="Bengaluru"/>
    <s v="Corporate"/>
    <x v="3"/>
    <s v="B. Chen"/>
    <x v="6"/>
    <s v="LAP-9016"/>
    <n v="623.4"/>
    <n v="1100.0899999999999"/>
    <n v="1100.0899999999999"/>
    <n v="0.114"/>
    <n v="12"/>
    <n v="11696.156879999999"/>
    <n v="7480.7999999999993"/>
    <n v="4215.3568799999994"/>
    <n v="0.36040529579490388"/>
    <d v="2023-05-02T00:00:00"/>
    <s v="Q2-2025"/>
    <s v="Asia → India → Bengaluru"/>
    <s v="Medium"/>
    <d v="2025-05-01T00:00:00"/>
    <d v="2023-01-01T00:00:00"/>
    <n v="28"/>
    <n v="0"/>
  </r>
  <r>
    <s v="ORD-2025-411385"/>
    <d v="2025-06-05T00:00:00"/>
    <d v="2025-06-14T00:00:00"/>
    <n v="9"/>
    <x v="1"/>
    <x v="5"/>
    <s v="Delhi"/>
    <s v="Non-Profit"/>
    <x v="4"/>
    <s v="A. Patel"/>
    <x v="5"/>
    <s v="ACC-2902"/>
    <n v="618.69000000000005"/>
    <n v="796.15"/>
    <n v="796.15"/>
    <n v="0.09"/>
    <n v="11"/>
    <n v="7969.4615000000003"/>
    <n v="6805.59"/>
    <n v="1163.8715000000002"/>
    <n v="0.14604142325049191"/>
    <d v="2023-04-14T00:00:00"/>
    <s v="Q2-2025"/>
    <s v="Asia → India → Delhi"/>
    <s v="Low"/>
    <d v="2025-06-01T00:00:00"/>
    <d v="2023-01-01T00:00:00"/>
    <n v="29"/>
    <n v="0"/>
  </r>
  <r>
    <s v="ORD-2025-526752"/>
    <d v="2025-06-09T00:00:00"/>
    <d v="2025-06-25T00:00:00"/>
    <n v="16"/>
    <x v="1"/>
    <x v="5"/>
    <s v="Hyderabad"/>
    <s v="Enterprise"/>
    <x v="3"/>
    <s v="M. Rossi"/>
    <x v="2"/>
    <s v="PHN-3482"/>
    <n v="527.33000000000004"/>
    <n v="911.72"/>
    <n v="911.72"/>
    <n v="0.14399999999999999"/>
    <n v="25"/>
    <n v="19510.808000000001"/>
    <n v="13183.250000000002"/>
    <n v="6327.5579999999991"/>
    <n v="0.32431040272652978"/>
    <d v="2023-04-21T00:00:00"/>
    <s v="Q2-2025"/>
    <s v="Asia → India → Hyderabad"/>
    <s v="Medium"/>
    <d v="2025-06-01T00:00:00"/>
    <d v="2023-01-01T00:00:00"/>
    <n v="29"/>
    <n v="0"/>
  </r>
  <r>
    <s v="ORD-2025-480172"/>
    <d v="2025-06-17T00:00:00"/>
    <d v="2025-07-05T00:00:00"/>
    <n v="18"/>
    <x v="1"/>
    <x v="5"/>
    <s v="Delhi"/>
    <s v="Consumer"/>
    <x v="0"/>
    <s v="L. Okafor"/>
    <x v="6"/>
    <s v="LAP-1990"/>
    <n v="982.93"/>
    <n v="2299.3000000000002"/>
    <n v="2299.3000000000002"/>
    <n v="0.113"/>
    <n v="6"/>
    <n v="12236.874600000001"/>
    <n v="5897.58"/>
    <n v="6339.2946000000011"/>
    <n v="0.51804850562087157"/>
    <d v="2023-04-19T00:00:00"/>
    <s v="Q2-2025"/>
    <s v="Asia → India → Delhi"/>
    <s v="High"/>
    <d v="2025-06-01T00:00:00"/>
    <d v="2023-01-01T00:00:00"/>
    <n v="29"/>
    <n v="0"/>
  </r>
  <r>
    <s v="ORD-2025-262491"/>
    <d v="2025-08-01T00:00:00"/>
    <d v="2025-08-16T00:00:00"/>
    <n v="15"/>
    <x v="1"/>
    <x v="5"/>
    <s v="Delhi"/>
    <s v="Enterprise"/>
    <x v="2"/>
    <s v="O. Wang"/>
    <x v="0"/>
    <s v="MON-1822"/>
    <n v="24.44"/>
    <n v="28.69"/>
    <n v="28.69"/>
    <n v="0.14599999999999999"/>
    <n v="6"/>
    <n v="147.00756000000001"/>
    <n v="146.64000000000001"/>
    <n v="0.36755999999999744"/>
    <n v="2.5002795774584476E-3"/>
    <d v="2023-02-28T00:00:00"/>
    <s v="Q3-2025"/>
    <s v="Asia → India → Delhi"/>
    <s v="Low"/>
    <d v="2025-08-01T00:00:00"/>
    <d v="2023-01-01T00:00:00"/>
    <n v="31"/>
    <n v="0"/>
  </r>
  <r>
    <s v="ORD-2025-635337"/>
    <d v="2025-08-05T00:00:00"/>
    <d v="2025-08-28T00:00:00"/>
    <n v="23"/>
    <x v="1"/>
    <x v="5"/>
    <s v="Mumbai"/>
    <s v="Non-Profit"/>
    <x v="3"/>
    <s v="N. Brown"/>
    <x v="6"/>
    <s v="LAP-3905"/>
    <n v="638.54"/>
    <n v="987.24"/>
    <n v="987.24"/>
    <n v="0"/>
    <n v="11"/>
    <n v="10859.64"/>
    <n v="7023.94"/>
    <n v="3835.7"/>
    <n v="0.35320692030306716"/>
    <d v="2023-02-21T00:00:00"/>
    <s v="Q3-2025"/>
    <s v="Asia → India → Mumbai"/>
    <s v="Medium"/>
    <d v="2025-08-01T00:00:00"/>
    <d v="2023-01-01T00:00:00"/>
    <n v="31"/>
    <n v="0"/>
  </r>
  <r>
    <s v="ORD-2025-831576"/>
    <d v="2025-09-15T00:00:00"/>
    <d v="2025-09-25T00:00:00"/>
    <n v="10"/>
    <x v="1"/>
    <x v="5"/>
    <s v="Delhi"/>
    <s v="Consumer"/>
    <x v="4"/>
    <s v="A. Patel"/>
    <x v="2"/>
    <s v="PHN-2859"/>
    <n v="1488.91"/>
    <n v="1483.74"/>
    <n v="1483.74"/>
    <n v="0.16800000000000001"/>
    <n v="24"/>
    <n v="29627.320319999999"/>
    <n v="35733.840000000004"/>
    <n v="-6106.5196800000049"/>
    <n v="-0.20611110333450519"/>
    <d v="2023-01-13T00:00:00"/>
    <s v="Q3-2025"/>
    <s v="Asia → India → Delhi"/>
    <s v="Medium"/>
    <d v="2025-09-01T00:00:00"/>
    <d v="2023-01-01T00:00:00"/>
    <n v="32"/>
    <n v="0"/>
  </r>
  <r>
    <s v="ORD-2023-139236"/>
    <d v="2023-03-03T00:00:00"/>
    <d v="2023-03-20T00:00:00"/>
    <n v="17"/>
    <x v="1"/>
    <x v="6"/>
    <s v="Nagoya"/>
    <s v="Small Business"/>
    <x v="1"/>
    <s v="D. Smith"/>
    <x v="4"/>
    <s v="NET-7349"/>
    <n v="1171.17"/>
    <n v="2030.64"/>
    <n v="2030.64"/>
    <n v="0.157"/>
    <n v="11"/>
    <n v="18830.12472"/>
    <n v="12882.87"/>
    <n v="5947.254719999999"/>
    <n v="0.31583724528830415"/>
    <d v="2025-08-01T00:00:00"/>
    <s v="Q1-2023"/>
    <s v="Asia → Japan → Nagoya"/>
    <s v="High"/>
    <d v="2023-03-01T00:00:00"/>
    <d v="2023-03-01T00:00:00"/>
    <n v="0"/>
    <n v="0"/>
  </r>
  <r>
    <s v="ORD-2023-240507"/>
    <d v="2023-03-25T00:00:00"/>
    <d v="2023-03-26T00:00:00"/>
    <n v="1"/>
    <x v="1"/>
    <x v="6"/>
    <s v="Osaka"/>
    <s v="Small Business"/>
    <x v="3"/>
    <s v="I. Johnson"/>
    <x v="0"/>
    <s v="MON-9227"/>
    <n v="135.12"/>
    <n v="301.7"/>
    <n v="301.7"/>
    <n v="0.14000000000000001"/>
    <n v="47"/>
    <n v="12194.714"/>
    <n v="6350.64"/>
    <n v="5844.0739999999996"/>
    <n v="0.47923009920527859"/>
    <d v="2025-07-17T00:00:00"/>
    <s v="Q1-2023"/>
    <s v="Asia → Japan → Osaka"/>
    <s v="Low"/>
    <d v="2023-03-01T00:00:00"/>
    <d v="2023-03-01T00:00:00"/>
    <n v="0"/>
    <n v="1"/>
  </r>
  <r>
    <s v="ORD-2023-752962"/>
    <d v="2023-04-19T00:00:00"/>
    <d v="2023-04-21T00:00:00"/>
    <n v="2"/>
    <x v="1"/>
    <x v="6"/>
    <s v="Nagoya"/>
    <s v="Small Business"/>
    <x v="2"/>
    <s v="M. Rossi"/>
    <x v="1"/>
    <s v="CMP-8604"/>
    <n v="607.04"/>
    <n v="1229.3399999999999"/>
    <n v="1229.3399999999999"/>
    <n v="0.14699999999999999"/>
    <n v="7"/>
    <n v="7340.3891399999993"/>
    <n v="4249.28"/>
    <n v="3091.1091399999996"/>
    <n v="0.42110970972310058"/>
    <d v="2025-06-09T00:00:00"/>
    <s v="Q2-2023"/>
    <s v="Asia → Japan → Nagoya"/>
    <s v="Medium"/>
    <d v="2023-04-01T00:00:00"/>
    <d v="2023-03-01T00:00:00"/>
    <n v="1"/>
    <n v="1"/>
  </r>
  <r>
    <s v="ORD-2023-107265"/>
    <d v="2023-04-22T00:00:00"/>
    <d v="2023-05-14T00:00:00"/>
    <n v="22"/>
    <x v="1"/>
    <x v="6"/>
    <s v="Nagoya"/>
    <s v="Enterprise"/>
    <x v="4"/>
    <s v="A. Patel"/>
    <x v="5"/>
    <s v="ACC-7713"/>
    <n v="1209.22"/>
    <n v="1404.33"/>
    <n v="1404.33"/>
    <n v="0.10299999999999999"/>
    <n v="11"/>
    <n v="13856.52411"/>
    <n v="13301.42"/>
    <n v="555.10411000000022"/>
    <n v="4.0060848275751328E-2"/>
    <d v="2025-05-29T00:00:00"/>
    <s v="Q2-2023"/>
    <s v="Asia → Japan → Nagoya"/>
    <s v="Medium"/>
    <d v="2023-04-01T00:00:00"/>
    <d v="2023-03-01T00:00:00"/>
    <n v="1"/>
    <n v="0"/>
  </r>
  <r>
    <s v="ORD-2023-363031"/>
    <d v="2023-05-06T00:00:00"/>
    <d v="2023-05-14T00:00:00"/>
    <n v="8"/>
    <x v="1"/>
    <x v="6"/>
    <s v="Osaka"/>
    <s v="Enterprise"/>
    <x v="0"/>
    <s v="B. Chen"/>
    <x v="2"/>
    <s v="PHN-6131"/>
    <n v="291.18"/>
    <n v="479.54"/>
    <n v="479.54"/>
    <n v="0.14099999999999999"/>
    <n v="22"/>
    <n v="9062.34692"/>
    <n v="6405.96"/>
    <n v="2656.3869199999999"/>
    <n v="0.29312350801066001"/>
    <d v="2025-05-17T00:00:00"/>
    <s v="Q2-2023"/>
    <s v="Asia → Japan → Osaka"/>
    <s v="Low"/>
    <d v="2023-05-01T00:00:00"/>
    <d v="2023-03-01T00:00:00"/>
    <n v="2"/>
    <n v="0"/>
  </r>
  <r>
    <s v="ORD-2023-610470"/>
    <d v="2023-06-24T00:00:00"/>
    <d v="2023-07-21T00:00:00"/>
    <n v="27"/>
    <x v="1"/>
    <x v="6"/>
    <s v="Nagoya"/>
    <s v="Consumer"/>
    <x v="0"/>
    <s v="J. Njeri"/>
    <x v="2"/>
    <s v="PHN-6818"/>
    <n v="554.76"/>
    <n v="728.69"/>
    <n v="728.69"/>
    <n v="0.22"/>
    <n v="7"/>
    <n v="3978.6474000000003"/>
    <n v="3883.3199999999997"/>
    <n v="95.32740000000058"/>
    <n v="2.395975074343119E-2"/>
    <d v="2025-04-07T00:00:00"/>
    <s v="Q2-2023"/>
    <s v="Asia → Japan → Nagoya"/>
    <s v="Low"/>
    <d v="2023-06-01T00:00:00"/>
    <d v="2023-03-01T00:00:00"/>
    <n v="3"/>
    <n v="0"/>
  </r>
  <r>
    <s v="ORD-2023-258768"/>
    <d v="2023-06-29T00:00:00"/>
    <d v="2023-07-02T00:00:00"/>
    <n v="3"/>
    <x v="1"/>
    <x v="6"/>
    <s v="Nagoya"/>
    <s v="Education"/>
    <x v="0"/>
    <s v="F. Müller"/>
    <x v="0"/>
    <s v="MON-2990"/>
    <n v="55.65"/>
    <n v="83.57"/>
    <n v="83.57"/>
    <n v="6.6000000000000003E-2"/>
    <n v="8"/>
    <n v="624.43503999999996"/>
    <n v="445.2"/>
    <n v="179.23503999999997"/>
    <n v="0.2870355257449998"/>
    <d v="2025-04-04T00:00:00"/>
    <s v="Q2-2023"/>
    <s v="Asia → Japan → Nagoya"/>
    <s v="Low"/>
    <d v="2023-06-01T00:00:00"/>
    <d v="2023-03-01T00:00:00"/>
    <n v="3"/>
    <n v="1"/>
  </r>
  <r>
    <s v="ORD-2023-539967"/>
    <d v="2023-07-09T00:00:00"/>
    <d v="2023-07-19T00:00:00"/>
    <n v="10"/>
    <x v="1"/>
    <x v="6"/>
    <s v="Tokyo"/>
    <s v="Enterprise"/>
    <x v="3"/>
    <s v="N. Brown"/>
    <x v="1"/>
    <s v="CMP-6649"/>
    <n v="141.26"/>
    <n v="206.88"/>
    <n v="206.88"/>
    <n v="0.107"/>
    <n v="9"/>
    <n v="1662.6945600000001"/>
    <n v="1271.3399999999999"/>
    <n v="391.35456000000022"/>
    <n v="0.23537369365062469"/>
    <d v="2025-03-06T00:00:00"/>
    <s v="Q3-2023"/>
    <s v="Asia → Japan → Tokyo"/>
    <s v="Low"/>
    <d v="2023-07-01T00:00:00"/>
    <d v="2023-03-01T00:00:00"/>
    <n v="4"/>
    <n v="0"/>
  </r>
  <r>
    <s v="ORD-2023-290237"/>
    <d v="2023-07-30T00:00:00"/>
    <d v="2023-08-07T00:00:00"/>
    <n v="8"/>
    <x v="1"/>
    <x v="6"/>
    <s v="Nagoya"/>
    <s v="Education"/>
    <x v="0"/>
    <s v="A. Patel"/>
    <x v="4"/>
    <s v="NET-1645"/>
    <n v="1352.44"/>
    <n v="2698.01"/>
    <n v="2698.01"/>
    <n v="0.13100000000000001"/>
    <n v="13"/>
    <n v="30479.418970000002"/>
    <n v="17581.72"/>
    <n v="12897.698970000001"/>
    <n v="0.42316091992090887"/>
    <d v="2025-02-19T00:00:00"/>
    <s v="Q3-2023"/>
    <s v="Asia → Japan → Nagoya"/>
    <s v="High"/>
    <d v="2023-07-01T00:00:00"/>
    <d v="2023-03-01T00:00:00"/>
    <n v="4"/>
    <n v="0"/>
  </r>
  <r>
    <s v="ORD-2023-450877"/>
    <d v="2023-09-21T00:00:00"/>
    <d v="2023-10-10T00:00:00"/>
    <n v="19"/>
    <x v="1"/>
    <x v="6"/>
    <s v="Tokyo"/>
    <s v="Education"/>
    <x v="1"/>
    <s v="D. Smith"/>
    <x v="1"/>
    <s v="CMP-5211"/>
    <n v="845.63"/>
    <n v="2062.12"/>
    <n v="2062.12"/>
    <n v="0.13400000000000001"/>
    <n v="5"/>
    <n v="8928.9795999999988"/>
    <n v="4228.1499999999996"/>
    <n v="4700.8295999999991"/>
    <n v="0.52646884757133949"/>
    <d v="2024-12-29T00:00:00"/>
    <s v="Q3-2023"/>
    <s v="Asia → Japan → Tokyo"/>
    <s v="High"/>
    <d v="2023-09-01T00:00:00"/>
    <d v="2023-03-01T00:00:00"/>
    <n v="6"/>
    <n v="0"/>
  </r>
  <r>
    <s v="ORD-2023-568013"/>
    <d v="2023-09-30T00:00:00"/>
    <d v="2023-10-30T00:00:00"/>
    <n v="30"/>
    <x v="1"/>
    <x v="6"/>
    <s v="Tokyo"/>
    <s v="Enterprise"/>
    <x v="1"/>
    <s v="D. Smith"/>
    <x v="3"/>
    <s v="PRN-1786"/>
    <n v="649.13"/>
    <n v="975.43"/>
    <n v="975.43"/>
    <n v="0.157"/>
    <n v="27"/>
    <n v="22201.762229999997"/>
    <n v="17526.509999999998"/>
    <n v="4675.2522299999982"/>
    <n v="0.21058023149543473"/>
    <d v="2024-12-28T00:00:00"/>
    <s v="Q3-2023"/>
    <s v="Asia → Japan → Tokyo"/>
    <s v="Medium"/>
    <d v="2023-09-01T00:00:00"/>
    <d v="2023-03-01T00:00:00"/>
    <n v="6"/>
    <n v="0"/>
  </r>
  <r>
    <s v="ORD-2023-623293"/>
    <d v="2023-10-12T00:00:00"/>
    <d v="2023-10-29T00:00:00"/>
    <n v="17"/>
    <x v="1"/>
    <x v="6"/>
    <s v="Nagoya"/>
    <s v="Non-Profit"/>
    <x v="2"/>
    <s v="H. Kim"/>
    <x v="2"/>
    <s v="PHN-8478"/>
    <n v="1102.19"/>
    <n v="1711.16"/>
    <n v="1711.16"/>
    <n v="0.151"/>
    <n v="10"/>
    <n v="14527.748400000002"/>
    <n v="11021.900000000001"/>
    <n v="3505.8484000000008"/>
    <n v="0.24132083675127525"/>
    <d v="2024-11-27T00:00:00"/>
    <s v="Q4-2023"/>
    <s v="Asia → Japan → Nagoya"/>
    <s v="High"/>
    <d v="2023-10-01T00:00:00"/>
    <d v="2023-03-01T00:00:00"/>
    <n v="7"/>
    <n v="0"/>
  </r>
  <r>
    <s v="ORD-2023-455933"/>
    <d v="2023-11-19T00:00:00"/>
    <d v="2023-12-19T00:00:00"/>
    <n v="30"/>
    <x v="1"/>
    <x v="6"/>
    <s v="Nagoya"/>
    <s v="Consumer"/>
    <x v="4"/>
    <s v="Unassigned"/>
    <x v="2"/>
    <s v="PHN-9184"/>
    <n v="807.11"/>
    <n v="1853.86"/>
    <n v="1853.86"/>
    <n v="0.13900000000000001"/>
    <n v="8"/>
    <n v="12769.38768"/>
    <n v="6456.88"/>
    <n v="6312.5076799999997"/>
    <n v="0.49434693645388639"/>
    <d v="2024-11-17T00:00:00"/>
    <s v="Q4-2023"/>
    <s v="Asia → Japan → Nagoya"/>
    <s v="High"/>
    <d v="2023-11-01T00:00:00"/>
    <d v="2023-03-01T00:00:00"/>
    <n v="8"/>
    <n v="0"/>
  </r>
  <r>
    <s v="ORD-2023-975863"/>
    <d v="2023-11-20T00:00:00"/>
    <d v="2023-12-05T00:00:00"/>
    <n v="15"/>
    <x v="1"/>
    <x v="6"/>
    <s v="Tokyo"/>
    <s v="Enterprise"/>
    <x v="4"/>
    <s v="L. Okafor"/>
    <x v="4"/>
    <s v="NET-3033"/>
    <n v="354.24"/>
    <n v="249.87"/>
    <n v="249.87"/>
    <n v="0"/>
    <n v="6"/>
    <n v="1499.22"/>
    <n v="2125.44"/>
    <n v="-626.22"/>
    <n v="-0.41769720254532355"/>
    <d v="2024-10-30T00:00:00"/>
    <s v="Q4-2023"/>
    <s v="Asia → Japan → Tokyo"/>
    <s v="Low"/>
    <d v="2023-11-01T00:00:00"/>
    <d v="2023-03-01T00:00:00"/>
    <n v="8"/>
    <n v="0"/>
  </r>
  <r>
    <s v="ORD-2023-573146"/>
    <d v="2023-12-01T00:00:00"/>
    <d v="2023-12-18T00:00:00"/>
    <n v="17"/>
    <x v="1"/>
    <x v="6"/>
    <s v="Nagoya"/>
    <s v="Small Business"/>
    <x v="2"/>
    <s v="N. Brown"/>
    <x v="6"/>
    <s v="LAP-3604"/>
    <n v="1495.79"/>
    <n v="2783.12"/>
    <n v="2783.12"/>
    <n v="0.02"/>
    <n v="5"/>
    <n v="13637.287999999999"/>
    <n v="7478.95"/>
    <n v="6158.3379999999988"/>
    <n v="0.45158084217331185"/>
    <d v="2024-11-02T00:00:00"/>
    <s v="Q4-2023"/>
    <s v="Asia → Japan → Nagoya"/>
    <s v="High"/>
    <d v="2023-12-01T00:00:00"/>
    <d v="2023-03-01T00:00:00"/>
    <n v="9"/>
    <n v="0"/>
  </r>
  <r>
    <s v="ORD-2023-596758"/>
    <d v="2023-12-05T00:00:00"/>
    <d v="2023-12-07T00:00:00"/>
    <n v="2"/>
    <x v="1"/>
    <x v="6"/>
    <s v="Tokyo"/>
    <s v="Non-Profit"/>
    <x v="0"/>
    <s v="H. Kim"/>
    <x v="3"/>
    <s v="PRN-8175"/>
    <n v="1097.5899999999999"/>
    <n v="845.55"/>
    <n v="845.55"/>
    <n v="0.184"/>
    <n v="6"/>
    <n v="4139.8127999999997"/>
    <n v="6585.5399999999991"/>
    <n v="-2445.7271999999994"/>
    <n v="-0.59078207594314402"/>
    <d v="2024-10-11T00:00:00"/>
    <s v="Q4-2023"/>
    <s v="Asia → Japan → Tokyo"/>
    <s v="Medium"/>
    <d v="2023-12-01T00:00:00"/>
    <d v="2023-03-01T00:00:00"/>
    <n v="9"/>
    <n v="1"/>
  </r>
  <r>
    <s v="ORD-2023-824839"/>
    <d v="2023-12-06T00:00:00"/>
    <d v="2023-12-31T00:00:00"/>
    <n v="25"/>
    <x v="1"/>
    <x v="6"/>
    <s v="Osaka"/>
    <s v="Consumer"/>
    <x v="4"/>
    <s v="L. Okafor"/>
    <x v="3"/>
    <s v="PRN-8041"/>
    <n v="663.03"/>
    <n v="813.51"/>
    <n v="813.51"/>
    <n v="0.10199999999999999"/>
    <n v="15"/>
    <n v="10957.9797"/>
    <n v="9945.4499999999989"/>
    <n v="1012.529700000001"/>
    <n v="9.2401129379715952E-2"/>
    <d v="2024-11-08T00:00:00"/>
    <s v="Q4-2023"/>
    <s v="Asia → Japan → Osaka"/>
    <s v="Low"/>
    <d v="2023-12-01T00:00:00"/>
    <d v="2023-03-01T00:00:00"/>
    <n v="9"/>
    <n v="0"/>
  </r>
  <r>
    <s v="ORD-2023-580751"/>
    <d v="2023-12-24T00:00:00"/>
    <d v="2024-01-13T00:00:00"/>
    <n v="20"/>
    <x v="1"/>
    <x v="6"/>
    <s v="Nagoya"/>
    <s v="Education"/>
    <x v="2"/>
    <s v="B. Chen"/>
    <x v="6"/>
    <s v="LAP-1946"/>
    <n v="625.37"/>
    <n v="1319.04"/>
    <n v="1319.04"/>
    <n v="7.3999999999999996E-2"/>
    <n v="8"/>
    <n v="9771.4483199999995"/>
    <n v="5002.96"/>
    <n v="4768.4883199999995"/>
    <n v="0.48800220436513547"/>
    <d v="2024-10-04T00:00:00"/>
    <s v="Q4-2023"/>
    <s v="Asia → Japan → Nagoya"/>
    <s v="Medium"/>
    <d v="2023-12-01T00:00:00"/>
    <d v="2023-03-01T00:00:00"/>
    <n v="9"/>
    <n v="0"/>
  </r>
  <r>
    <s v="ORD-2024-105586"/>
    <d v="2024-01-02T00:00:00"/>
    <d v="2024-01-15T00:00:00"/>
    <n v="13"/>
    <x v="1"/>
    <x v="6"/>
    <s v="Nagoya"/>
    <s v="Small Business"/>
    <x v="0"/>
    <s v="G. Dubois"/>
    <x v="4"/>
    <s v="NET-1893"/>
    <n v="1219.06"/>
    <n v="2738.69"/>
    <n v="2738.69"/>
    <n v="7.5999999999999998E-2"/>
    <n v="16"/>
    <n v="40488.792960000006"/>
    <n v="19504.96"/>
    <n v="20983.832960000007"/>
    <n v="0.51826274447673737"/>
    <d v="2024-09-19T00:00:00"/>
    <s v="Q1-2024"/>
    <s v="Asia → Japan → Nagoya"/>
    <s v="High"/>
    <d v="2024-01-01T00:00:00"/>
    <d v="2023-03-01T00:00:00"/>
    <n v="10"/>
    <n v="0"/>
  </r>
  <r>
    <s v="ORD-2024-281211"/>
    <d v="2024-01-11T00:00:00"/>
    <d v="2024-02-02T00:00:00"/>
    <n v="22"/>
    <x v="1"/>
    <x v="6"/>
    <s v="Nagoya"/>
    <s v="Small Business"/>
    <x v="1"/>
    <s v="Unassigned"/>
    <x v="3"/>
    <s v="PRN-7816"/>
    <n v="1237.68"/>
    <n v="1432.8"/>
    <n v="1432.8"/>
    <n v="6.8000000000000005E-2"/>
    <n v="13"/>
    <n v="17359.804799999998"/>
    <n v="16089.84"/>
    <n v="1269.9647999999979"/>
    <n v="7.315547695559331E-2"/>
    <d v="2024-09-09T00:00:00"/>
    <s v="Q1-2024"/>
    <s v="Asia → Japan → Nagoya"/>
    <s v="Medium"/>
    <d v="2024-01-01T00:00:00"/>
    <d v="2023-03-01T00:00:00"/>
    <n v="10"/>
    <n v="0"/>
  </r>
  <r>
    <s v="ORD-2024-532184"/>
    <d v="2024-01-25T00:00:00"/>
    <d v="2024-02-08T00:00:00"/>
    <n v="14"/>
    <x v="1"/>
    <x v="6"/>
    <s v="Osaka"/>
    <s v="Consumer"/>
    <x v="0"/>
    <s v="I. Johnson"/>
    <x v="4"/>
    <s v="NET-9569"/>
    <n v="937.16"/>
    <n v="1069.77"/>
    <n v="1069.77"/>
    <n v="3.7999999999999999E-2"/>
    <n v="9"/>
    <n v="9262.0686600000008"/>
    <n v="8434.44"/>
    <n v="827.62866000000031"/>
    <n v="8.9356783066645962E-2"/>
    <d v="2024-08-27T00:00:00"/>
    <s v="Q1-2024"/>
    <s v="Asia → Japan → Osaka"/>
    <s v="Medium"/>
    <d v="2024-01-01T00:00:00"/>
    <d v="2023-03-01T00:00:00"/>
    <n v="10"/>
    <n v="0"/>
  </r>
  <r>
    <s v="ORD-2024-197852"/>
    <d v="2024-02-29T00:00:00"/>
    <d v="2024-03-30T00:00:00"/>
    <n v="30"/>
    <x v="1"/>
    <x v="6"/>
    <s v="Nagoya"/>
    <s v="Small Business"/>
    <x v="2"/>
    <s v="I. Johnson"/>
    <x v="4"/>
    <s v="NET-7588"/>
    <n v="231.11"/>
    <n v="318.17"/>
    <n v="318.17"/>
    <n v="0.20100000000000001"/>
    <n v="60"/>
    <n v="15253.069799999999"/>
    <n v="13866.6"/>
    <n v="1386.4697999999989"/>
    <n v="9.0897754889969692E-2"/>
    <d v="2024-08-12T00:00:00"/>
    <s v="Q1-2024"/>
    <s v="Asia → Japan → Nagoya"/>
    <s v="Low"/>
    <d v="2024-02-01T00:00:00"/>
    <d v="2023-03-01T00:00:00"/>
    <n v="11"/>
    <n v="0"/>
  </r>
  <r>
    <s v="ORD-2024-347736"/>
    <d v="2024-05-22T00:00:00"/>
    <d v="2024-06-06T00:00:00"/>
    <n v="15"/>
    <x v="1"/>
    <x v="6"/>
    <s v="Nagoya"/>
    <s v="Corporate"/>
    <x v="3"/>
    <s v="C. Otieno"/>
    <x v="0"/>
    <s v="MON-6870"/>
    <n v="673.88"/>
    <n v="1228.01"/>
    <n v="1228.01"/>
    <n v="0.105"/>
    <n v="13"/>
    <n v="14287.896349999999"/>
    <n v="8760.44"/>
    <n v="5527.4563499999986"/>
    <n v="0.38686285332689996"/>
    <d v="2024-05-01T00:00:00"/>
    <s v="Q2-2024"/>
    <s v="Asia → Japan → Nagoya"/>
    <s v="Medium"/>
    <d v="2024-05-01T00:00:00"/>
    <d v="2023-03-01T00:00:00"/>
    <n v="14"/>
    <n v="0"/>
  </r>
  <r>
    <s v="ORD-2024-572312"/>
    <d v="2024-06-16T00:00:00"/>
    <d v="2024-06-21T00:00:00"/>
    <n v="5"/>
    <x v="1"/>
    <x v="6"/>
    <s v="Tokyo"/>
    <s v="Small Business"/>
    <x v="3"/>
    <s v="F. Müller"/>
    <x v="2"/>
    <s v="PHN-9677"/>
    <n v="1367.13"/>
    <n v="3062.01"/>
    <n v="3062.01"/>
    <n v="0.10299999999999999"/>
    <n v="25"/>
    <n v="68665.574250000005"/>
    <n v="34178.25"/>
    <n v="34487.324250000005"/>
    <n v="0.50225057645971705"/>
    <d v="2024-03-31T00:00:00"/>
    <s v="Q2-2024"/>
    <s v="Asia → Japan → Tokyo"/>
    <s v="High"/>
    <d v="2024-06-01T00:00:00"/>
    <d v="2023-03-01T00:00:00"/>
    <n v="15"/>
    <n v="1"/>
  </r>
  <r>
    <s v="ORD-2024-892908"/>
    <d v="2024-07-12T00:00:00"/>
    <d v="2024-07-13T00:00:00"/>
    <n v="1"/>
    <x v="1"/>
    <x v="6"/>
    <s v="Nagoya"/>
    <s v="Small Business"/>
    <x v="0"/>
    <s v="F. Müller"/>
    <x v="4"/>
    <s v="NET-9575"/>
    <n v="105.13"/>
    <n v="244.13"/>
    <n v="244.13"/>
    <n v="7.0999999999999994E-2"/>
    <n v="14"/>
    <n v="3175.1547799999998"/>
    <n v="1471.82"/>
    <n v="1703.3347799999999"/>
    <n v="0.53645724319618837"/>
    <d v="2024-03-11T00:00:00"/>
    <s v="Q3-2024"/>
    <s v="Asia → Japan → Nagoya"/>
    <s v="Low"/>
    <d v="2024-07-01T00:00:00"/>
    <d v="2023-03-01T00:00:00"/>
    <n v="16"/>
    <n v="1"/>
  </r>
  <r>
    <s v="ORD-2024-605629"/>
    <d v="2024-07-15T00:00:00"/>
    <d v="2024-07-15T00:00:00"/>
    <n v="0"/>
    <x v="1"/>
    <x v="6"/>
    <s v="Tokyo"/>
    <s v="Small Business"/>
    <x v="0"/>
    <s v="G. Dubois"/>
    <x v="5"/>
    <s v="ACC-2735"/>
    <n v="801.77"/>
    <n v="1218.92"/>
    <n v="1218.92"/>
    <n v="0.254"/>
    <n v="16"/>
    <n v="14549.029120000001"/>
    <n v="12828.32"/>
    <n v="1720.7091200000013"/>
    <n v="0.11826968698788344"/>
    <d v="2024-03-09T00:00:00"/>
    <s v="Q3-2024"/>
    <s v="Asia → Japan → Tokyo"/>
    <s v="Medium"/>
    <d v="2024-07-01T00:00:00"/>
    <d v="2023-03-01T00:00:00"/>
    <n v="16"/>
    <n v="1"/>
  </r>
  <r>
    <s v="ORD-2024-947056"/>
    <d v="2024-07-31T00:00:00"/>
    <d v="2024-08-15T00:00:00"/>
    <n v="15"/>
    <x v="1"/>
    <x v="6"/>
    <s v="Tokyo"/>
    <s v="Corporate"/>
    <x v="0"/>
    <s v="F. Müller"/>
    <x v="0"/>
    <s v="MON-1564"/>
    <n v="1252.52"/>
    <n v="1417.24"/>
    <n v="1417.24"/>
    <n v="0.192"/>
    <n v="5"/>
    <n v="5725.6496000000006"/>
    <n v="6262.6"/>
    <n v="-536.95039999999972"/>
    <n v="-9.3779821943696953E-2"/>
    <d v="2024-03-03T00:00:00"/>
    <s v="Q3-2024"/>
    <s v="Asia → Japan → Tokyo"/>
    <s v="Medium"/>
    <d v="2024-07-01T00:00:00"/>
    <d v="2023-03-01T00:00:00"/>
    <n v="16"/>
    <n v="0"/>
  </r>
  <r>
    <s v="ORD-2024-136321"/>
    <d v="2024-08-07T00:00:00"/>
    <d v="2024-08-17T00:00:00"/>
    <n v="10"/>
    <x v="1"/>
    <x v="6"/>
    <s v="Osaka"/>
    <s v="Consumer"/>
    <x v="1"/>
    <s v="K. Singh"/>
    <x v="4"/>
    <s v="NET-7924"/>
    <n v="436.58"/>
    <n v="527.48"/>
    <n v="527.48"/>
    <n v="0.111"/>
    <n v="19"/>
    <n v="8909.6646800000017"/>
    <n v="8295.02"/>
    <n v="614.64468000000124"/>
    <n v="6.8986286473802644E-2"/>
    <d v="2024-02-18T00:00:00"/>
    <s v="Q3-2024"/>
    <s v="Asia → Japan → Osaka"/>
    <s v="Low"/>
    <d v="2024-08-01T00:00:00"/>
    <d v="2023-03-01T00:00:00"/>
    <n v="17"/>
    <n v="0"/>
  </r>
  <r>
    <s v="ORD-2024-915495"/>
    <d v="2024-08-08T00:00:00"/>
    <d v="2024-08-20T00:00:00"/>
    <n v="12"/>
    <x v="1"/>
    <x v="6"/>
    <s v="Osaka"/>
    <s v="Small Business"/>
    <x v="4"/>
    <s v="H. Kim"/>
    <x v="4"/>
    <s v="NET-8957"/>
    <n v="1233.3599999999999"/>
    <n v="2120.4"/>
    <n v="2120.4"/>
    <n v="0.17899999999999999"/>
    <n v="20"/>
    <n v="34816.968000000001"/>
    <n v="24667.199999999997"/>
    <n v="10149.768000000004"/>
    <n v="0.29151785991244278"/>
    <d v="2024-02-25T00:00:00"/>
    <s v="Q3-2024"/>
    <s v="Asia → Japan → Osaka"/>
    <s v="High"/>
    <d v="2024-08-01T00:00:00"/>
    <d v="2023-03-01T00:00:00"/>
    <n v="17"/>
    <n v="0"/>
  </r>
  <r>
    <s v="ORD-2024-542244"/>
    <d v="2024-08-30T00:00:00"/>
    <d v="2024-09-05T00:00:00"/>
    <n v="6"/>
    <x v="1"/>
    <x v="6"/>
    <s v="Nagoya"/>
    <s v="Education"/>
    <x v="1"/>
    <s v="N. Brown"/>
    <x v="6"/>
    <s v="LAP-7009"/>
    <n v="466.16"/>
    <n v="876.81"/>
    <n v="876.81"/>
    <n v="0.24099999999999999"/>
    <n v="8"/>
    <n v="5323.9903199999999"/>
    <n v="3729.28"/>
    <n v="1594.7103199999997"/>
    <n v="0.29953291124691594"/>
    <d v="2024-01-16T00:00:00"/>
    <s v="Q3-2024"/>
    <s v="Asia → Japan → Nagoya"/>
    <s v="Medium"/>
    <d v="2024-08-01T00:00:00"/>
    <d v="2023-03-01T00:00:00"/>
    <n v="17"/>
    <n v="1"/>
  </r>
  <r>
    <s v="ORD-2024-536442"/>
    <d v="2024-08-31T00:00:00"/>
    <d v="2024-09-26T00:00:00"/>
    <n v="26"/>
    <x v="1"/>
    <x v="6"/>
    <s v="Tokyo"/>
    <s v="Education"/>
    <x v="1"/>
    <s v="I. Johnson"/>
    <x v="2"/>
    <s v="PHN-6111"/>
    <n v="1189.03"/>
    <n v="2949.62"/>
    <n v="2949.62"/>
    <n v="0.125"/>
    <n v="13"/>
    <n v="33551.927499999998"/>
    <n v="15457.39"/>
    <n v="18094.537499999999"/>
    <n v="0.53929949330034765"/>
    <d v="2024-02-08T00:00:00"/>
    <s v="Q3-2024"/>
    <s v="Asia → Japan → Tokyo"/>
    <s v="High"/>
    <d v="2024-08-01T00:00:00"/>
    <d v="2023-03-01T00:00:00"/>
    <n v="17"/>
    <n v="0"/>
  </r>
  <r>
    <s v="ORD-2024-207792"/>
    <d v="2024-09-03T00:00:00"/>
    <d v="2024-09-07T00:00:00"/>
    <n v="4"/>
    <x v="1"/>
    <x v="6"/>
    <s v="Tokyo"/>
    <s v="Small Business"/>
    <x v="3"/>
    <s v="N. Brown"/>
    <x v="3"/>
    <s v="PRN-3917"/>
    <n v="43.23"/>
    <n v="94.78"/>
    <n v="94.78"/>
    <n v="9.0999999999999998E-2"/>
    <n v="55"/>
    <n v="4738.5261"/>
    <n v="2377.6499999999996"/>
    <n v="2360.8761000000004"/>
    <n v="0.49823005090127082"/>
    <d v="2024-01-13T00:00:00"/>
    <s v="Q3-2024"/>
    <s v="Asia → Japan → Tokyo"/>
    <s v="Low"/>
    <d v="2024-09-01T00:00:00"/>
    <d v="2023-03-01T00:00:00"/>
    <n v="18"/>
    <n v="1"/>
  </r>
  <r>
    <s v="ORD-2024-594527"/>
    <d v="2024-09-04T00:00:00"/>
    <d v="2024-09-06T00:00:00"/>
    <n v="2"/>
    <x v="1"/>
    <x v="6"/>
    <s v="Osaka"/>
    <s v="Corporate"/>
    <x v="2"/>
    <s v="A. Patel"/>
    <x v="6"/>
    <s v="LAP-4483"/>
    <n v="1368.17"/>
    <n v="2307.75"/>
    <n v="2307.75"/>
    <n v="0.16300000000000001"/>
    <n v="21"/>
    <n v="40563.321749999996"/>
    <n v="28731.57"/>
    <n v="11831.751749999996"/>
    <n v="0.29168596750831921"/>
    <d v="2024-01-24T00:00:00"/>
    <s v="Q3-2024"/>
    <s v="Asia → Japan → Osaka"/>
    <s v="High"/>
    <d v="2024-09-01T00:00:00"/>
    <d v="2023-03-01T00:00:00"/>
    <n v="18"/>
    <n v="1"/>
  </r>
  <r>
    <s v="ORD-2024-569164"/>
    <d v="2024-09-05T00:00:00"/>
    <d v="2024-09-25T00:00:00"/>
    <n v="20"/>
    <x v="1"/>
    <x v="6"/>
    <s v="Osaka"/>
    <s v="Enterprise"/>
    <x v="3"/>
    <s v="D. Smith"/>
    <x v="0"/>
    <s v="MON-5249"/>
    <n v="195.54"/>
    <n v="405.97"/>
    <n v="405.97"/>
    <n v="0.187"/>
    <n v="16"/>
    <n v="5280.8577599999999"/>
    <n v="3128.64"/>
    <n v="2152.21776"/>
    <n v="0.40755079152141377"/>
    <d v="2024-01-18T00:00:00"/>
    <s v="Q3-2024"/>
    <s v="Asia → Japan → Osaka"/>
    <s v="Low"/>
    <d v="2024-09-01T00:00:00"/>
    <d v="2023-03-01T00:00:00"/>
    <n v="18"/>
    <n v="0"/>
  </r>
  <r>
    <s v="ORD-2024-792558"/>
    <d v="2024-10-16T00:00:00"/>
    <d v="2024-11-08T00:00:00"/>
    <n v="23"/>
    <x v="1"/>
    <x v="6"/>
    <s v="Osaka"/>
    <s v="Small Business"/>
    <x v="4"/>
    <s v="J. Njeri"/>
    <x v="4"/>
    <s v="NET-6387"/>
    <n v="82.14"/>
    <n v="166.04"/>
    <n v="166.04"/>
    <n v="0"/>
    <n v="10"/>
    <n v="1660.3999999999999"/>
    <n v="821.4"/>
    <n v="838.99999999999989"/>
    <n v="0.50529992772825827"/>
    <d v="2023-12-26T00:00:00"/>
    <s v="Q4-2024"/>
    <s v="Asia → Japan → Osaka"/>
    <s v="Low"/>
    <d v="2024-10-01T00:00:00"/>
    <d v="2023-03-01T00:00:00"/>
    <n v="19"/>
    <n v="0"/>
  </r>
  <r>
    <s v="ORD-2024-668926"/>
    <d v="2024-10-23T00:00:00"/>
    <d v="2024-11-14T00:00:00"/>
    <n v="22"/>
    <x v="1"/>
    <x v="6"/>
    <s v="Osaka"/>
    <s v="Non-Profit"/>
    <x v="2"/>
    <s v="B. Chen"/>
    <x v="2"/>
    <s v="PHN-9789"/>
    <n v="1406.4"/>
    <n v="1564.76"/>
    <n v="1564.76"/>
    <n v="0.185"/>
    <n v="17"/>
    <n v="21679.749799999998"/>
    <n v="23908.800000000003"/>
    <n v="-2229.0502000000051"/>
    <n v="-0.10281715520536151"/>
    <d v="2023-12-24T00:00:00"/>
    <s v="Q4-2024"/>
    <s v="Asia → Japan → Osaka"/>
    <s v="Medium"/>
    <d v="2024-10-01T00:00:00"/>
    <d v="2023-03-01T00:00:00"/>
    <n v="19"/>
    <n v="0"/>
  </r>
  <r>
    <s v="ORD-2024-350100"/>
    <d v="2024-10-27T00:00:00"/>
    <d v="2024-11-20T00:00:00"/>
    <n v="24"/>
    <x v="1"/>
    <x v="6"/>
    <s v="Nagoya"/>
    <s v="Non-Profit"/>
    <x v="1"/>
    <s v="H. Kim"/>
    <x v="0"/>
    <s v="MON-8939"/>
    <n v="317.25"/>
    <n v="758.92"/>
    <n v="758.92"/>
    <n v="5.2999999999999999E-2"/>
    <n v="9"/>
    <n v="6468.2751599999992"/>
    <n v="2855.25"/>
    <n v="3613.0251599999992"/>
    <n v="0.5585762928489888"/>
    <d v="2023-12-22T00:00:00"/>
    <s v="Q4-2024"/>
    <s v="Asia → Japan → Nagoya"/>
    <s v="Low"/>
    <d v="2024-10-01T00:00:00"/>
    <d v="2023-03-01T00:00:00"/>
    <n v="19"/>
    <n v="0"/>
  </r>
  <r>
    <s v="ORD-2024-102866"/>
    <d v="2024-12-12T00:00:00"/>
    <d v="2024-12-20T00:00:00"/>
    <n v="8"/>
    <x v="1"/>
    <x v="6"/>
    <s v="Tokyo"/>
    <s v="Corporate"/>
    <x v="4"/>
    <s v="B. Chen"/>
    <x v="6"/>
    <s v="LAP-8347"/>
    <n v="1202.47"/>
    <n v="1444.72"/>
    <n v="1444.72"/>
    <n v="0.24099999999999999"/>
    <n v="17"/>
    <n v="18641.222160000001"/>
    <n v="20441.990000000002"/>
    <n v="-1800.7678400000004"/>
    <n v="-9.6601382921343834E-2"/>
    <d v="2023-10-09T00:00:00"/>
    <s v="Q4-2024"/>
    <s v="Asia → Japan → Tokyo"/>
    <s v="Medium"/>
    <d v="2024-12-01T00:00:00"/>
    <d v="2023-03-01T00:00:00"/>
    <n v="21"/>
    <n v="0"/>
  </r>
  <r>
    <s v="ORD-2025-515515"/>
    <d v="2025-01-03T00:00:00"/>
    <d v="2025-01-23T00:00:00"/>
    <n v="20"/>
    <x v="1"/>
    <x v="6"/>
    <s v="Osaka"/>
    <s v="Corporate"/>
    <x v="3"/>
    <s v="F. Müller"/>
    <x v="2"/>
    <s v="PHN-7019"/>
    <n v="908.6"/>
    <n v="691.37"/>
    <n v="691.37"/>
    <n v="0.25"/>
    <n v="20"/>
    <n v="10370.549999999999"/>
    <n v="18172"/>
    <n v="-7801.4500000000007"/>
    <n v="-0.75226964818645115"/>
    <d v="2023-09-20T00:00:00"/>
    <s v="Q1-2025"/>
    <s v="Asia → Japan → Osaka"/>
    <s v="Low"/>
    <d v="2025-01-01T00:00:00"/>
    <d v="2023-03-01T00:00:00"/>
    <n v="22"/>
    <n v="0"/>
  </r>
  <r>
    <s v="ORD-2025-415018"/>
    <d v="2025-01-22T00:00:00"/>
    <d v="2025-02-04T00:00:00"/>
    <n v="13"/>
    <x v="1"/>
    <x v="6"/>
    <s v="Tokyo"/>
    <s v="Small Business"/>
    <x v="3"/>
    <s v="L. Okafor"/>
    <x v="3"/>
    <s v="PRN-2991"/>
    <n v="122.29"/>
    <n v="224.95"/>
    <n v="224.95"/>
    <n v="0.153"/>
    <n v="28"/>
    <n v="5334.9141999999993"/>
    <n v="3424.1200000000003"/>
    <n v="1910.7941999999989"/>
    <n v="0.3581677471026618"/>
    <d v="2023-08-19T00:00:00"/>
    <s v="Q1-2025"/>
    <s v="Asia → Japan → Tokyo"/>
    <s v="Low"/>
    <d v="2025-01-01T00:00:00"/>
    <d v="2023-03-01T00:00:00"/>
    <n v="22"/>
    <n v="0"/>
  </r>
  <r>
    <s v="ORD-2025-898843"/>
    <d v="2025-02-02T00:00:00"/>
    <d v="2025-03-04T00:00:00"/>
    <n v="30"/>
    <x v="1"/>
    <x v="6"/>
    <s v="Osaka"/>
    <s v="Education"/>
    <x v="3"/>
    <s v="L. Okafor"/>
    <x v="5"/>
    <s v="ACC-9591"/>
    <n v="766.59"/>
    <n v="1912.8"/>
    <n v="1912.8"/>
    <n v="0.19600000000000001"/>
    <n v="5"/>
    <n v="7689.4560000000001"/>
    <n v="3832.9500000000003"/>
    <n v="3856.5059999999999"/>
    <n v="0.50153170783472845"/>
    <d v="2023-08-17T00:00:00"/>
    <s v="Q1-2025"/>
    <s v="Asia → Japan → Osaka"/>
    <s v="High"/>
    <d v="2025-02-01T00:00:00"/>
    <d v="2023-03-01T00:00:00"/>
    <n v="23"/>
    <n v="0"/>
  </r>
  <r>
    <s v="ORD-2025-728935"/>
    <d v="2025-02-28T00:00:00"/>
    <d v="2025-03-10T00:00:00"/>
    <n v="10"/>
    <x v="1"/>
    <x v="6"/>
    <s v="Osaka"/>
    <s v="Education"/>
    <x v="3"/>
    <s v="N. Brown"/>
    <x v="6"/>
    <s v="LAP-3017"/>
    <n v="51.86"/>
    <n v="45.98"/>
    <n v="45.98"/>
    <n v="0.17299999999999999"/>
    <n v="7"/>
    <n v="266.17821999999995"/>
    <n v="363.02"/>
    <n v="-96.841780000000028"/>
    <n v="-0.3638230806412337"/>
    <d v="2023-07-25T00:00:00"/>
    <s v="Q1-2025"/>
    <s v="Asia → Japan → Osaka"/>
    <s v="Low"/>
    <d v="2025-02-01T00:00:00"/>
    <d v="2023-03-01T00:00:00"/>
    <n v="23"/>
    <n v="0"/>
  </r>
  <r>
    <s v="ORD-2025-683247"/>
    <d v="2025-03-10T00:00:00"/>
    <d v="2025-04-04T00:00:00"/>
    <n v="25"/>
    <x v="1"/>
    <x v="6"/>
    <s v="Osaka"/>
    <s v="Corporate"/>
    <x v="2"/>
    <s v="H. Kim"/>
    <x v="3"/>
    <s v="PRN-9867"/>
    <n v="783.72"/>
    <n v="1355.94"/>
    <n v="1355.94"/>
    <n v="0.187"/>
    <n v="4"/>
    <n v="4409.5168800000001"/>
    <n v="3134.88"/>
    <n v="1274.63688"/>
    <n v="0.28906497348525856"/>
    <d v="2023-07-10T00:00:00"/>
    <s v="Q1-2025"/>
    <s v="Asia → Japan → Osaka"/>
    <s v="Medium"/>
    <d v="2025-03-01T00:00:00"/>
    <d v="2023-03-01T00:00:00"/>
    <n v="24"/>
    <n v="0"/>
  </r>
  <r>
    <s v="ORD-2025-532859"/>
    <d v="2025-03-11T00:00:00"/>
    <d v="2025-03-27T00:00:00"/>
    <n v="16"/>
    <x v="1"/>
    <x v="6"/>
    <s v="Tokyo"/>
    <s v="Enterprise"/>
    <x v="3"/>
    <s v="B. Chen"/>
    <x v="3"/>
    <s v="PRN-5264"/>
    <n v="1317.58"/>
    <n v="1897.74"/>
    <n v="1897.74"/>
    <n v="8.1000000000000003E-2"/>
    <n v="6"/>
    <n v="10464.138360000001"/>
    <n v="7905.48"/>
    <n v="2558.6583600000013"/>
    <n v="0.24451687009230266"/>
    <d v="2023-07-19T00:00:00"/>
    <s v="Q1-2025"/>
    <s v="Asia → Japan → Tokyo"/>
    <s v="High"/>
    <d v="2025-03-01T00:00:00"/>
    <d v="2023-03-01T00:00:00"/>
    <n v="24"/>
    <n v="0"/>
  </r>
  <r>
    <s v="ORD-2025-685236"/>
    <d v="2025-03-14T00:00:00"/>
    <d v="2025-03-29T00:00:00"/>
    <n v="15"/>
    <x v="1"/>
    <x v="6"/>
    <s v="Tokyo"/>
    <s v="Non-Profit"/>
    <x v="2"/>
    <s v="H. Kim"/>
    <x v="4"/>
    <s v="NET-8430"/>
    <n v="1106.96"/>
    <n v="2726.62"/>
    <n v="2726.62"/>
    <n v="0.317"/>
    <n v="7"/>
    <n v="13035.970220000001"/>
    <n v="7748.72"/>
    <n v="5287.2502200000008"/>
    <n v="0.40558931408789306"/>
    <d v="2023-07-21T00:00:00"/>
    <s v="Q1-2025"/>
    <s v="Asia → Japan → Tokyo"/>
    <s v="High"/>
    <d v="2025-03-01T00:00:00"/>
    <d v="2023-03-01T00:00:00"/>
    <n v="24"/>
    <n v="0"/>
  </r>
  <r>
    <s v="ORD-2025-125517"/>
    <d v="2025-03-21T00:00:00"/>
    <d v="2025-04-09T00:00:00"/>
    <n v="19"/>
    <x v="1"/>
    <x v="6"/>
    <s v="Tokyo"/>
    <s v="Small Business"/>
    <x v="3"/>
    <s v="E. Garcia"/>
    <x v="1"/>
    <s v="CMP-7055"/>
    <n v="1055.45"/>
    <n v="1210.04"/>
    <n v="1210.04"/>
    <n v="8.9999999999999993E-3"/>
    <n v="18"/>
    <n v="21584.693520000001"/>
    <n v="18998.100000000002"/>
    <n v="2586.5935199999985"/>
    <n v="0.1198346188053727"/>
    <d v="2023-06-24T00:00:00"/>
    <s v="Q1-2025"/>
    <s v="Asia → Japan → Tokyo"/>
    <s v="Medium"/>
    <d v="2025-03-01T00:00:00"/>
    <d v="2023-03-01T00:00:00"/>
    <n v="24"/>
    <n v="0"/>
  </r>
  <r>
    <s v="ORD-2025-487025"/>
    <d v="2025-04-11T00:00:00"/>
    <d v="2025-05-04T00:00:00"/>
    <n v="23"/>
    <x v="1"/>
    <x v="6"/>
    <s v="Osaka"/>
    <s v="Small Business"/>
    <x v="1"/>
    <s v="M. Rossi"/>
    <x v="1"/>
    <s v="CMP-3743"/>
    <n v="786.2"/>
    <n v="1075.3"/>
    <n v="1075.3"/>
    <n v="0.08"/>
    <n v="9"/>
    <n v="8903.4839999999986"/>
    <n v="7075.8"/>
    <n v="1827.6839999999984"/>
    <n v="0.20527739478163815"/>
    <d v="2023-06-05T00:00:00"/>
    <s v="Q2-2025"/>
    <s v="Asia → Japan → Osaka"/>
    <s v="Medium"/>
    <d v="2025-04-01T00:00:00"/>
    <d v="2023-03-01T00:00:00"/>
    <n v="25"/>
    <n v="0"/>
  </r>
  <r>
    <s v="ORD-2025-169093"/>
    <d v="2025-04-13T00:00:00"/>
    <d v="2025-04-14T00:00:00"/>
    <n v="1"/>
    <x v="1"/>
    <x v="6"/>
    <s v="Osaka"/>
    <s v="Enterprise"/>
    <x v="1"/>
    <s v="G. Dubois"/>
    <x v="1"/>
    <s v="CMP-6495"/>
    <n v="138.9"/>
    <n v="289.92"/>
    <n v="289.92"/>
    <n v="2.9000000000000001E-2"/>
    <n v="12"/>
    <n v="3378.1478400000001"/>
    <n v="1666.8000000000002"/>
    <n v="1711.3478399999999"/>
    <n v="0.50659353025828491"/>
    <d v="2023-06-13T00:00:00"/>
    <s v="Q2-2025"/>
    <s v="Asia → Japan → Osaka"/>
    <s v="Low"/>
    <d v="2025-04-01T00:00:00"/>
    <d v="2023-03-01T00:00:00"/>
    <n v="25"/>
    <n v="1"/>
  </r>
  <r>
    <s v="ORD-2025-626047"/>
    <d v="2025-04-28T00:00:00"/>
    <d v="2025-05-15T00:00:00"/>
    <n v="17"/>
    <x v="1"/>
    <x v="6"/>
    <s v="Nagoya"/>
    <s v="Education"/>
    <x v="2"/>
    <s v="N. Brown"/>
    <x v="4"/>
    <s v="NET-1966"/>
    <n v="691.19"/>
    <n v="1284.3"/>
    <n v="1284.3"/>
    <n v="7.3999999999999996E-2"/>
    <n v="7"/>
    <n v="8324.8326000000015"/>
    <n v="4838.33"/>
    <n v="3486.5026000000016"/>
    <n v="0.41880753253825198"/>
    <d v="2023-05-20T00:00:00"/>
    <s v="Q2-2025"/>
    <s v="Asia → Japan → Nagoya"/>
    <s v="Medium"/>
    <d v="2025-04-01T00:00:00"/>
    <d v="2023-03-01T00:00:00"/>
    <n v="25"/>
    <n v="0"/>
  </r>
  <r>
    <s v="ORD-2025-254721"/>
    <d v="2025-05-15T00:00:00"/>
    <d v="2025-06-05T00:00:00"/>
    <n v="21"/>
    <x v="1"/>
    <x v="6"/>
    <s v="Osaka"/>
    <s v="Enterprise"/>
    <x v="2"/>
    <s v="H. Kim"/>
    <x v="2"/>
    <s v="PHN-6480"/>
    <n v="1466.5"/>
    <n v="2778.74"/>
    <n v="2778.74"/>
    <n v="0.13500000000000001"/>
    <n v="4"/>
    <n v="9614.4403999999995"/>
    <n v="5866"/>
    <n v="3748.4403999999995"/>
    <n v="0.38987608680792279"/>
    <d v="2023-05-04T00:00:00"/>
    <s v="Q2-2025"/>
    <s v="Asia → Japan → Osaka"/>
    <s v="High"/>
    <d v="2025-05-01T00:00:00"/>
    <d v="2023-03-01T00:00:00"/>
    <n v="26"/>
    <n v="0"/>
  </r>
  <r>
    <s v="ORD-2025-752192"/>
    <d v="2025-05-16T00:00:00"/>
    <d v="2025-05-18T00:00:00"/>
    <n v="2"/>
    <x v="1"/>
    <x v="6"/>
    <s v="Tokyo"/>
    <s v="Enterprise"/>
    <x v="4"/>
    <s v="J. Njeri"/>
    <x v="3"/>
    <s v="PRN-6131"/>
    <n v="1144.3800000000001"/>
    <n v="2755.04"/>
    <n v="2755.04"/>
    <n v="0.15"/>
    <n v="17"/>
    <n v="39810.328000000001"/>
    <n v="19454.460000000003"/>
    <n v="20355.867999999999"/>
    <n v="0.51132128326096682"/>
    <d v="2023-05-14T00:00:00"/>
    <s v="Q2-2025"/>
    <s v="Asia → Japan → Tokyo"/>
    <s v="High"/>
    <d v="2025-05-01T00:00:00"/>
    <d v="2023-03-01T00:00:00"/>
    <n v="26"/>
    <n v="1"/>
  </r>
  <r>
    <s v="ORD-2025-486350"/>
    <d v="2025-05-27T00:00:00"/>
    <d v="2025-06-08T00:00:00"/>
    <n v="12"/>
    <x v="1"/>
    <x v="6"/>
    <s v="Osaka"/>
    <s v="Corporate"/>
    <x v="4"/>
    <s v="H. Kim"/>
    <x v="5"/>
    <s v="ACC-1249"/>
    <n v="653.6"/>
    <n v="842.09"/>
    <n v="842.09"/>
    <n v="9.8000000000000004E-2"/>
    <n v="19"/>
    <n v="14431.738420000001"/>
    <n v="12418.4"/>
    <n v="2013.3384200000019"/>
    <n v="0.13950768517324622"/>
    <d v="2023-05-03T00:00:00"/>
    <s v="Q2-2025"/>
    <s v="Asia → Japan → Osaka"/>
    <s v="Medium"/>
    <d v="2025-05-01T00:00:00"/>
    <d v="2023-03-01T00:00:00"/>
    <n v="26"/>
    <n v="0"/>
  </r>
  <r>
    <s v="ORD-2025-417942"/>
    <d v="2025-06-09T00:00:00"/>
    <d v="2025-06-24T00:00:00"/>
    <n v="15"/>
    <x v="1"/>
    <x v="6"/>
    <s v="Nagoya"/>
    <s v="Corporate"/>
    <x v="2"/>
    <s v="B. Chen"/>
    <x v="2"/>
    <s v="PHN-5675"/>
    <n v="400.39"/>
    <n v="712.75"/>
    <n v="712.75"/>
    <n v="0.115"/>
    <n v="19"/>
    <n v="11984.891250000001"/>
    <n v="7607.41"/>
    <n v="4377.4812500000007"/>
    <n v="0.36524997671547504"/>
    <d v="2023-04-19T00:00:00"/>
    <s v="Q2-2025"/>
    <s v="Asia → Japan → Nagoya"/>
    <s v="Low"/>
    <d v="2025-06-01T00:00:00"/>
    <d v="2023-03-01T00:00:00"/>
    <n v="27"/>
    <n v="0"/>
  </r>
  <r>
    <s v="ORD-2025-703623"/>
    <d v="2025-07-23T00:00:00"/>
    <d v="2025-08-19T00:00:00"/>
    <n v="27"/>
    <x v="1"/>
    <x v="6"/>
    <s v="Nagoya"/>
    <s v="Consumer"/>
    <x v="0"/>
    <s v="B. Chen"/>
    <x v="5"/>
    <s v="ACC-1596"/>
    <n v="896.09"/>
    <n v="744.27"/>
    <n v="744.27"/>
    <n v="8.3000000000000004E-2"/>
    <n v="11"/>
    <n v="7507.4514899999995"/>
    <n v="9856.99"/>
    <n v="-2349.5385100000003"/>
    <n v="-0.31296086469950679"/>
    <d v="2023-03-25T00:00:00"/>
    <s v="Q3-2025"/>
    <s v="Asia → Japan → Nagoya"/>
    <s v="Low"/>
    <d v="2025-07-01T00:00:00"/>
    <d v="2023-03-01T00:00:00"/>
    <n v="28"/>
    <n v="0"/>
  </r>
  <r>
    <s v="ORD-2025-496178"/>
    <d v="2025-07-27T00:00:00"/>
    <d v="2025-08-15T00:00:00"/>
    <n v="19"/>
    <x v="1"/>
    <x v="6"/>
    <s v="Tokyo"/>
    <s v="Small Business"/>
    <x v="0"/>
    <s v="J. Njeri"/>
    <x v="1"/>
    <s v="CMP-5658"/>
    <n v="275.43"/>
    <n v="608.36"/>
    <n v="608.36"/>
    <n v="0.25700000000000001"/>
    <n v="4"/>
    <n v="1808.04592"/>
    <n v="1101.72"/>
    <n v="706.32592"/>
    <n v="0.39065706915231446"/>
    <d v="2023-03-04T00:00:00"/>
    <s v="Q3-2025"/>
    <s v="Asia → Japan → Tokyo"/>
    <s v="Low"/>
    <d v="2025-07-01T00:00:00"/>
    <d v="2023-03-01T00:00:00"/>
    <n v="28"/>
    <n v="0"/>
  </r>
  <r>
    <s v="ORD-2025-646342"/>
    <d v="2025-08-02T00:00:00"/>
    <d v="2025-08-08T00:00:00"/>
    <n v="6"/>
    <x v="1"/>
    <x v="6"/>
    <s v="Osaka"/>
    <s v="Consumer"/>
    <x v="2"/>
    <s v="N. Brown"/>
    <x v="6"/>
    <s v="LAP-4828"/>
    <n v="1225.94"/>
    <n v="1793.08"/>
    <n v="1793.08"/>
    <n v="0.13600000000000001"/>
    <n v="22"/>
    <n v="34082.864639999993"/>
    <n v="26970.68"/>
    <n v="7112.1846399999922"/>
    <n v="0.20867332353434462"/>
    <d v="2023-03-14T00:00:00"/>
    <s v="Q3-2025"/>
    <s v="Asia → Japan → Osaka"/>
    <s v="High"/>
    <d v="2025-08-01T00:00:00"/>
    <d v="2023-03-01T00:00:00"/>
    <n v="29"/>
    <n v="1"/>
  </r>
  <r>
    <s v="ORD-2025-233883"/>
    <d v="2025-09-08T00:00:00"/>
    <d v="2025-09-16T00:00:00"/>
    <n v="8"/>
    <x v="1"/>
    <x v="6"/>
    <s v="Osaka"/>
    <s v="Corporate"/>
    <x v="3"/>
    <s v="C. Otieno"/>
    <x v="2"/>
    <s v="PHN-1197"/>
    <n v="1225.57"/>
    <n v="2705.57"/>
    <n v="2705.57"/>
    <n v="0.183"/>
    <n v="16"/>
    <n v="35367.211040000002"/>
    <n v="19609.12"/>
    <n v="15758.091040000003"/>
    <n v="0.44555650775453404"/>
    <d v="2023-01-19T00:00:00"/>
    <s v="Q3-2025"/>
    <s v="Asia → Japan → Osaka"/>
    <s v="High"/>
    <d v="2025-09-01T00:00:00"/>
    <d v="2023-03-01T00:00:00"/>
    <n v="30"/>
    <n v="0"/>
  </r>
  <r>
    <s v="ORD-2025-779574"/>
    <d v="2025-09-10T00:00:00"/>
    <d v="2025-09-12T00:00:00"/>
    <n v="2"/>
    <x v="1"/>
    <x v="6"/>
    <s v="Tokyo"/>
    <s v="Consumer"/>
    <x v="1"/>
    <s v="O. Wang"/>
    <x v="1"/>
    <s v="CMP-6971"/>
    <n v="1470.15"/>
    <n v="2593.7800000000002"/>
    <n v="2593.7800000000002"/>
    <n v="0.11"/>
    <n v="12"/>
    <n v="27701.570400000001"/>
    <n v="17641.800000000003"/>
    <n v="10059.770399999998"/>
    <n v="0.36314801849645306"/>
    <d v="2023-01-07T00:00:00"/>
    <s v="Q3-2025"/>
    <s v="Asia → Japan → Tokyo"/>
    <s v="High"/>
    <d v="2025-09-01T00:00:00"/>
    <d v="2023-03-01T00:00:00"/>
    <n v="30"/>
    <n v="1"/>
  </r>
  <r>
    <s v="ORD-2025-248586"/>
    <d v="2025-09-12T00:00:00"/>
    <d v="2025-09-30T00:00:00"/>
    <n v="18"/>
    <x v="1"/>
    <x v="6"/>
    <s v="Nagoya"/>
    <s v="Non-Profit"/>
    <x v="0"/>
    <s v="F. Müller"/>
    <x v="0"/>
    <s v="MON-2998"/>
    <n v="1212.99"/>
    <n v="1653.64"/>
    <n v="1653.64"/>
    <n v="0.107"/>
    <n v="8"/>
    <n v="11813.604160000001"/>
    <n v="9703.92"/>
    <n v="2109.6841600000007"/>
    <n v="0.17858090819931455"/>
    <d v="2023-01-12T00:00:00"/>
    <s v="Q3-2025"/>
    <s v="Asia → Japan → Nagoya"/>
    <s v="High"/>
    <d v="2025-09-01T00:00:00"/>
    <d v="2023-03-01T00:00:00"/>
    <n v="30"/>
    <n v="0"/>
  </r>
  <r>
    <s v="ORD-2023-586275"/>
    <d v="2023-01-20T00:00:00"/>
    <d v="2023-02-03T00:00:00"/>
    <n v="14"/>
    <x v="3"/>
    <x v="7"/>
    <s v="Kisumu"/>
    <s v="Corporate"/>
    <x v="4"/>
    <s v="M. Rossi"/>
    <x v="4"/>
    <s v="NET-6036"/>
    <n v="884.36"/>
    <n v="1545.34"/>
    <n v="1545.34"/>
    <n v="0.24299999999999999"/>
    <n v="41"/>
    <n v="47962.717579999997"/>
    <n v="36258.76"/>
    <n v="11703.957579999995"/>
    <n v="0.24402198562827965"/>
    <d v="2025-08-25T00:00:00"/>
    <s v="Q1-2023"/>
    <s v="Africa → Kenya → Kisumu"/>
    <s v="Medium"/>
    <d v="2023-01-01T00:00:00"/>
    <d v="2023-01-01T00:00:00"/>
    <n v="0"/>
    <n v="0"/>
  </r>
  <r>
    <s v="ORD-2023-156396"/>
    <d v="2023-02-21T00:00:00"/>
    <d v="2023-03-12T00:00:00"/>
    <n v="19"/>
    <x v="3"/>
    <x v="7"/>
    <s v="Nakuru"/>
    <s v="Corporate"/>
    <x v="1"/>
    <s v="F. Müller"/>
    <x v="4"/>
    <s v="NET-2499"/>
    <n v="352.65"/>
    <n v="485.86"/>
    <n v="485.86"/>
    <n v="4.1000000000000002E-2"/>
    <n v="6"/>
    <n v="2795.6384399999997"/>
    <n v="2115.8999999999996"/>
    <n v="679.73844000000008"/>
    <n v="0.24314247159943908"/>
    <d v="2025-08-11T00:00:00"/>
    <s v="Q1-2023"/>
    <s v="Africa → Kenya → Nakuru"/>
    <s v="Low"/>
    <d v="2023-02-01T00:00:00"/>
    <d v="2023-01-01T00:00:00"/>
    <n v="1"/>
    <n v="0"/>
  </r>
  <r>
    <s v="ORD-2023-373538"/>
    <d v="2023-02-28T00:00:00"/>
    <d v="2023-03-25T00:00:00"/>
    <n v="25"/>
    <x v="3"/>
    <x v="7"/>
    <s v="Nairobi"/>
    <s v="Corporate"/>
    <x v="4"/>
    <s v="I. Johnson"/>
    <x v="4"/>
    <s v="NET-9666"/>
    <n v="1460.76"/>
    <n v="-30.66"/>
    <n v="30.66"/>
    <n v="0.13100000000000001"/>
    <n v="12"/>
    <n v="319.72248000000002"/>
    <n v="17529.12"/>
    <n v="-17209.397519999999"/>
    <n v="-53.826047890032626"/>
    <d v="2025-07-23T00:00:00"/>
    <s v="Q1-2023"/>
    <s v="Africa → Kenya → Nairobi"/>
    <s v="Low"/>
    <d v="2023-02-01T00:00:00"/>
    <d v="2023-01-01T00:00:00"/>
    <n v="1"/>
    <n v="0"/>
  </r>
  <r>
    <s v="ORD-2023-949710"/>
    <d v="2023-03-07T00:00:00"/>
    <d v="2023-04-01T00:00:00"/>
    <n v="25"/>
    <x v="3"/>
    <x v="7"/>
    <s v="Nairobi"/>
    <s v="Consumer"/>
    <x v="0"/>
    <s v="D. Smith"/>
    <x v="3"/>
    <s v="PRN-7049"/>
    <n v="1024.0999999999999"/>
    <n v="918.19"/>
    <n v="918.19"/>
    <n v="0.189"/>
    <n v="10"/>
    <n v="7446.5209000000004"/>
    <n v="10241"/>
    <n v="-2794.4790999999996"/>
    <n v="-0.37527311579827827"/>
    <d v="2025-08-02T00:00:00"/>
    <s v="Q1-2023"/>
    <s v="Africa → Kenya → Nairobi"/>
    <s v="Medium"/>
    <d v="2023-03-01T00:00:00"/>
    <d v="2023-01-01T00:00:00"/>
    <n v="2"/>
    <n v="0"/>
  </r>
  <r>
    <s v="ORD-2023-835010"/>
    <d v="2023-03-23T00:00:00"/>
    <d v="2023-04-15T00:00:00"/>
    <n v="23"/>
    <x v="3"/>
    <x v="7"/>
    <s v="Mombasa"/>
    <s v="Small Business"/>
    <x v="4"/>
    <s v="C. Otieno"/>
    <x v="5"/>
    <s v="ACC-2988"/>
    <n v="875.36"/>
    <n v="1178.6199999999999"/>
    <n v="1178.6199999999999"/>
    <n v="0.151"/>
    <n v="53"/>
    <n v="53034.364139999991"/>
    <n v="46394.080000000002"/>
    <n v="6640.2841399999888"/>
    <n v="0.12520719815685888"/>
    <d v="2025-07-19T00:00:00"/>
    <s v="Q1-2023"/>
    <s v="Africa → Kenya → Mombasa"/>
    <s v="Medium"/>
    <d v="2023-03-01T00:00:00"/>
    <d v="2023-01-01T00:00:00"/>
    <n v="2"/>
    <n v="0"/>
  </r>
  <r>
    <s v="ORD-2023-613287"/>
    <d v="2023-03-31T00:00:00"/>
    <d v="2023-04-12T00:00:00"/>
    <n v="12"/>
    <x v="3"/>
    <x v="7"/>
    <s v="Mombasa"/>
    <s v="Small Business"/>
    <x v="1"/>
    <s v="C. Otieno"/>
    <x v="2"/>
    <s v="PHN-8014"/>
    <n v="304.22000000000003"/>
    <n v="393.31"/>
    <n v="393.31"/>
    <n v="0.26500000000000001"/>
    <n v="15"/>
    <n v="4336.2427499999994"/>
    <n v="4563.3"/>
    <n v="-227.05725000000075"/>
    <n v="-5.2362670424759034E-2"/>
    <d v="2025-06-24T00:00:00"/>
    <s v="Q1-2023"/>
    <s v="Africa → Kenya → Mombasa"/>
    <s v="Low"/>
    <d v="2023-03-01T00:00:00"/>
    <d v="2023-01-01T00:00:00"/>
    <n v="2"/>
    <n v="0"/>
  </r>
  <r>
    <s v="ORD-2023-419187"/>
    <d v="2023-03-31T00:00:00"/>
    <d v="2023-04-05T00:00:00"/>
    <n v="5"/>
    <x v="3"/>
    <x v="7"/>
    <s v="Nakuru"/>
    <s v="Education"/>
    <x v="0"/>
    <s v="B. Chen"/>
    <x v="6"/>
    <s v="LAP-7819"/>
    <n v="533.26"/>
    <n v="385.72"/>
    <n v="385.72"/>
    <n v="0"/>
    <n v="15"/>
    <n v="5785.8"/>
    <n v="7998.9"/>
    <n v="-2213.0999999999995"/>
    <n v="-0.38250544436378708"/>
    <d v="2025-07-09T00:00:00"/>
    <s v="Q1-2023"/>
    <s v="Africa → Kenya → Nakuru"/>
    <s v="Low"/>
    <d v="2023-03-01T00:00:00"/>
    <d v="2023-01-01T00:00:00"/>
    <n v="2"/>
    <n v="1"/>
  </r>
  <r>
    <s v="ORD-2023-897079"/>
    <d v="2023-04-14T00:00:00"/>
    <d v="2023-05-14T00:00:00"/>
    <n v="30"/>
    <x v="3"/>
    <x v="7"/>
    <s v="Nakuru"/>
    <s v="Consumer"/>
    <x v="0"/>
    <s v="M. Rossi"/>
    <x v="2"/>
    <s v="PHN-1784"/>
    <n v="209.25"/>
    <n v="434.8"/>
    <n v="434.8"/>
    <n v="0"/>
    <n v="9"/>
    <n v="3913.2000000000003"/>
    <n v="1883.25"/>
    <n v="2029.9500000000003"/>
    <n v="0.51874425022999082"/>
    <d v="2025-06-24T00:00:00"/>
    <s v="Q2-2023"/>
    <s v="Africa → Kenya → Nakuru"/>
    <s v="Low"/>
    <d v="2023-04-01T00:00:00"/>
    <d v="2023-01-01T00:00:00"/>
    <n v="3"/>
    <n v="0"/>
  </r>
  <r>
    <s v="ORD-2023-937291"/>
    <d v="2023-04-22T00:00:00"/>
    <d v="2023-04-23T00:00:00"/>
    <n v="1"/>
    <x v="3"/>
    <x v="7"/>
    <s v="Nairobi"/>
    <s v="Small Business"/>
    <x v="2"/>
    <s v="E. Garcia"/>
    <x v="6"/>
    <s v="LAP-1698"/>
    <n v="756.51"/>
    <n v="850.8"/>
    <n v="850.8"/>
    <n v="7.3999999999999996E-2"/>
    <n v="9"/>
    <n v="7090.5672000000004"/>
    <n v="6808.59"/>
    <n v="281.97720000000027"/>
    <n v="3.9767932810791252E-2"/>
    <d v="2025-06-09T00:00:00"/>
    <s v="Q2-2023"/>
    <s v="Africa → Kenya → Nairobi"/>
    <s v="Medium"/>
    <d v="2023-04-01T00:00:00"/>
    <d v="2023-01-01T00:00:00"/>
    <n v="3"/>
    <n v="1"/>
  </r>
  <r>
    <s v="ORD-2023-251563"/>
    <d v="2023-05-11T00:00:00"/>
    <d v="2023-06-07T00:00:00"/>
    <n v="27"/>
    <x v="3"/>
    <x v="7"/>
    <s v="Mombasa"/>
    <s v="Corporate"/>
    <x v="1"/>
    <s v="J. Njeri"/>
    <x v="2"/>
    <s v="PHN-8970"/>
    <n v="12.85"/>
    <n v="15.41"/>
    <n v="15.41"/>
    <n v="0.13700000000000001"/>
    <n v="39"/>
    <n v="518.65436999999997"/>
    <n v="501.15"/>
    <n v="17.504369999999994"/>
    <n v="3.3749585489851353E-2"/>
    <d v="2025-04-27T00:00:00"/>
    <s v="Q2-2023"/>
    <s v="Africa → Kenya → Mombasa"/>
    <s v="Low"/>
    <d v="2023-05-01T00:00:00"/>
    <d v="2023-01-01T00:00:00"/>
    <n v="4"/>
    <n v="0"/>
  </r>
  <r>
    <s v="ORD-2023-931633"/>
    <d v="2023-05-14T00:00:00"/>
    <d v="2023-05-22T00:00:00"/>
    <n v="8"/>
    <x v="3"/>
    <x v="7"/>
    <s v="Mombasa"/>
    <s v="Small Business"/>
    <x v="3"/>
    <s v="F. Müller"/>
    <x v="3"/>
    <s v="PRN-9488"/>
    <n v="432.01"/>
    <n v="913.78"/>
    <n v="913.78"/>
    <n v="4.9000000000000002E-2"/>
    <n v="12"/>
    <n v="10428.057360000001"/>
    <n v="5184.12"/>
    <n v="5243.9373600000008"/>
    <n v="0.50286809699711899"/>
    <d v="2025-05-19T00:00:00"/>
    <s v="Q2-2023"/>
    <s v="Africa → Kenya → Mombasa"/>
    <s v="Medium"/>
    <d v="2023-05-01T00:00:00"/>
    <d v="2023-01-01T00:00:00"/>
    <n v="4"/>
    <n v="0"/>
  </r>
  <r>
    <s v="ORD-2023-536542"/>
    <d v="2023-06-10T00:00:00"/>
    <d v="2023-06-18T00:00:00"/>
    <n v="8"/>
    <x v="3"/>
    <x v="7"/>
    <s v="Nakuru"/>
    <s v="Enterprise"/>
    <x v="2"/>
    <s v="H. Kim"/>
    <x v="2"/>
    <s v="PHN-2337"/>
    <n v="894.23"/>
    <n v="1421.55"/>
    <n v="1421.55"/>
    <n v="0.109"/>
    <n v="3"/>
    <n v="3799.8031499999997"/>
    <n v="2682.69"/>
    <n v="1117.1131499999997"/>
    <n v="0.29399237431549574"/>
    <d v="2025-04-17T00:00:00"/>
    <s v="Q2-2023"/>
    <s v="Africa → Kenya → Nakuru"/>
    <s v="Medium"/>
    <d v="2023-06-01T00:00:00"/>
    <d v="2023-01-01T00:00:00"/>
    <n v="5"/>
    <n v="0"/>
  </r>
  <r>
    <s v="ORD-2023-286720"/>
    <d v="2023-07-08T00:00:00"/>
    <d v="2023-07-09T00:00:00"/>
    <n v="1"/>
    <x v="3"/>
    <x v="7"/>
    <s v="Nairobi"/>
    <s v="Consumer"/>
    <x v="1"/>
    <s v="D. Smith"/>
    <x v="6"/>
    <s v="LAP-1989"/>
    <n v="1258.72"/>
    <n v="2797.41"/>
    <n v="2797.41"/>
    <n v="0"/>
    <n v="7"/>
    <n v="19581.87"/>
    <n v="8811.0400000000009"/>
    <n v="10770.829999999998"/>
    <n v="0.55004093071805704"/>
    <d v="2025-03-23T00:00:00"/>
    <s v="Q3-2023"/>
    <s v="Africa → Kenya → Nairobi"/>
    <s v="High"/>
    <d v="2023-07-01T00:00:00"/>
    <d v="2023-01-01T00:00:00"/>
    <n v="6"/>
    <n v="1"/>
  </r>
  <r>
    <s v="ORD-2023-261081"/>
    <d v="2023-07-24T00:00:00"/>
    <d v="2023-08-19T00:00:00"/>
    <n v="26"/>
    <x v="3"/>
    <x v="7"/>
    <s v="Nairobi"/>
    <s v="Enterprise"/>
    <x v="3"/>
    <s v="M. Rossi"/>
    <x v="5"/>
    <s v="ACC-1238"/>
    <n v="661.45"/>
    <n v="1634.86"/>
    <n v="1634.86"/>
    <n v="0.56499999999999995"/>
    <n v="24"/>
    <n v="17067.938400000003"/>
    <n v="15874.800000000001"/>
    <n v="1193.1384000000016"/>
    <n v="6.9905244092045793E-2"/>
    <d v="2025-02-21T00:00:00"/>
    <s v="Q3-2023"/>
    <s v="Africa → Kenya → Nairobi"/>
    <s v="Medium"/>
    <d v="2023-07-01T00:00:00"/>
    <d v="2023-01-01T00:00:00"/>
    <n v="6"/>
    <n v="0"/>
  </r>
  <r>
    <s v="ORD-2023-274037"/>
    <d v="2023-08-15T00:00:00"/>
    <d v="2023-08-25T00:00:00"/>
    <n v="10"/>
    <x v="3"/>
    <x v="7"/>
    <s v="Nairobi"/>
    <s v="Small Business"/>
    <x v="4"/>
    <s v="N. Brown"/>
    <x v="2"/>
    <s v="PHN-1234"/>
    <n v="91.85"/>
    <n v="111.29"/>
    <n v="111.29"/>
    <n v="0"/>
    <n v="6"/>
    <n v="667.74"/>
    <n v="551.09999999999991"/>
    <n v="116.6400000000001"/>
    <n v="0.17467876718483258"/>
    <d v="2025-02-15T00:00:00"/>
    <s v="Q3-2023"/>
    <s v="Africa → Kenya → Nairobi"/>
    <s v="Low"/>
    <d v="2023-08-01T00:00:00"/>
    <d v="2023-01-01T00:00:00"/>
    <n v="7"/>
    <n v="0"/>
  </r>
  <r>
    <s v="ORD-2023-755337"/>
    <d v="2023-09-08T00:00:00"/>
    <d v="2023-09-14T00:00:00"/>
    <n v="6"/>
    <x v="3"/>
    <x v="7"/>
    <s v="Nakuru"/>
    <s v="Education"/>
    <x v="2"/>
    <s v="I. Johnson"/>
    <x v="5"/>
    <s v="ACC-4766"/>
    <n v="251.03"/>
    <n v="411.48"/>
    <n v="411.48"/>
    <n v="0.16500000000000001"/>
    <n v="3"/>
    <n v="1030.7574"/>
    <n v="753.09"/>
    <n v="277.66739999999993"/>
    <n v="0.26938191275658069"/>
    <d v="2024-12-17T00:00:00"/>
    <s v="Q3-2023"/>
    <s v="Africa → Kenya → Nakuru"/>
    <s v="Low"/>
    <d v="2023-09-01T00:00:00"/>
    <d v="2023-01-01T00:00:00"/>
    <n v="8"/>
    <n v="1"/>
  </r>
  <r>
    <s v="ORD-2023-378104"/>
    <d v="2023-10-18T00:00:00"/>
    <d v="2023-10-20T00:00:00"/>
    <n v="2"/>
    <x v="3"/>
    <x v="7"/>
    <s v="Kisumu"/>
    <s v="Consumer"/>
    <x v="4"/>
    <s v="J. Njeri"/>
    <x v="2"/>
    <s v="PHN-8891"/>
    <n v="774.12"/>
    <n v="908.3"/>
    <n v="908.3"/>
    <n v="0"/>
    <n v="30"/>
    <n v="27249"/>
    <n v="23223.599999999999"/>
    <n v="4025.4000000000015"/>
    <n v="0.14772652207420461"/>
    <d v="2024-12-15T00:00:00"/>
    <s v="Q4-2023"/>
    <s v="Africa → Kenya → Kisumu"/>
    <s v="Medium"/>
    <d v="2023-10-01T00:00:00"/>
    <d v="2023-01-01T00:00:00"/>
    <n v="9"/>
    <n v="1"/>
  </r>
  <r>
    <s v="ORD-2023-842488"/>
    <d v="2023-10-31T00:00:00"/>
    <d v="2023-11-02T00:00:00"/>
    <n v="2"/>
    <x v="3"/>
    <x v="7"/>
    <s v="Kisumu"/>
    <s v="Education"/>
    <x v="4"/>
    <s v="O. Wang"/>
    <x v="5"/>
    <s v="ACC-4124"/>
    <n v="867.89"/>
    <n v="1349.94"/>
    <n v="1349.94"/>
    <n v="0.184"/>
    <n v="10"/>
    <n v="11015.510400000003"/>
    <n v="8678.9"/>
    <n v="2336.6104000000032"/>
    <n v="0.21212003031652557"/>
    <d v="2024-11-30T00:00:00"/>
    <s v="Q4-2023"/>
    <s v="Africa → Kenya → Kisumu"/>
    <s v="Medium"/>
    <d v="2023-10-01T00:00:00"/>
    <d v="2023-01-01T00:00:00"/>
    <n v="9"/>
    <n v="1"/>
  </r>
  <r>
    <s v="ORD-2023-178249"/>
    <d v="2023-12-29T00:00:00"/>
    <d v="2024-01-20T00:00:00"/>
    <n v="22"/>
    <x v="3"/>
    <x v="7"/>
    <s v="Kisumu"/>
    <s v="Corporate"/>
    <x v="2"/>
    <s v="L. Okafor"/>
    <x v="2"/>
    <s v="PHN-7924"/>
    <n v="1395.49"/>
    <n v="1679.42"/>
    <n v="1679.42"/>
    <n v="0.20300000000000001"/>
    <n v="12"/>
    <n v="16061.972879999999"/>
    <n v="16745.88"/>
    <n v="-683.90712000000167"/>
    <n v="-4.2579272490964493E-2"/>
    <d v="2024-10-13T00:00:00"/>
    <s v="Q4-2023"/>
    <s v="Africa → Kenya → Kisumu"/>
    <s v="High"/>
    <d v="2023-12-01T00:00:00"/>
    <d v="2023-01-01T00:00:00"/>
    <n v="11"/>
    <n v="0"/>
  </r>
  <r>
    <s v="ORD-2024-647571"/>
    <d v="2024-02-06T00:00:00"/>
    <d v="2024-02-28T00:00:00"/>
    <n v="22"/>
    <x v="3"/>
    <x v="7"/>
    <s v="Kisumu"/>
    <s v="Non-Profit"/>
    <x v="1"/>
    <s v="K. Singh"/>
    <x v="0"/>
    <s v="MON-2462"/>
    <n v="834.93"/>
    <n v="1588.53"/>
    <n v="1588.53"/>
    <n v="0.126"/>
    <n v="6"/>
    <n v="8330.2513199999994"/>
    <n v="5009.58"/>
    <n v="3320.6713199999995"/>
    <n v="0.39862798761274343"/>
    <d v="2024-08-10T00:00:00"/>
    <s v="Q1-2024"/>
    <s v="Africa → Kenya → Kisumu"/>
    <s v="Medium"/>
    <d v="2024-02-01T00:00:00"/>
    <d v="2023-01-01T00:00:00"/>
    <n v="13"/>
    <n v="0"/>
  </r>
  <r>
    <s v="ORD-2024-979401"/>
    <d v="2024-02-08T00:00:00"/>
    <d v="2024-02-09T00:00:00"/>
    <n v="1"/>
    <x v="3"/>
    <x v="7"/>
    <s v="Mombasa"/>
    <s v="Corporate"/>
    <x v="2"/>
    <s v="F. Müller"/>
    <x v="1"/>
    <s v="CMP-5911"/>
    <n v="1233.52"/>
    <n v="1543.76"/>
    <n v="1543.76"/>
    <n v="0.126"/>
    <n v="13"/>
    <n v="17540.201120000002"/>
    <n v="16035.76"/>
    <n v="1504.4411200000013"/>
    <n v="8.5771030201277493E-2"/>
    <d v="2024-08-30T00:00:00"/>
    <s v="Q1-2024"/>
    <s v="Africa → Kenya → Mombasa"/>
    <s v="Medium"/>
    <d v="2024-02-01T00:00:00"/>
    <d v="2023-01-01T00:00:00"/>
    <n v="13"/>
    <n v="1"/>
  </r>
  <r>
    <s v="ORD-2024-968374"/>
    <d v="2024-02-11T00:00:00"/>
    <d v="2024-03-03T00:00:00"/>
    <n v="21"/>
    <x v="3"/>
    <x v="7"/>
    <s v="Kisumu"/>
    <s v="Enterprise"/>
    <x v="1"/>
    <s v="B. Chen"/>
    <x v="2"/>
    <s v="PHN-5082"/>
    <n v="516.86"/>
    <n v="852.54"/>
    <n v="852.54"/>
    <n v="5.0999999999999997E-2"/>
    <n v="14"/>
    <n v="11326.846439999999"/>
    <n v="7236.04"/>
    <n v="4090.8064399999994"/>
    <n v="0.36116022775355994"/>
    <d v="2024-09-04T00:00:00"/>
    <s v="Q1-2024"/>
    <s v="Africa → Kenya → Kisumu"/>
    <s v="Medium"/>
    <d v="2024-02-01T00:00:00"/>
    <d v="2023-01-01T00:00:00"/>
    <n v="13"/>
    <n v="0"/>
  </r>
  <r>
    <s v="ORD-2024-201376"/>
    <d v="2024-02-18T00:00:00"/>
    <d v="2024-03-04T00:00:00"/>
    <n v="15"/>
    <x v="3"/>
    <x v="7"/>
    <s v="Kisumu"/>
    <s v="Education"/>
    <x v="2"/>
    <s v="K. Singh"/>
    <x v="3"/>
    <s v="PRN-7089"/>
    <n v="928.68"/>
    <n v="2145.17"/>
    <n v="2145.17"/>
    <n v="0.13600000000000001"/>
    <n v="16"/>
    <n v="29654.83008"/>
    <n v="14858.88"/>
    <n v="14795.950080000001"/>
    <n v="0.49893896003062177"/>
    <d v="2024-07-28T00:00:00"/>
    <s v="Q1-2024"/>
    <s v="Africa → Kenya → Kisumu"/>
    <s v="High"/>
    <d v="2024-02-01T00:00:00"/>
    <d v="2023-01-01T00:00:00"/>
    <n v="13"/>
    <n v="0"/>
  </r>
  <r>
    <s v="ORD-2024-275203"/>
    <d v="2024-03-11T00:00:00"/>
    <d v="2024-04-06T00:00:00"/>
    <n v="26"/>
    <x v="3"/>
    <x v="7"/>
    <s v="Kisumu"/>
    <s v="Corporate"/>
    <x v="4"/>
    <s v="C. Otieno"/>
    <x v="1"/>
    <s v="CMP-8270"/>
    <n v="279.24"/>
    <n v="608.9"/>
    <n v="608.9"/>
    <n v="0.112"/>
    <n v="9"/>
    <n v="4866.3287999999993"/>
    <n v="2513.16"/>
    <n v="2353.1687999999995"/>
    <n v="0.48356140670149533"/>
    <d v="2024-06-30T00:00:00"/>
    <s v="Q1-2024"/>
    <s v="Africa → Kenya → Kisumu"/>
    <s v="Low"/>
    <d v="2024-03-01T00:00:00"/>
    <d v="2023-01-01T00:00:00"/>
    <n v="14"/>
    <n v="0"/>
  </r>
  <r>
    <s v="ORD-2024-364080"/>
    <d v="2024-04-16T00:00:00"/>
    <d v="2024-04-27T00:00:00"/>
    <n v="11"/>
    <x v="3"/>
    <x v="7"/>
    <s v="Nakuru"/>
    <s v="Enterprise"/>
    <x v="1"/>
    <s v="D. Smith"/>
    <x v="3"/>
    <s v="PRN-2641"/>
    <n v="401.3"/>
    <n v="826.47"/>
    <n v="826.47"/>
    <n v="0.22500000000000001"/>
    <n v="13"/>
    <n v="8326.6852500000005"/>
    <n v="5216.9000000000005"/>
    <n v="3109.7852499999999"/>
    <n v="0.37347217489696755"/>
    <d v="2024-06-05T00:00:00"/>
    <s v="Q2-2024"/>
    <s v="Africa → Kenya → Nakuru"/>
    <s v="Medium"/>
    <d v="2024-04-01T00:00:00"/>
    <d v="2023-01-01T00:00:00"/>
    <n v="15"/>
    <n v="0"/>
  </r>
  <r>
    <s v="ORD-2024-833375"/>
    <d v="2024-04-24T00:00:00"/>
    <d v="2024-05-10T00:00:00"/>
    <n v="16"/>
    <x v="3"/>
    <x v="7"/>
    <s v="Kisumu"/>
    <s v="Non-Profit"/>
    <x v="1"/>
    <s v="N. Brown"/>
    <x v="0"/>
    <s v="MON-6190"/>
    <n v="513.30999999999995"/>
    <n v="1186.26"/>
    <n v="1186.26"/>
    <n v="9.4E-2"/>
    <n v="15"/>
    <n v="16121.273400000002"/>
    <n v="7699.65"/>
    <n v="8421.6234000000022"/>
    <n v="0.52239194702820446"/>
    <d v="2024-05-27T00:00:00"/>
    <s v="Q2-2024"/>
    <s v="Africa → Kenya → Kisumu"/>
    <s v="Medium"/>
    <d v="2024-04-01T00:00:00"/>
    <d v="2023-01-01T00:00:00"/>
    <n v="15"/>
    <n v="0"/>
  </r>
  <r>
    <s v="ORD-2024-555229"/>
    <d v="2024-05-18T00:00:00"/>
    <d v="2024-05-22T00:00:00"/>
    <n v="4"/>
    <x v="3"/>
    <x v="7"/>
    <s v="Nairobi"/>
    <s v="Corporate"/>
    <x v="2"/>
    <s v="H. Kim"/>
    <x v="5"/>
    <s v="ACC-7354"/>
    <n v="857.42"/>
    <n v="1658.92"/>
    <n v="1658.92"/>
    <n v="0.122"/>
    <n v="9"/>
    <n v="13108.78584"/>
    <n v="7716.78"/>
    <n v="5392.0058400000007"/>
    <n v="0.41132763215544305"/>
    <d v="2024-05-04T00:00:00"/>
    <s v="Q2-2024"/>
    <s v="Africa → Kenya → Nairobi"/>
    <s v="High"/>
    <d v="2024-05-01T00:00:00"/>
    <d v="2023-01-01T00:00:00"/>
    <n v="16"/>
    <n v="1"/>
  </r>
  <r>
    <s v="ORD-2024-819778"/>
    <d v="2024-06-02T00:00:00"/>
    <d v="2024-06-15T00:00:00"/>
    <n v="13"/>
    <x v="3"/>
    <x v="7"/>
    <s v="Mombasa"/>
    <s v="Education"/>
    <x v="1"/>
    <s v="O. Wang"/>
    <x v="2"/>
    <s v="PHN-6866"/>
    <n v="1295.18"/>
    <n v="3024.03"/>
    <n v="3024.03"/>
    <n v="0.192"/>
    <n v="8"/>
    <n v="19547.329920000004"/>
    <n v="10361.44"/>
    <n v="9185.8899200000033"/>
    <n v="0.46993067378483178"/>
    <d v="2024-05-10T00:00:00"/>
    <s v="Q2-2024"/>
    <s v="Africa → Kenya → Mombasa"/>
    <s v="High"/>
    <d v="2024-06-01T00:00:00"/>
    <d v="2023-01-01T00:00:00"/>
    <n v="17"/>
    <n v="0"/>
  </r>
  <r>
    <s v="ORD-2024-166150"/>
    <d v="2024-06-02T00:00:00"/>
    <d v="2024-06-08T00:00:00"/>
    <n v="6"/>
    <x v="3"/>
    <x v="7"/>
    <s v="Kisumu"/>
    <s v="Consumer"/>
    <x v="0"/>
    <s v="A. Patel"/>
    <x v="5"/>
    <s v="ACC-9820"/>
    <n v="292.94"/>
    <n v="356.55"/>
    <n v="356.55"/>
    <n v="0.22900000000000001"/>
    <n v="2"/>
    <n v="549.80010000000004"/>
    <n v="585.88"/>
    <n v="-36.079899999999952"/>
    <n v="-6.5623669402751925E-2"/>
    <d v="2024-05-01T00:00:00"/>
    <s v="Q2-2024"/>
    <s v="Africa → Kenya → Kisumu"/>
    <s v="Low"/>
    <d v="2024-06-01T00:00:00"/>
    <d v="2023-01-01T00:00:00"/>
    <n v="17"/>
    <n v="1"/>
  </r>
  <r>
    <s v="ORD-2024-713332"/>
    <d v="2024-06-05T00:00:00"/>
    <d v="2024-06-23T00:00:00"/>
    <n v="18"/>
    <x v="3"/>
    <x v="7"/>
    <s v="Nairobi"/>
    <s v="Consumer"/>
    <x v="3"/>
    <s v="D. Smith"/>
    <x v="6"/>
    <s v="LAP-1739"/>
    <n v="1208.74"/>
    <n v="1594.78"/>
    <n v="1594.78"/>
    <n v="5.8999999999999997E-2"/>
    <n v="39"/>
    <n v="58526.83122"/>
    <n v="47140.86"/>
    <n v="11385.971219999999"/>
    <n v="0.1945427589817838"/>
    <d v="2024-04-18T00:00:00"/>
    <s v="Q2-2024"/>
    <s v="Africa → Kenya → Nairobi"/>
    <s v="Medium"/>
    <d v="2024-06-01T00:00:00"/>
    <d v="2023-01-01T00:00:00"/>
    <n v="17"/>
    <n v="0"/>
  </r>
  <r>
    <s v="ORD-2024-878493"/>
    <d v="2024-06-19T00:00:00"/>
    <d v="2024-06-20T00:00:00"/>
    <n v="1"/>
    <x v="3"/>
    <x v="7"/>
    <s v="Kisumu"/>
    <s v="Small Business"/>
    <x v="2"/>
    <s v="J. Njeri"/>
    <x v="6"/>
    <s v="LAP-4607"/>
    <n v="231.63"/>
    <n v="537.39"/>
    <n v="537.39"/>
    <n v="0.08"/>
    <n v="12"/>
    <n v="5932.7856000000002"/>
    <n v="2779.56"/>
    <n v="3153.2256000000002"/>
    <n v="0.53149158129024587"/>
    <d v="2024-03-16T00:00:00"/>
    <s v="Q2-2024"/>
    <s v="Africa → Kenya → Kisumu"/>
    <s v="Low"/>
    <d v="2024-06-01T00:00:00"/>
    <d v="2023-01-01T00:00:00"/>
    <n v="17"/>
    <n v="1"/>
  </r>
  <r>
    <s v="ORD-2024-341535"/>
    <d v="2024-06-25T00:00:00"/>
    <d v="2024-06-30T00:00:00"/>
    <n v="5"/>
    <x v="3"/>
    <x v="7"/>
    <s v="Kisumu"/>
    <s v="Education"/>
    <x v="2"/>
    <s v="M. Rossi"/>
    <x v="4"/>
    <s v="NET-5987"/>
    <n v="1323.55"/>
    <n v="3230.35"/>
    <n v="3230.35"/>
    <n v="2.1999999999999999E-2"/>
    <n v="26"/>
    <n v="82141.339799999987"/>
    <n v="34412.299999999996"/>
    <n v="47729.039799999991"/>
    <n v="0.58105991351263542"/>
    <d v="2024-03-15T00:00:00"/>
    <s v="Q2-2024"/>
    <s v="Africa → Kenya → Kisumu"/>
    <s v="High"/>
    <d v="2024-06-01T00:00:00"/>
    <d v="2023-01-01T00:00:00"/>
    <n v="17"/>
    <n v="1"/>
  </r>
  <r>
    <s v="ORD-2024-442776"/>
    <d v="2024-06-30T00:00:00"/>
    <d v="2024-07-21T00:00:00"/>
    <n v="21"/>
    <x v="3"/>
    <x v="7"/>
    <s v="Kisumu"/>
    <s v="Small Business"/>
    <x v="4"/>
    <s v="K. Singh"/>
    <x v="6"/>
    <s v="LAP-6577"/>
    <n v="753.43"/>
    <n v="1787.2"/>
    <n v="1787.2"/>
    <n v="7.2999999999999995E-2"/>
    <n v="9"/>
    <n v="14910.609600000002"/>
    <n v="6780.87"/>
    <n v="8129.7396000000017"/>
    <n v="0.54523187301476939"/>
    <d v="2024-03-13T00:00:00"/>
    <s v="Q2-2024"/>
    <s v="Africa → Kenya → Kisumu"/>
    <s v="High"/>
    <d v="2024-06-01T00:00:00"/>
    <d v="2023-01-01T00:00:00"/>
    <n v="17"/>
    <n v="0"/>
  </r>
  <r>
    <s v="ORD-2024-855073"/>
    <d v="2024-07-19T00:00:00"/>
    <d v="2024-07-19T00:00:00"/>
    <n v="0"/>
    <x v="3"/>
    <x v="7"/>
    <s v="Kisumu"/>
    <s v="Small Business"/>
    <x v="4"/>
    <s v="A. Patel"/>
    <x v="2"/>
    <s v="PHN-6854"/>
    <n v="857.24"/>
    <n v="758.23"/>
    <n v="758.23"/>
    <n v="0.125"/>
    <n v="6"/>
    <n v="3980.7075"/>
    <n v="5143.4400000000005"/>
    <n v="-1162.7325000000005"/>
    <n v="-0.29209192084572921"/>
    <d v="2024-03-06T00:00:00"/>
    <s v="Q3-2024"/>
    <s v="Africa → Kenya → Kisumu"/>
    <s v="Low"/>
    <d v="2024-07-01T00:00:00"/>
    <d v="2023-01-01T00:00:00"/>
    <n v="18"/>
    <n v="1"/>
  </r>
  <r>
    <s v="ORD-2024-798002"/>
    <d v="2024-07-24T00:00:00"/>
    <d v="2024-07-25T00:00:00"/>
    <n v="1"/>
    <x v="3"/>
    <x v="7"/>
    <s v="Mombasa"/>
    <s v="Non-Profit"/>
    <x v="2"/>
    <s v="J. Njeri"/>
    <x v="6"/>
    <s v="LAP-9815"/>
    <n v="1494.4"/>
    <n v="3661.07"/>
    <n v="3661.07"/>
    <n v="7.1999999999999995E-2"/>
    <n v="7"/>
    <n v="23782.310720000001"/>
    <n v="10460.800000000001"/>
    <n v="13321.51072"/>
    <n v="0.56014366630897339"/>
    <d v="2024-03-07T00:00:00"/>
    <s v="Q3-2024"/>
    <s v="Africa → Kenya → Mombasa"/>
    <s v="High"/>
    <d v="2024-07-01T00:00:00"/>
    <d v="2023-01-01T00:00:00"/>
    <n v="18"/>
    <n v="1"/>
  </r>
  <r>
    <s v="ORD-2024-689872"/>
    <d v="2024-08-03T00:00:00"/>
    <d v="2024-08-09T00:00:00"/>
    <n v="6"/>
    <x v="3"/>
    <x v="7"/>
    <s v="Mombasa"/>
    <s v="Consumer"/>
    <x v="0"/>
    <s v="H. Kim"/>
    <x v="6"/>
    <s v="LAP-1969"/>
    <n v="643.21"/>
    <n v="1112.81"/>
    <n v="1112.81"/>
    <n v="0.14099999999999999"/>
    <n v="4"/>
    <n v="3823.6151599999998"/>
    <n v="2572.84"/>
    <n v="1250.7751599999997"/>
    <n v="0.32711847496702562"/>
    <d v="2024-03-04T00:00:00"/>
    <s v="Q3-2024"/>
    <s v="Africa → Kenya → Mombasa"/>
    <s v="Medium"/>
    <d v="2024-08-01T00:00:00"/>
    <d v="2023-01-01T00:00:00"/>
    <n v="19"/>
    <n v="1"/>
  </r>
  <r>
    <s v="ORD-2024-687100"/>
    <d v="2024-09-10T00:00:00"/>
    <d v="2024-10-07T00:00:00"/>
    <n v="27"/>
    <x v="3"/>
    <x v="7"/>
    <s v="Kisumu"/>
    <s v="Consumer"/>
    <x v="4"/>
    <s v="L. Okafor"/>
    <x v="3"/>
    <s v="PRN-6068"/>
    <n v="1248.3900000000001"/>
    <n v="1805.11"/>
    <n v="1805.11"/>
    <n v="0.20300000000000001"/>
    <n v="11"/>
    <n v="15825.399369999997"/>
    <n v="13732.29"/>
    <n v="2093.1093699999965"/>
    <n v="0.13226265707820786"/>
    <d v="2024-01-27T00:00:00"/>
    <s v="Q3-2024"/>
    <s v="Africa → Kenya → Kisumu"/>
    <s v="High"/>
    <d v="2024-09-01T00:00:00"/>
    <d v="2023-01-01T00:00:00"/>
    <n v="20"/>
    <n v="0"/>
  </r>
  <r>
    <s v="ORD-2024-805860"/>
    <d v="2024-09-13T00:00:00"/>
    <d v="2024-10-02T00:00:00"/>
    <n v="19"/>
    <x v="3"/>
    <x v="7"/>
    <s v="Mombasa"/>
    <s v="Small Business"/>
    <x v="4"/>
    <s v="M. Rossi"/>
    <x v="2"/>
    <s v="PHN-8804"/>
    <n v="1338.99"/>
    <n v="1765.76"/>
    <n v="1765.76"/>
    <n v="0.126"/>
    <n v="24"/>
    <n v="37038.581760000001"/>
    <n v="32135.760000000002"/>
    <n v="4902.8217599999989"/>
    <n v="0.1323706666677725"/>
    <d v="2024-01-25T00:00:00"/>
    <s v="Q3-2024"/>
    <s v="Africa → Kenya → Mombasa"/>
    <s v="High"/>
    <d v="2024-09-01T00:00:00"/>
    <d v="2023-01-01T00:00:00"/>
    <n v="20"/>
    <n v="0"/>
  </r>
  <r>
    <s v="ORD-2024-998320"/>
    <d v="2024-10-25T00:00:00"/>
    <d v="2024-11-14T00:00:00"/>
    <n v="20"/>
    <x v="3"/>
    <x v="7"/>
    <s v="Mombasa"/>
    <s v="Corporate"/>
    <x v="2"/>
    <s v="H. Kim"/>
    <x v="3"/>
    <s v="PRN-3143"/>
    <n v="1396.48"/>
    <n v="3204.5"/>
    <n v="3204.5"/>
    <n v="0.318"/>
    <n v="14"/>
    <n v="30596.565999999999"/>
    <n v="19550.72"/>
    <n v="11045.845999999998"/>
    <n v="0.36101587348070363"/>
    <d v="2023-12-06T00:00:00"/>
    <s v="Q4-2024"/>
    <s v="Africa → Kenya → Mombasa"/>
    <s v="High"/>
    <d v="2024-10-01T00:00:00"/>
    <d v="2023-01-01T00:00:00"/>
    <n v="21"/>
    <n v="0"/>
  </r>
  <r>
    <s v="ORD-2024-333192"/>
    <d v="2024-10-29T00:00:00"/>
    <d v="2024-11-04T00:00:00"/>
    <n v="6"/>
    <x v="3"/>
    <x v="7"/>
    <s v="Nairobi"/>
    <s v="Corporate"/>
    <x v="3"/>
    <s v="M. Rossi"/>
    <x v="3"/>
    <s v="PRN-4893"/>
    <n v="805.81"/>
    <n v="1823.04"/>
    <n v="1823.04"/>
    <n v="0"/>
    <n v="11"/>
    <n v="20053.439999999999"/>
    <n v="8863.91"/>
    <n v="11189.529999999999"/>
    <n v="0.55798556257679477"/>
    <d v="2023-12-19T00:00:00"/>
    <s v="Q4-2024"/>
    <s v="Africa → Kenya → Nairobi"/>
    <s v="High"/>
    <d v="2024-10-01T00:00:00"/>
    <d v="2023-01-01T00:00:00"/>
    <n v="21"/>
    <n v="1"/>
  </r>
  <r>
    <s v="ORD-2024-320972"/>
    <d v="2024-11-08T00:00:00"/>
    <d v="2024-11-08T00:00:00"/>
    <n v="0"/>
    <x v="3"/>
    <x v="7"/>
    <s v="Nakuru"/>
    <s v="Enterprise"/>
    <x v="0"/>
    <s v="M. Rossi"/>
    <x v="4"/>
    <s v="NET-2628"/>
    <n v="803.28"/>
    <n v="1009"/>
    <n v="1009"/>
    <n v="0.11"/>
    <n v="4"/>
    <n v="3592.04"/>
    <n v="3213.12"/>
    <n v="378.92000000000007"/>
    <n v="0.10548880302001093"/>
    <d v="2023-11-15T00:00:00"/>
    <s v="Q4-2024"/>
    <s v="Africa → Kenya → Nakuru"/>
    <s v="Medium"/>
    <d v="2024-11-01T00:00:00"/>
    <d v="2023-01-01T00:00:00"/>
    <n v="22"/>
    <n v="1"/>
  </r>
  <r>
    <s v="ORD-2024-508213"/>
    <d v="2024-11-22T00:00:00"/>
    <d v="2024-12-15T00:00:00"/>
    <n v="23"/>
    <x v="3"/>
    <x v="7"/>
    <s v="Mombasa"/>
    <s v="Non-Profit"/>
    <x v="3"/>
    <s v="C. Otieno"/>
    <x v="1"/>
    <s v="CMP-3938"/>
    <n v="1335.76"/>
    <n v="2665.91"/>
    <n v="2665.91"/>
    <n v="0.21099999999999999"/>
    <n v="40"/>
    <n v="84136.119600000005"/>
    <n v="53430.400000000001"/>
    <n v="30705.719600000004"/>
    <n v="0.36495288522909253"/>
    <d v="2023-10-25T00:00:00"/>
    <s v="Q4-2024"/>
    <s v="Africa → Kenya → Mombasa"/>
    <s v="High"/>
    <d v="2024-11-01T00:00:00"/>
    <d v="2023-01-01T00:00:00"/>
    <n v="22"/>
    <n v="0"/>
  </r>
  <r>
    <s v="ORD-2024-266562"/>
    <d v="2024-11-27T00:00:00"/>
    <d v="2024-12-24T00:00:00"/>
    <n v="27"/>
    <x v="3"/>
    <x v="7"/>
    <s v="Mombasa"/>
    <s v="Corporate"/>
    <x v="3"/>
    <s v="B. Chen"/>
    <x v="3"/>
    <s v="PRN-5569"/>
    <n v="143.33000000000001"/>
    <n v="233.51"/>
    <n v="233.51"/>
    <n v="0.16300000000000001"/>
    <n v="14"/>
    <n v="2736.27018"/>
    <n v="2006.6200000000001"/>
    <n v="729.65017999999986"/>
    <n v="0.26665867476580835"/>
    <d v="2023-10-30T00:00:00"/>
    <s v="Q4-2024"/>
    <s v="Africa → Kenya → Mombasa"/>
    <s v="Low"/>
    <d v="2024-11-01T00:00:00"/>
    <d v="2023-01-01T00:00:00"/>
    <n v="22"/>
    <n v="0"/>
  </r>
  <r>
    <s v="ORD-2024-331226"/>
    <d v="2024-11-30T00:00:00"/>
    <d v="2024-12-19T00:00:00"/>
    <n v="19"/>
    <x v="3"/>
    <x v="7"/>
    <s v="Kisumu"/>
    <s v="Corporate"/>
    <x v="1"/>
    <s v="L. Okafor"/>
    <x v="2"/>
    <s v="PHN-1919"/>
    <n v="1195.98"/>
    <n v="1841.9"/>
    <n v="1841.9"/>
    <n v="5.5E-2"/>
    <n v="19"/>
    <n v="33071.3145"/>
    <n v="22723.62"/>
    <n v="10347.694500000001"/>
    <n v="0.31289032977506842"/>
    <d v="2023-10-21T00:00:00"/>
    <s v="Q4-2024"/>
    <s v="Africa → Kenya → Kisumu"/>
    <s v="High"/>
    <d v="2024-11-01T00:00:00"/>
    <d v="2023-01-01T00:00:00"/>
    <n v="22"/>
    <n v="0"/>
  </r>
  <r>
    <s v="ORD-2025-146850"/>
    <d v="2025-01-21T00:00:00"/>
    <d v="2025-02-14T00:00:00"/>
    <n v="24"/>
    <x v="3"/>
    <x v="7"/>
    <s v="Nairobi"/>
    <s v="Small Business"/>
    <x v="4"/>
    <s v="J. Njeri"/>
    <x v="5"/>
    <s v="ACC-1659"/>
    <n v="1030.44"/>
    <n v="2562.84"/>
    <n v="2562.84"/>
    <n v="0.14799999999999999"/>
    <n v="13"/>
    <n v="28386.015839999996"/>
    <n v="13395.720000000001"/>
    <n v="14990.295839999995"/>
    <n v="0.52808734852027039"/>
    <d v="2023-08-26T00:00:00"/>
    <s v="Q1-2025"/>
    <s v="Africa → Kenya → Nairobi"/>
    <s v="High"/>
    <d v="2025-01-01T00:00:00"/>
    <d v="2023-01-01T00:00:00"/>
    <n v="24"/>
    <n v="0"/>
  </r>
  <r>
    <s v="ORD-2025-564184"/>
    <d v="2025-01-29T00:00:00"/>
    <d v="2025-02-06T00:00:00"/>
    <n v="8"/>
    <x v="3"/>
    <x v="7"/>
    <s v="Kisumu"/>
    <s v="Education"/>
    <x v="4"/>
    <s v="B. Chen"/>
    <x v="2"/>
    <s v="PHN-1671"/>
    <n v="1445.27"/>
    <n v="2691.45"/>
    <n v="2691.45"/>
    <n v="0"/>
    <n v="9"/>
    <n v="24223.05"/>
    <n v="13007.43"/>
    <n v="11215.619999999999"/>
    <n v="0.46301436028906351"/>
    <d v="2023-08-21T00:00:00"/>
    <s v="Q1-2025"/>
    <s v="Africa → Kenya → Kisumu"/>
    <s v="High"/>
    <d v="2025-01-01T00:00:00"/>
    <d v="2023-01-01T00:00:00"/>
    <n v="24"/>
    <n v="0"/>
  </r>
  <r>
    <s v="ORD-2025-332931"/>
    <d v="2025-02-15T00:00:00"/>
    <d v="2025-03-01T00:00:00"/>
    <n v="14"/>
    <x v="3"/>
    <x v="7"/>
    <s v="Mombasa"/>
    <s v="Education"/>
    <x v="2"/>
    <s v="L. Okafor"/>
    <x v="5"/>
    <s v="ACC-5144"/>
    <n v="1162.8599999999999"/>
    <n v="1447.68"/>
    <n v="1447.68"/>
    <n v="8.6999999999999994E-2"/>
    <n v="12"/>
    <n v="15860.782080000001"/>
    <n v="13954.32"/>
    <n v="1906.4620800000012"/>
    <n v="0.12019975247021369"/>
    <d v="2023-08-08T00:00:00"/>
    <s v="Q1-2025"/>
    <s v="Africa → Kenya → Mombasa"/>
    <s v="Medium"/>
    <d v="2025-02-01T00:00:00"/>
    <d v="2023-01-01T00:00:00"/>
    <n v="25"/>
    <n v="0"/>
  </r>
  <r>
    <s v="ORD-2025-662997"/>
    <d v="2025-03-31T00:00:00"/>
    <d v="2025-04-04T00:00:00"/>
    <n v="4"/>
    <x v="3"/>
    <x v="7"/>
    <s v="Nakuru"/>
    <s v="Corporate"/>
    <x v="2"/>
    <s v="C. Otieno"/>
    <x v="6"/>
    <s v="LAP-7136"/>
    <n v="862.08"/>
    <n v="1952.83"/>
    <n v="1952.83"/>
    <n v="0"/>
    <n v="7"/>
    <n v="13669.81"/>
    <n v="6034.56"/>
    <n v="7635.2499999999991"/>
    <n v="0.5585483631447693"/>
    <d v="2023-07-08T00:00:00"/>
    <s v="Q1-2025"/>
    <s v="Africa → Kenya → Nakuru"/>
    <s v="High"/>
    <d v="2025-03-01T00:00:00"/>
    <d v="2023-01-01T00:00:00"/>
    <n v="26"/>
    <n v="1"/>
  </r>
  <r>
    <s v="ORD-2025-608069"/>
    <d v="2025-04-12T00:00:00"/>
    <d v="2025-04-30T00:00:00"/>
    <n v="18"/>
    <x v="3"/>
    <x v="7"/>
    <s v="Kisumu"/>
    <s v="Corporate"/>
    <x v="0"/>
    <s v="F. Müller"/>
    <x v="4"/>
    <s v="NET-3432"/>
    <n v="1119.04"/>
    <n v="1299.02"/>
    <n v="1299.02"/>
    <n v="2.5000000000000001E-2"/>
    <n v="14"/>
    <n v="17731.623"/>
    <n v="15666.56"/>
    <n v="2065.0630000000001"/>
    <n v="0.11646215352085933"/>
    <d v="2023-06-17T00:00:00"/>
    <s v="Q2-2025"/>
    <s v="Africa → Kenya → Kisumu"/>
    <s v="Medium"/>
    <d v="2025-04-01T00:00:00"/>
    <d v="2023-01-01T00:00:00"/>
    <n v="27"/>
    <n v="0"/>
  </r>
  <r>
    <s v="ORD-2025-762301"/>
    <d v="2025-05-02T00:00:00"/>
    <d v="2025-05-13T00:00:00"/>
    <n v="11"/>
    <x v="3"/>
    <x v="7"/>
    <s v="Nakuru"/>
    <s v="Small Business"/>
    <x v="1"/>
    <s v="A. Patel"/>
    <x v="5"/>
    <s v="ACC-2252"/>
    <n v="1057.5999999999999"/>
    <n v="1437.06"/>
    <n v="1437.06"/>
    <n v="0.20499999999999999"/>
    <n v="4"/>
    <n v="4569.8508000000002"/>
    <n v="4230.3999999999996"/>
    <n v="339.45080000000053"/>
    <n v="7.4280499485891424E-2"/>
    <d v="2023-05-11T00:00:00"/>
    <s v="Q2-2025"/>
    <s v="Africa → Kenya → Nakuru"/>
    <s v="Medium"/>
    <d v="2025-05-01T00:00:00"/>
    <d v="2023-01-01T00:00:00"/>
    <n v="28"/>
    <n v="0"/>
  </r>
  <r>
    <s v="ORD-2025-155182"/>
    <d v="2025-07-11T00:00:00"/>
    <d v="2025-08-03T00:00:00"/>
    <n v="23"/>
    <x v="3"/>
    <x v="7"/>
    <s v="Nakuru"/>
    <s v="Small Business"/>
    <x v="4"/>
    <s v="C. Otieno"/>
    <x v="2"/>
    <s v="PHN-7636"/>
    <n v="389.93"/>
    <n v="486.13"/>
    <n v="486.13"/>
    <n v="0.13200000000000001"/>
    <n v="17"/>
    <n v="7173.3342799999991"/>
    <n v="6628.81"/>
    <n v="544.52427999999873"/>
    <n v="7.5909508569562828E-2"/>
    <d v="2023-04-11T00:00:00"/>
    <s v="Q3-2025"/>
    <s v="Africa → Kenya → Nakuru"/>
    <s v="Low"/>
    <d v="2025-07-01T00:00:00"/>
    <d v="2023-01-01T00:00:00"/>
    <n v="30"/>
    <n v="0"/>
  </r>
  <r>
    <s v="ORD-2025-649633"/>
    <d v="2025-07-19T00:00:00"/>
    <d v="2025-07-31T00:00:00"/>
    <n v="12"/>
    <x v="3"/>
    <x v="7"/>
    <s v="Nairobi"/>
    <s v="Small Business"/>
    <x v="0"/>
    <s v="O. Wang"/>
    <x v="5"/>
    <s v="ACC-1028"/>
    <n v="619.64"/>
    <n v="861.16"/>
    <n v="861.16"/>
    <n v="0.113"/>
    <n v="14"/>
    <n v="10693.88488"/>
    <n v="8674.9599999999991"/>
    <n v="2018.9248800000005"/>
    <n v="0.18879246435276761"/>
    <d v="2023-03-13T00:00:00"/>
    <s v="Q3-2025"/>
    <s v="Africa → Kenya → Nairobi"/>
    <s v="Medium"/>
    <d v="2025-07-01T00:00:00"/>
    <d v="2023-01-01T00:00:00"/>
    <n v="30"/>
    <n v="0"/>
  </r>
  <r>
    <s v="ORD-2025-863978"/>
    <d v="2025-08-07T00:00:00"/>
    <d v="2025-08-19T00:00:00"/>
    <n v="12"/>
    <x v="3"/>
    <x v="7"/>
    <s v="Nakuru"/>
    <s v="Corporate"/>
    <x v="0"/>
    <s v="M. Rossi"/>
    <x v="1"/>
    <s v="CMP-2854"/>
    <n v="601.51"/>
    <n v="679.35"/>
    <n v="679.35"/>
    <n v="0.188"/>
    <n v="3"/>
    <n v="1654.8966000000003"/>
    <n v="1804.53"/>
    <n v="-149.63339999999971"/>
    <n v="-9.0418579626062243E-2"/>
    <d v="2023-02-28T00:00:00"/>
    <s v="Q3-2025"/>
    <s v="Africa → Kenya → Nakuru"/>
    <s v="Low"/>
    <d v="2025-08-01T00:00:00"/>
    <d v="2023-01-01T00:00:00"/>
    <n v="31"/>
    <n v="0"/>
  </r>
  <r>
    <s v="ORD-2025-762212"/>
    <d v="2025-08-25T00:00:00"/>
    <d v="2025-09-24T00:00:00"/>
    <n v="30"/>
    <x v="3"/>
    <x v="7"/>
    <s v="Nairobi"/>
    <s v="Consumer"/>
    <x v="2"/>
    <s v="B. Chen"/>
    <x v="1"/>
    <s v="CMP-4970"/>
    <n v="589.14"/>
    <n v="1300.58"/>
    <n v="1300.58"/>
    <n v="5.5E-2"/>
    <n v="11"/>
    <n v="13519.529099999998"/>
    <n v="6480.54"/>
    <n v="7038.989099999998"/>
    <n v="0.52065342275863724"/>
    <d v="2023-01-30T00:00:00"/>
    <s v="Q3-2025"/>
    <s v="Africa → Kenya → Nairobi"/>
    <s v="Medium"/>
    <d v="2025-08-01T00:00:00"/>
    <d v="2023-01-01T00:00:00"/>
    <n v="31"/>
    <n v="0"/>
  </r>
  <r>
    <s v="ORD-2025-725646"/>
    <d v="2025-09-10T00:00:00"/>
    <d v="2025-09-30T00:00:00"/>
    <n v="20"/>
    <x v="3"/>
    <x v="7"/>
    <s v="Mombasa"/>
    <s v="Corporate"/>
    <x v="2"/>
    <s v="L. Okafor"/>
    <x v="2"/>
    <s v="PHN-6954"/>
    <n v="1009.48"/>
    <n v="1088.81"/>
    <n v="1088.81"/>
    <n v="0.16"/>
    <n v="6"/>
    <n v="5487.6023999999998"/>
    <n v="6056.88"/>
    <n v="-569.27760000000035"/>
    <n v="-0.10373885688219693"/>
    <d v="2023-01-22T00:00:00"/>
    <s v="Q3-2025"/>
    <s v="Africa → Kenya → Mombasa"/>
    <s v="Medium"/>
    <d v="2025-09-01T00:00:00"/>
    <d v="2023-01-01T00:00:00"/>
    <n v="32"/>
    <n v="0"/>
  </r>
  <r>
    <s v="ORD-2025-244832"/>
    <d v="2025-09-11T00:00:00"/>
    <d v="2025-09-28T00:00:00"/>
    <n v="17"/>
    <x v="3"/>
    <x v="7"/>
    <s v="Nairobi"/>
    <s v="Non-Profit"/>
    <x v="3"/>
    <s v="J. Njeri"/>
    <x v="6"/>
    <s v="LAP-3278"/>
    <n v="891.46"/>
    <n v="728.61"/>
    <n v="728.61"/>
    <n v="0.185"/>
    <n v="6"/>
    <n v="3562.9028999999996"/>
    <n v="5348.76"/>
    <n v="-1785.8571000000006"/>
    <n v="-0.50123653383874167"/>
    <d v="2023-01-10T00:00:00"/>
    <s v="Q3-2025"/>
    <s v="Africa → Kenya → Nairobi"/>
    <s v="Low"/>
    <d v="2025-09-01T00:00:00"/>
    <d v="2023-01-01T00:00:00"/>
    <n v="32"/>
    <n v="0"/>
  </r>
  <r>
    <s v="ORD-2023-112666"/>
    <d v="2023-01-13T00:00:00"/>
    <d v="2023-01-15T00:00:00"/>
    <n v="2"/>
    <x v="3"/>
    <x v="8"/>
    <s v="Abuja"/>
    <s v="Education"/>
    <x v="1"/>
    <s v="O. Wang"/>
    <x v="3"/>
    <s v="PRN-6276"/>
    <n v="28.38"/>
    <n v="47.22"/>
    <n v="47.22"/>
    <n v="0.19400000000000001"/>
    <n v="18"/>
    <n v="685.06776000000002"/>
    <n v="510.84"/>
    <n v="174.22776000000005"/>
    <n v="0.25432193743871417"/>
    <d v="2025-09-14T00:00:00"/>
    <s v="Q1-2023"/>
    <s v="Africa → Nigeria → Abuja"/>
    <s v="Low"/>
    <d v="2023-01-01T00:00:00"/>
    <d v="2023-01-01T00:00:00"/>
    <n v="0"/>
    <n v="1"/>
  </r>
  <r>
    <s v="ORD-2023-960380"/>
    <d v="2023-02-11T00:00:00"/>
    <d v="2023-02-12T00:00:00"/>
    <n v="1"/>
    <x v="3"/>
    <x v="8"/>
    <s v="Port Harcourt"/>
    <s v="Non-Profit"/>
    <x v="2"/>
    <s v="D. Smith"/>
    <x v="5"/>
    <s v="ACC-8242"/>
    <n v="944.61"/>
    <n v="839.04"/>
    <n v="839.04"/>
    <n v="5.8999999999999997E-2"/>
    <n v="6"/>
    <n v="4737.2198399999997"/>
    <n v="5667.66"/>
    <n v="-930.44016000000011"/>
    <n v="-0.19641059343363726"/>
    <d v="2025-08-28T00:00:00"/>
    <s v="Q1-2023"/>
    <s v="Africa → Nigeria → Port Harcourt"/>
    <s v="Medium"/>
    <d v="2023-02-01T00:00:00"/>
    <d v="2023-01-01T00:00:00"/>
    <n v="1"/>
    <n v="1"/>
  </r>
  <r>
    <s v="ORD-2023-545150"/>
    <d v="2023-04-06T00:00:00"/>
    <d v="2023-04-08T00:00:00"/>
    <n v="2"/>
    <x v="3"/>
    <x v="8"/>
    <s v="Abuja"/>
    <s v="Small Business"/>
    <x v="0"/>
    <s v="K. Singh"/>
    <x v="0"/>
    <s v="MON-4373"/>
    <n v="720.35"/>
    <n v="1571.66"/>
    <n v="1571.66"/>
    <n v="0.107"/>
    <n v="23"/>
    <n v="32280.32474"/>
    <n v="16568.05"/>
    <n v="15712.274740000001"/>
    <n v="0.4867446305622265"/>
    <d v="2025-06-24T00:00:00"/>
    <s v="Q2-2023"/>
    <s v="Africa → Nigeria → Abuja"/>
    <s v="Medium"/>
    <d v="2023-04-01T00:00:00"/>
    <d v="2023-01-01T00:00:00"/>
    <n v="3"/>
    <n v="1"/>
  </r>
  <r>
    <s v="ORD-2023-125739"/>
    <d v="2023-05-01T00:00:00"/>
    <d v="2023-05-18T00:00:00"/>
    <n v="17"/>
    <x v="3"/>
    <x v="8"/>
    <s v="Port Harcourt"/>
    <s v="Corporate"/>
    <x v="2"/>
    <s v="F. Müller"/>
    <x v="1"/>
    <s v="CMP-5633"/>
    <n v="327.97"/>
    <n v="299.94"/>
    <n v="299.94"/>
    <n v="4.9000000000000002E-2"/>
    <n v="3"/>
    <n v="855.72881999999993"/>
    <n v="983.91000000000008"/>
    <n v="-128.18118000000015"/>
    <n v="-0.14979182306843442"/>
    <d v="2025-06-03T00:00:00"/>
    <s v="Q2-2023"/>
    <s v="Africa → Nigeria → Port Harcourt"/>
    <s v="Low"/>
    <d v="2023-05-01T00:00:00"/>
    <d v="2023-01-01T00:00:00"/>
    <n v="4"/>
    <n v="0"/>
  </r>
  <r>
    <s v="ORD-2023-898009"/>
    <d v="2023-05-04T00:00:00"/>
    <d v="2023-05-16T00:00:00"/>
    <n v="12"/>
    <x v="3"/>
    <x v="8"/>
    <s v="Abuja"/>
    <s v="Small Business"/>
    <x v="0"/>
    <s v="J. Njeri"/>
    <x v="2"/>
    <s v="PHN-1670"/>
    <n v="77.739999999999995"/>
    <n v="147.12"/>
    <n v="147.12"/>
    <n v="0"/>
    <n v="15"/>
    <n v="2206.8000000000002"/>
    <n v="1166.0999999999999"/>
    <n v="1040.7000000000003"/>
    <n v="0.47158781946710177"/>
    <d v="2025-05-15T00:00:00"/>
    <s v="Q2-2023"/>
    <s v="Africa → Nigeria → Abuja"/>
    <s v="Low"/>
    <d v="2023-05-01T00:00:00"/>
    <d v="2023-01-01T00:00:00"/>
    <n v="4"/>
    <n v="0"/>
  </r>
  <r>
    <s v="ORD-2023-632893"/>
    <d v="2023-05-05T00:00:00"/>
    <d v="2023-05-07T00:00:00"/>
    <n v="2"/>
    <x v="3"/>
    <x v="8"/>
    <s v="Port Harcourt"/>
    <s v="Non-Profit"/>
    <x v="0"/>
    <s v="A. Patel"/>
    <x v="1"/>
    <s v="CMP-9392"/>
    <n v="1269.6500000000001"/>
    <n v="2462.77"/>
    <n v="2462.77"/>
    <n v="0.107"/>
    <n v="8"/>
    <n v="17594.028880000002"/>
    <n v="10157.200000000001"/>
    <n v="7436.8288800000009"/>
    <n v="0.42269050089225502"/>
    <d v="2025-05-17T00:00:00"/>
    <s v="Q2-2023"/>
    <s v="Africa → Nigeria → Port Harcourt"/>
    <s v="High"/>
    <d v="2023-05-01T00:00:00"/>
    <d v="2023-01-01T00:00:00"/>
    <n v="4"/>
    <n v="1"/>
  </r>
  <r>
    <s v="ORD-2023-638181"/>
    <d v="2023-05-20T00:00:00"/>
    <d v="2023-06-07T00:00:00"/>
    <n v="18"/>
    <x v="3"/>
    <x v="8"/>
    <s v="Port Harcourt"/>
    <s v="Enterprise"/>
    <x v="3"/>
    <s v="E. Garcia"/>
    <x v="1"/>
    <s v="CMP-4630"/>
    <n v="1120.06"/>
    <n v="2068.21"/>
    <n v="2068.21"/>
    <n v="7.8E-2"/>
    <n v="12"/>
    <n v="22882.675440000003"/>
    <n v="13440.72"/>
    <n v="9441.9554400000034"/>
    <n v="0.41262462795303284"/>
    <d v="2025-04-27T00:00:00"/>
    <s v="Q2-2023"/>
    <s v="Africa → Nigeria → Port Harcourt"/>
    <s v="High"/>
    <d v="2023-05-01T00:00:00"/>
    <d v="2023-01-01T00:00:00"/>
    <n v="4"/>
    <n v="0"/>
  </r>
  <r>
    <s v="ORD-2023-128295"/>
    <d v="2023-06-23T00:00:00"/>
    <d v="2023-07-03T00:00:00"/>
    <n v="10"/>
    <x v="3"/>
    <x v="8"/>
    <s v="Abuja"/>
    <s v="Consumer"/>
    <x v="1"/>
    <s v="J. Njeri"/>
    <x v="3"/>
    <s v="PRN-2542"/>
    <n v="337.75"/>
    <n v="548.89"/>
    <n v="548.89"/>
    <n v="0"/>
    <n v="13"/>
    <n v="7135.57"/>
    <n v="4390.75"/>
    <n v="2744.8199999999997"/>
    <n v="0.38466723751571352"/>
    <d v="2025-04-09T00:00:00"/>
    <s v="Q2-2023"/>
    <s v="Africa → Nigeria → Abuja"/>
    <s v="Low"/>
    <d v="2023-06-01T00:00:00"/>
    <d v="2023-01-01T00:00:00"/>
    <n v="5"/>
    <n v="0"/>
  </r>
  <r>
    <s v="ORD-2023-159821"/>
    <d v="2023-07-01T00:00:00"/>
    <d v="2023-07-08T00:00:00"/>
    <n v="7"/>
    <x v="3"/>
    <x v="8"/>
    <s v="Port Harcourt"/>
    <s v="Corporate"/>
    <x v="4"/>
    <s v="A. Patel"/>
    <x v="6"/>
    <s v="LAP-3904"/>
    <n v="834.26"/>
    <n v="1780.56"/>
    <n v="1780.56"/>
    <n v="1.4E-2"/>
    <n v="47"/>
    <n v="82514.711519999997"/>
    <n v="39210.22"/>
    <n v="43304.491519999996"/>
    <n v="0.5248093427497933"/>
    <d v="2025-03-30T00:00:00"/>
    <s v="Q3-2023"/>
    <s v="Africa → Nigeria → Port Harcourt"/>
    <s v="High"/>
    <d v="2023-07-01T00:00:00"/>
    <d v="2023-01-01T00:00:00"/>
    <n v="6"/>
    <n v="1"/>
  </r>
  <r>
    <s v="ORD-2023-479747"/>
    <d v="2023-07-14T00:00:00"/>
    <d v="2023-07-14T00:00:00"/>
    <n v="0"/>
    <x v="3"/>
    <x v="8"/>
    <s v="Lagos"/>
    <s v="Education"/>
    <x v="4"/>
    <s v="I. Johnson"/>
    <x v="5"/>
    <s v="ACC-5334"/>
    <n v="956.38"/>
    <n v="1454.22"/>
    <n v="1454.22"/>
    <n v="3.9E-2"/>
    <n v="19"/>
    <n v="26552.60298"/>
    <n v="18171.22"/>
    <n v="8381.3829799999985"/>
    <n v="0.31565202802576603"/>
    <d v="2025-03-11T00:00:00"/>
    <s v="Q3-2023"/>
    <s v="Africa → Nigeria → Lagos"/>
    <s v="Medium"/>
    <d v="2023-07-01T00:00:00"/>
    <d v="2023-01-01T00:00:00"/>
    <n v="6"/>
    <n v="1"/>
  </r>
  <r>
    <s v="ORD-2023-660608"/>
    <d v="2023-07-25T00:00:00"/>
    <d v="2023-08-10T00:00:00"/>
    <n v="16"/>
    <x v="3"/>
    <x v="8"/>
    <s v="Port Harcourt"/>
    <s v="Corporate"/>
    <x v="3"/>
    <s v="I. Johnson"/>
    <x v="5"/>
    <s v="ACC-8178"/>
    <n v="506.83"/>
    <n v="441.74"/>
    <n v="441.74"/>
    <n v="0.24"/>
    <n v="9"/>
    <n v="3021.5016000000001"/>
    <n v="4561.47"/>
    <n v="-1539.9684000000002"/>
    <n v="-0.50966989393618067"/>
    <d v="2025-02-16T00:00:00"/>
    <s v="Q3-2023"/>
    <s v="Africa → Nigeria → Port Harcourt"/>
    <s v="Low"/>
    <d v="2023-07-01T00:00:00"/>
    <d v="2023-01-01T00:00:00"/>
    <n v="6"/>
    <n v="0"/>
  </r>
  <r>
    <s v="ORD-2023-334213"/>
    <d v="2023-08-19T00:00:00"/>
    <d v="2023-08-23T00:00:00"/>
    <n v="4"/>
    <x v="3"/>
    <x v="8"/>
    <s v="Abuja"/>
    <s v="Small Business"/>
    <x v="1"/>
    <s v="J. Njeri"/>
    <x v="0"/>
    <s v="MON-5517"/>
    <n v="790.63"/>
    <n v="1382.31"/>
    <n v="1382.31"/>
    <n v="0.10100000000000001"/>
    <n v="7"/>
    <n v="8698.8768300000011"/>
    <n v="5534.41"/>
    <n v="3164.4668300000012"/>
    <n v="0.36377878338116448"/>
    <d v="2025-01-21T00:00:00"/>
    <s v="Q3-2023"/>
    <s v="Africa → Nigeria → Abuja"/>
    <s v="Medium"/>
    <d v="2023-08-01T00:00:00"/>
    <d v="2023-01-01T00:00:00"/>
    <n v="7"/>
    <n v="1"/>
  </r>
  <r>
    <s v="ORD-2023-732585"/>
    <d v="2023-08-25T00:00:00"/>
    <d v="2023-09-16T00:00:00"/>
    <n v="22"/>
    <x v="3"/>
    <x v="8"/>
    <s v="Abuja"/>
    <s v="Corporate"/>
    <x v="0"/>
    <s v="L. Okafor"/>
    <x v="2"/>
    <s v="PHN-3971"/>
    <n v="1196.83"/>
    <n v="2513.5100000000002"/>
    <n v="2513.5100000000002"/>
    <n v="8.3000000000000004E-2"/>
    <n v="7"/>
    <n v="16134.22069"/>
    <n v="8377.81"/>
    <n v="7756.4106900000006"/>
    <n v="0.48074281609445374"/>
    <d v="2025-01-10T00:00:00"/>
    <s v="Q3-2023"/>
    <s v="Africa → Nigeria → Abuja"/>
    <s v="High"/>
    <d v="2023-08-01T00:00:00"/>
    <d v="2023-01-01T00:00:00"/>
    <n v="7"/>
    <n v="0"/>
  </r>
  <r>
    <s v="ORD-2023-502205"/>
    <d v="2023-10-09T00:00:00"/>
    <d v="2023-10-11T00:00:00"/>
    <n v="2"/>
    <x v="3"/>
    <x v="8"/>
    <s v="Port Harcourt"/>
    <s v="Education"/>
    <x v="0"/>
    <s v="K. Singh"/>
    <x v="4"/>
    <s v="NET-8856"/>
    <n v="391.16"/>
    <n v="902.47"/>
    <n v="902.47"/>
    <n v="4.0000000000000001E-3"/>
    <n v="12"/>
    <n v="10786.32144"/>
    <n v="4693.92"/>
    <n v="6092.4014399999996"/>
    <n v="0.56482661618139207"/>
    <d v="2024-12-21T00:00:00"/>
    <s v="Q4-2023"/>
    <s v="Africa → Nigeria → Port Harcourt"/>
    <s v="Medium"/>
    <d v="2023-10-01T00:00:00"/>
    <d v="2023-01-01T00:00:00"/>
    <n v="9"/>
    <n v="1"/>
  </r>
  <r>
    <s v="ORD-2023-208944"/>
    <d v="2023-12-21T00:00:00"/>
    <d v="2024-01-06T00:00:00"/>
    <n v="16"/>
    <x v="3"/>
    <x v="8"/>
    <s v="Port Harcourt"/>
    <s v="Corporate"/>
    <x v="0"/>
    <s v="K. Singh"/>
    <x v="1"/>
    <s v="CMP-4792"/>
    <n v="932.61"/>
    <n v="1982.98"/>
    <n v="1982.98"/>
    <n v="0.14399999999999999"/>
    <n v="16"/>
    <n v="27158.894079999998"/>
    <n v="14921.76"/>
    <n v="12237.134079999998"/>
    <n v="0.45057556629345635"/>
    <d v="2024-10-17T00:00:00"/>
    <s v="Q4-2023"/>
    <s v="Africa → Nigeria → Port Harcourt"/>
    <s v="High"/>
    <d v="2023-12-01T00:00:00"/>
    <d v="2023-01-01T00:00:00"/>
    <n v="11"/>
    <n v="0"/>
  </r>
  <r>
    <s v="ORD-2024-853298"/>
    <d v="2024-03-06T00:00:00"/>
    <d v="2024-03-26T00:00:00"/>
    <n v="20"/>
    <x v="3"/>
    <x v="8"/>
    <s v="Port Harcourt"/>
    <s v="Consumer"/>
    <x v="0"/>
    <s v="I. Johnson"/>
    <x v="2"/>
    <s v="PHN-4741"/>
    <n v="65.64"/>
    <n v="151.88"/>
    <n v="151.88"/>
    <n v="0.16700000000000001"/>
    <n v="23"/>
    <n v="2909.8689199999999"/>
    <n v="1509.72"/>
    <n v="1400.1489199999999"/>
    <n v="0.48117250587356353"/>
    <d v="2024-07-18T00:00:00"/>
    <s v="Q1-2024"/>
    <s v="Africa → Nigeria → Port Harcourt"/>
    <s v="Low"/>
    <d v="2024-03-01T00:00:00"/>
    <d v="2023-01-01T00:00:00"/>
    <n v="14"/>
    <n v="0"/>
  </r>
  <r>
    <s v="ORD-2024-243988"/>
    <d v="2024-03-13T00:00:00"/>
    <d v="2024-04-06T00:00:00"/>
    <n v="24"/>
    <x v="3"/>
    <x v="8"/>
    <s v="Abuja"/>
    <s v="Consumer"/>
    <x v="3"/>
    <s v="L. Okafor"/>
    <x v="1"/>
    <s v="CMP-9001"/>
    <n v="1232.78"/>
    <n v="1731.75"/>
    <n v="1731.75"/>
    <n v="9.2999999999999999E-2"/>
    <n v="16"/>
    <n v="25131.155999999999"/>
    <n v="19724.48"/>
    <n v="5406.6759999999995"/>
    <n v="0.21513837246484005"/>
    <d v="2024-07-15T00:00:00"/>
    <s v="Q1-2024"/>
    <s v="Africa → Nigeria → Abuja"/>
    <s v="High"/>
    <d v="2024-03-01T00:00:00"/>
    <d v="2023-01-01T00:00:00"/>
    <n v="14"/>
    <n v="0"/>
  </r>
  <r>
    <s v="ORD-2024-310809"/>
    <d v="2024-04-05T00:00:00"/>
    <d v="2024-04-09T00:00:00"/>
    <n v="4"/>
    <x v="3"/>
    <x v="8"/>
    <s v="Lagos"/>
    <s v="Non-Profit"/>
    <x v="2"/>
    <s v="K. Singh"/>
    <x v="1"/>
    <s v="CMP-6529"/>
    <n v="395.07"/>
    <n v="970.27"/>
    <n v="970.27"/>
    <n v="0.123"/>
    <n v="38"/>
    <n v="32335.21802"/>
    <n v="15012.66"/>
    <n v="17322.55802"/>
    <n v="0.53571799049833657"/>
    <d v="2024-06-23T00:00:00"/>
    <s v="Q2-2024"/>
    <s v="Africa → Nigeria → Lagos"/>
    <s v="Medium"/>
    <d v="2024-04-01T00:00:00"/>
    <d v="2023-01-01T00:00:00"/>
    <n v="15"/>
    <n v="1"/>
  </r>
  <r>
    <s v="ORD-2024-599522"/>
    <d v="2024-04-19T00:00:00"/>
    <d v="2024-05-06T00:00:00"/>
    <n v="17"/>
    <x v="3"/>
    <x v="8"/>
    <s v="Port Harcourt"/>
    <s v="Non-Profit"/>
    <x v="1"/>
    <s v="A. Patel"/>
    <x v="3"/>
    <s v="PRN-7303"/>
    <n v="865.33"/>
    <n v="1395.64"/>
    <n v="1395.64"/>
    <n v="0.17499999999999999"/>
    <n v="13"/>
    <n v="14968.239"/>
    <n v="11249.29"/>
    <n v="3718.9489999999987"/>
    <n v="0.24845601409758347"/>
    <d v="2024-06-19T00:00:00"/>
    <s v="Q2-2024"/>
    <s v="Africa → Nigeria → Port Harcourt"/>
    <s v="Medium"/>
    <d v="2024-04-01T00:00:00"/>
    <d v="2023-01-01T00:00:00"/>
    <n v="15"/>
    <n v="0"/>
  </r>
  <r>
    <s v="ORD-2024-247032"/>
    <d v="2024-04-21T00:00:00"/>
    <d v="2024-05-19T00:00:00"/>
    <n v="28"/>
    <x v="3"/>
    <x v="8"/>
    <s v="Lagos"/>
    <s v="Corporate"/>
    <x v="3"/>
    <s v="A. Patel"/>
    <x v="5"/>
    <s v="ACC-2990"/>
    <n v="187.22"/>
    <n v="309.47000000000003"/>
    <n v="309.47000000000003"/>
    <n v="0"/>
    <n v="5"/>
    <n v="1547.3500000000001"/>
    <n v="936.1"/>
    <n v="611.25000000000011"/>
    <n v="0.39503021294471197"/>
    <d v="2024-05-28T00:00:00"/>
    <s v="Q2-2024"/>
    <s v="Africa → Nigeria → Lagos"/>
    <s v="Low"/>
    <d v="2024-04-01T00:00:00"/>
    <d v="2023-01-01T00:00:00"/>
    <n v="15"/>
    <n v="0"/>
  </r>
  <r>
    <s v="ORD-2024-589570"/>
    <d v="2024-05-04T00:00:00"/>
    <d v="2024-05-29T00:00:00"/>
    <n v="25"/>
    <x v="3"/>
    <x v="8"/>
    <s v="Abuja"/>
    <s v="Non-Profit"/>
    <x v="0"/>
    <s v="O. Wang"/>
    <x v="0"/>
    <s v="MON-6892"/>
    <n v="1295.3399999999999"/>
    <n v="2530.81"/>
    <n v="2530.81"/>
    <n v="3.1E-2"/>
    <n v="6"/>
    <n v="14714.12934"/>
    <n v="7772.0399999999991"/>
    <n v="6942.0893400000004"/>
    <n v="0.4717974933880798"/>
    <d v="2024-06-10T00:00:00"/>
    <s v="Q2-2024"/>
    <s v="Africa → Nigeria → Abuja"/>
    <s v="High"/>
    <d v="2024-05-01T00:00:00"/>
    <d v="2023-01-01T00:00:00"/>
    <n v="16"/>
    <n v="0"/>
  </r>
  <r>
    <s v="ORD-2024-527858"/>
    <d v="2024-05-07T00:00:00"/>
    <d v="2024-05-12T00:00:00"/>
    <n v="5"/>
    <x v="3"/>
    <x v="8"/>
    <s v="Abuja"/>
    <s v="Non-Profit"/>
    <x v="3"/>
    <s v="L. Okafor"/>
    <x v="6"/>
    <s v="LAP-9100"/>
    <n v="1163.99"/>
    <n v="1617.85"/>
    <n v="1617.85"/>
    <n v="0.127"/>
    <n v="14"/>
    <n v="19773.362699999998"/>
    <n v="16295.86"/>
    <n v="3477.5026999999973"/>
    <n v="0.17586804797749436"/>
    <d v="2024-06-02T00:00:00"/>
    <s v="Q2-2024"/>
    <s v="Africa → Nigeria → Abuja"/>
    <s v="Medium"/>
    <d v="2024-05-01T00:00:00"/>
    <d v="2023-01-01T00:00:00"/>
    <n v="16"/>
    <n v="1"/>
  </r>
  <r>
    <s v="ORD-2024-638884"/>
    <d v="2024-05-26T00:00:00"/>
    <d v="2024-05-28T00:00:00"/>
    <n v="2"/>
    <x v="3"/>
    <x v="8"/>
    <s v="Abuja"/>
    <s v="Enterprise"/>
    <x v="1"/>
    <s v="F. Müller"/>
    <x v="5"/>
    <s v="ACC-5177"/>
    <n v="1227.08"/>
    <n v="1896.62"/>
    <n v="1896.62"/>
    <n v="0"/>
    <n v="18"/>
    <n v="34139.159999999996"/>
    <n v="22087.439999999999"/>
    <n v="12051.719999999998"/>
    <n v="0.353017473189147"/>
    <d v="2024-05-18T00:00:00"/>
    <s v="Q2-2024"/>
    <s v="Africa → Nigeria → Abuja"/>
    <s v="High"/>
    <d v="2024-05-01T00:00:00"/>
    <d v="2023-01-01T00:00:00"/>
    <n v="16"/>
    <n v="1"/>
  </r>
  <r>
    <s v="ORD-2024-566589"/>
    <d v="2024-06-11T00:00:00"/>
    <d v="2024-07-09T00:00:00"/>
    <n v="28"/>
    <x v="3"/>
    <x v="8"/>
    <s v="Port Harcourt"/>
    <s v="Corporate"/>
    <x v="0"/>
    <s v="I. Johnson"/>
    <x v="2"/>
    <s v="PHN-2436"/>
    <n v="895.54"/>
    <n v="1045"/>
    <n v="1045"/>
    <n v="0.216"/>
    <n v="15"/>
    <n v="12289.2"/>
    <n v="13433.099999999999"/>
    <n v="-1143.8999999999978"/>
    <n v="-9.3081730299775234E-2"/>
    <d v="2024-03-30T00:00:00"/>
    <s v="Q2-2024"/>
    <s v="Africa → Nigeria → Port Harcourt"/>
    <s v="Medium"/>
    <d v="2024-06-01T00:00:00"/>
    <d v="2023-01-01T00:00:00"/>
    <n v="17"/>
    <n v="0"/>
  </r>
  <r>
    <s v="ORD-2024-787018"/>
    <d v="2024-06-23T00:00:00"/>
    <d v="2024-06-28T00:00:00"/>
    <n v="5"/>
    <x v="3"/>
    <x v="8"/>
    <s v="Port Harcourt"/>
    <s v="Non-Profit"/>
    <x v="2"/>
    <s v="M. Rossi"/>
    <x v="5"/>
    <s v="ACC-7671"/>
    <n v="242.31"/>
    <n v="587.95000000000005"/>
    <n v="587.95000000000005"/>
    <n v="0.22900000000000001"/>
    <n v="6"/>
    <n v="2719.8567000000003"/>
    <n v="1453.8600000000001"/>
    <n v="1265.9967000000001"/>
    <n v="0.46546448568411714"/>
    <d v="2024-03-27T00:00:00"/>
    <s v="Q2-2024"/>
    <s v="Africa → Nigeria → Port Harcourt"/>
    <s v="Low"/>
    <d v="2024-06-01T00:00:00"/>
    <d v="2023-01-01T00:00:00"/>
    <n v="17"/>
    <n v="1"/>
  </r>
  <r>
    <s v="ORD-2024-423853"/>
    <d v="2024-09-03T00:00:00"/>
    <d v="2024-09-08T00:00:00"/>
    <n v="5"/>
    <x v="3"/>
    <x v="8"/>
    <s v="Lagos"/>
    <s v="Small Business"/>
    <x v="2"/>
    <s v="K. Singh"/>
    <x v="3"/>
    <s v="PRN-1141"/>
    <n v="197.63"/>
    <n v="325.79000000000002"/>
    <n v="325.79000000000002"/>
    <n v="0.11600000000000001"/>
    <n v="10"/>
    <n v="2879.9836"/>
    <n v="1976.3"/>
    <n v="903.68360000000007"/>
    <n v="0.31378081458519419"/>
    <d v="2024-01-25T00:00:00"/>
    <s v="Q3-2024"/>
    <s v="Africa → Nigeria → Lagos"/>
    <s v="Low"/>
    <d v="2024-09-01T00:00:00"/>
    <d v="2023-01-01T00:00:00"/>
    <n v="20"/>
    <n v="1"/>
  </r>
  <r>
    <s v="ORD-2024-997336"/>
    <d v="2024-10-04T00:00:00"/>
    <d v="2024-11-02T00:00:00"/>
    <n v="29"/>
    <x v="3"/>
    <x v="8"/>
    <s v="Abuja"/>
    <s v="Corporate"/>
    <x v="3"/>
    <s v="F. Müller"/>
    <x v="5"/>
    <s v="ACC-9038"/>
    <n v="412.09"/>
    <n v="968.94"/>
    <n v="968.94"/>
    <n v="9.9000000000000005E-2"/>
    <n v="23"/>
    <n v="20079.343620000003"/>
    <n v="9478.07"/>
    <n v="10601.273620000004"/>
    <n v="0.52796913189137418"/>
    <d v="2024-01-02T00:00:00"/>
    <s v="Q4-2024"/>
    <s v="Africa → Nigeria → Abuja"/>
    <s v="Medium"/>
    <d v="2024-10-01T00:00:00"/>
    <d v="2023-01-01T00:00:00"/>
    <n v="21"/>
    <n v="0"/>
  </r>
  <r>
    <s v="ORD-2024-966651"/>
    <d v="2024-10-14T00:00:00"/>
    <d v="2024-11-08T00:00:00"/>
    <n v="25"/>
    <x v="3"/>
    <x v="8"/>
    <s v="Lagos"/>
    <s v="Enterprise"/>
    <x v="1"/>
    <s v="O. Wang"/>
    <x v="4"/>
    <s v="NET-5268"/>
    <n v="859.35"/>
    <n v="1825.61"/>
    <n v="1825.61"/>
    <n v="0.187"/>
    <n v="24"/>
    <n v="35621.302319999995"/>
    <n v="20624.400000000001"/>
    <n v="14996.902319999994"/>
    <n v="0.42100937762681989"/>
    <d v="2023-12-21T00:00:00"/>
    <s v="Q4-2024"/>
    <s v="Africa → Nigeria → Lagos"/>
    <s v="High"/>
    <d v="2024-10-01T00:00:00"/>
    <d v="2023-01-01T00:00:00"/>
    <n v="21"/>
    <n v="0"/>
  </r>
  <r>
    <s v="ORD-2024-640340"/>
    <d v="2024-10-22T00:00:00"/>
    <d v="2024-10-29T00:00:00"/>
    <n v="7"/>
    <x v="3"/>
    <x v="8"/>
    <s v="Port Harcourt"/>
    <s v="Enterprise"/>
    <x v="3"/>
    <s v="M. Rossi"/>
    <x v="0"/>
    <s v="MON-8758"/>
    <n v="1023.06"/>
    <n v="1355.61"/>
    <n v="1355.61"/>
    <n v="0.153"/>
    <n v="23"/>
    <n v="26408.63841"/>
    <n v="23530.379999999997"/>
    <n v="2878.2584100000022"/>
    <n v="0.10898927711888809"/>
    <d v="2024-01-01T00:00:00"/>
    <s v="Q4-2024"/>
    <s v="Africa → Nigeria → Port Harcourt"/>
    <s v="Medium"/>
    <d v="2024-10-01T00:00:00"/>
    <d v="2023-01-01T00:00:00"/>
    <n v="21"/>
    <n v="1"/>
  </r>
  <r>
    <s v="ORD-2024-358795"/>
    <d v="2024-10-22T00:00:00"/>
    <d v="2024-10-23T00:00:00"/>
    <n v="1"/>
    <x v="3"/>
    <x v="8"/>
    <s v="Port Harcourt"/>
    <s v="Education"/>
    <x v="1"/>
    <s v="J. Njeri"/>
    <x v="3"/>
    <s v="PRN-9322"/>
    <n v="1084.3900000000001"/>
    <n v="759.33"/>
    <n v="759.33"/>
    <n v="0.23699999999999999"/>
    <n v="31"/>
    <n v="17960.432489999999"/>
    <n v="33616.090000000004"/>
    <n v="-15655.657510000005"/>
    <n v="-0.87167486187856302"/>
    <d v="2023-12-28T00:00:00"/>
    <s v="Q4-2024"/>
    <s v="Africa → Nigeria → Port Harcourt"/>
    <s v="Low"/>
    <d v="2024-10-01T00:00:00"/>
    <d v="2023-01-01T00:00:00"/>
    <n v="21"/>
    <n v="1"/>
  </r>
  <r>
    <s v="ORD-2024-837651"/>
    <d v="2024-12-10T00:00:00"/>
    <d v="2024-12-19T00:00:00"/>
    <n v="9"/>
    <x v="3"/>
    <x v="8"/>
    <s v="Lagos"/>
    <s v="Corporate"/>
    <x v="4"/>
    <s v="O. Wang"/>
    <x v="0"/>
    <s v="MON-4789"/>
    <n v="488.68"/>
    <n v="984.36"/>
    <n v="984.36"/>
    <n v="5.8999999999999997E-2"/>
    <n v="14"/>
    <n v="12967.958640000001"/>
    <n v="6841.52"/>
    <n v="6126.4386400000003"/>
    <n v="0.47242891576649876"/>
    <d v="2023-10-25T00:00:00"/>
    <s v="Q4-2024"/>
    <s v="Africa → Nigeria → Lagos"/>
    <s v="Medium"/>
    <d v="2024-12-01T00:00:00"/>
    <d v="2023-01-01T00:00:00"/>
    <n v="23"/>
    <n v="0"/>
  </r>
  <r>
    <s v="ORD-2025-460466"/>
    <d v="2025-02-07T00:00:00"/>
    <d v="2025-02-16T00:00:00"/>
    <n v="9"/>
    <x v="3"/>
    <x v="8"/>
    <s v="Lagos"/>
    <s v="Small Business"/>
    <x v="3"/>
    <s v="C. Otieno"/>
    <x v="3"/>
    <s v="PRN-1882"/>
    <n v="90.68"/>
    <n v="118.17"/>
    <n v="118.17"/>
    <n v="0.13500000000000001"/>
    <n v="21"/>
    <n v="2146.5580500000001"/>
    <n v="1904.2800000000002"/>
    <n v="242.27804999999989"/>
    <n v="0.11286815653552899"/>
    <d v="2023-07-26T00:00:00"/>
    <s v="Q1-2025"/>
    <s v="Africa → Nigeria → Lagos"/>
    <s v="Low"/>
    <d v="2025-02-01T00:00:00"/>
    <d v="2023-01-01T00:00:00"/>
    <n v="25"/>
    <n v="0"/>
  </r>
  <r>
    <s v="ORD-2025-881624"/>
    <d v="2025-02-21T00:00:00"/>
    <d v="2025-03-21T00:00:00"/>
    <n v="28"/>
    <x v="3"/>
    <x v="8"/>
    <s v="Abuja"/>
    <s v="Enterprise"/>
    <x v="0"/>
    <s v="I. Johnson"/>
    <x v="2"/>
    <s v="PHN-5887"/>
    <n v="1437.39"/>
    <n v="1388.31"/>
    <n v="1388.31"/>
    <n v="0.13800000000000001"/>
    <n v="18"/>
    <n v="21541.017959999997"/>
    <n v="25873.02"/>
    <n v="-4332.002040000003"/>
    <n v="-0.20110479681341872"/>
    <d v="2023-07-24T00:00:00"/>
    <s v="Q1-2025"/>
    <s v="Africa → Nigeria → Abuja"/>
    <s v="Medium"/>
    <d v="2025-02-01T00:00:00"/>
    <d v="2023-01-01T00:00:00"/>
    <n v="25"/>
    <n v="0"/>
  </r>
  <r>
    <s v="ORD-2025-501927"/>
    <d v="2025-03-03T00:00:00"/>
    <d v="2025-03-24T00:00:00"/>
    <n v="21"/>
    <x v="3"/>
    <x v="8"/>
    <s v="Abuja"/>
    <s v="Enterprise"/>
    <x v="2"/>
    <s v="H. Kim"/>
    <x v="5"/>
    <s v="ACC-4056"/>
    <n v="555.95000000000005"/>
    <n v="468.09"/>
    <n v="468.09"/>
    <n v="0.14199999999999999"/>
    <n v="11"/>
    <n v="4417.8334199999999"/>
    <n v="6115.4500000000007"/>
    <n v="-1697.6165800000008"/>
    <n v="-0.38426450674095375"/>
    <d v="2023-07-18T00:00:00"/>
    <s v="Q1-2025"/>
    <s v="Africa → Nigeria → Abuja"/>
    <s v="Low"/>
    <d v="2025-03-01T00:00:00"/>
    <d v="2023-01-01T00:00:00"/>
    <n v="26"/>
    <n v="0"/>
  </r>
  <r>
    <s v="ORD-2025-944081"/>
    <d v="2025-03-25T00:00:00"/>
    <d v="2025-03-26T00:00:00"/>
    <n v="1"/>
    <x v="3"/>
    <x v="8"/>
    <s v="Lagos"/>
    <s v="Education"/>
    <x v="3"/>
    <s v="G. Dubois"/>
    <x v="5"/>
    <s v="ACC-9533"/>
    <n v="1450.43"/>
    <n v="1994.67"/>
    <n v="1994.67"/>
    <n v="0.1"/>
    <n v="24"/>
    <n v="43084.872000000003"/>
    <n v="34810.32"/>
    <n v="8274.5520000000033"/>
    <n v="0.19205237513529116"/>
    <d v="2023-07-05T00:00:00"/>
    <s v="Q1-2025"/>
    <s v="Africa → Nigeria → Lagos"/>
    <s v="High"/>
    <d v="2025-03-01T00:00:00"/>
    <d v="2023-01-01T00:00:00"/>
    <n v="26"/>
    <n v="1"/>
  </r>
  <r>
    <s v="ORD-2025-168148"/>
    <d v="2025-03-29T00:00:00"/>
    <d v="2025-04-02T00:00:00"/>
    <n v="4"/>
    <x v="3"/>
    <x v="8"/>
    <s v="Lagos"/>
    <s v="Non-Profit"/>
    <x v="0"/>
    <s v="G. Dubois"/>
    <x v="2"/>
    <s v="PHN-4556"/>
    <n v="259.93"/>
    <n v="255.94"/>
    <n v="255.94"/>
    <n v="7.1999999999999995E-2"/>
    <n v="22"/>
    <n v="5225.2710400000005"/>
    <n v="5718.46"/>
    <n v="-493.1889599999995"/>
    <n v="-9.4385335463861311E-2"/>
    <d v="2023-07-07T00:00:00"/>
    <s v="Q1-2025"/>
    <s v="Africa → Nigeria → Lagos"/>
    <s v="Low"/>
    <d v="2025-03-01T00:00:00"/>
    <d v="2023-01-01T00:00:00"/>
    <n v="26"/>
    <n v="1"/>
  </r>
  <r>
    <s v="ORD-2025-440093"/>
    <d v="2025-04-16T00:00:00"/>
    <d v="2025-04-26T00:00:00"/>
    <n v="10"/>
    <x v="3"/>
    <x v="8"/>
    <s v="Port Harcourt"/>
    <s v="Enterprise"/>
    <x v="0"/>
    <s v="F. Müller"/>
    <x v="6"/>
    <s v="LAP-3490"/>
    <n v="1457.44"/>
    <n v="1996.81"/>
    <n v="1996.81"/>
    <n v="0.126"/>
    <n v="23"/>
    <n v="40139.874619999995"/>
    <n v="33521.120000000003"/>
    <n v="6618.7546199999924"/>
    <n v="0.16489225944672353"/>
    <d v="2023-06-22T00:00:00"/>
    <s v="Q2-2025"/>
    <s v="Africa → Nigeria → Port Harcourt"/>
    <s v="High"/>
    <d v="2025-04-01T00:00:00"/>
    <d v="2023-01-01T00:00:00"/>
    <n v="27"/>
    <n v="0"/>
  </r>
  <r>
    <s v="ORD-2025-828263"/>
    <d v="2025-05-17T00:00:00"/>
    <d v="2025-05-30T00:00:00"/>
    <n v="13"/>
    <x v="3"/>
    <x v="8"/>
    <s v="Lagos"/>
    <s v="Consumer"/>
    <x v="3"/>
    <s v="F. Müller"/>
    <x v="5"/>
    <s v="ACC-3349"/>
    <n v="66.400000000000006"/>
    <n v="141.43"/>
    <n v="141.43"/>
    <n v="0.107"/>
    <n v="8"/>
    <n v="1010.3759200000001"/>
    <n v="531.20000000000005"/>
    <n v="479.17592000000002"/>
    <n v="0.47425508715607551"/>
    <d v="2023-05-07T00:00:00"/>
    <s v="Q2-2025"/>
    <s v="Africa → Nigeria → Lagos"/>
    <s v="Low"/>
    <d v="2025-05-01T00:00:00"/>
    <d v="2023-01-01T00:00:00"/>
    <n v="28"/>
    <n v="0"/>
  </r>
  <r>
    <s v="ORD-2025-580047"/>
    <d v="2025-06-14T00:00:00"/>
    <d v="2025-06-29T00:00:00"/>
    <n v="15"/>
    <x v="3"/>
    <x v="8"/>
    <s v="Port Harcourt"/>
    <s v="Consumer"/>
    <x v="0"/>
    <s v="M. Rossi"/>
    <x v="5"/>
    <s v="ACC-3961"/>
    <n v="730.99"/>
    <n v="1242.8399999999999"/>
    <n v="1242.8399999999999"/>
    <n v="0.12"/>
    <n v="10"/>
    <n v="10936.992"/>
    <n v="7309.9"/>
    <n v="3627.0920000000006"/>
    <n v="0.33163524303574515"/>
    <d v="2023-05-05T00:00:00"/>
    <s v="Q2-2025"/>
    <s v="Africa → Nigeria → Port Harcourt"/>
    <s v="Medium"/>
    <d v="2025-06-01T00:00:00"/>
    <d v="2023-01-01T00:00:00"/>
    <n v="29"/>
    <n v="0"/>
  </r>
  <r>
    <s v="ORD-2025-929414"/>
    <d v="2025-06-26T00:00:00"/>
    <d v="2025-07-11T00:00:00"/>
    <n v="15"/>
    <x v="3"/>
    <x v="8"/>
    <s v="Port Harcourt"/>
    <s v="Small Business"/>
    <x v="1"/>
    <s v="A. Patel"/>
    <x v="6"/>
    <s v="LAP-7523"/>
    <n v="1170.1500000000001"/>
    <n v="2115.19"/>
    <n v="2115.19"/>
    <n v="9.1999999999999998E-2"/>
    <n v="23"/>
    <n v="44173.627960000005"/>
    <n v="26913.45"/>
    <n v="17260.177960000005"/>
    <n v="0.39073489674946776"/>
    <d v="2023-04-16T00:00:00"/>
    <s v="Q2-2025"/>
    <s v="Africa → Nigeria → Port Harcourt"/>
    <s v="High"/>
    <d v="2025-06-01T00:00:00"/>
    <d v="2023-01-01T00:00:00"/>
    <n v="29"/>
    <n v="0"/>
  </r>
  <r>
    <s v="ORD-2025-650841"/>
    <d v="2025-07-03T00:00:00"/>
    <d v="2025-07-06T00:00:00"/>
    <n v="3"/>
    <x v="3"/>
    <x v="8"/>
    <s v="Lagos"/>
    <s v="Consumer"/>
    <x v="1"/>
    <s v="Unassigned"/>
    <x v="6"/>
    <s v="LAP-8910"/>
    <n v="1313.3"/>
    <n v="2884.34"/>
    <n v="2884.34"/>
    <n v="0.157"/>
    <n v="42"/>
    <n v="102122.94203999999"/>
    <n v="55158.6"/>
    <n v="46964.342039999996"/>
    <n v="0.45988042551305253"/>
    <d v="2023-03-23T00:00:00"/>
    <s v="Q3-2025"/>
    <s v="Africa → Nigeria → Lagos"/>
    <s v="High"/>
    <d v="2025-07-01T00:00:00"/>
    <d v="2023-01-01T00:00:00"/>
    <n v="30"/>
    <n v="1"/>
  </r>
  <r>
    <s v="ORD-2025-629393"/>
    <d v="2025-07-21T00:00:00"/>
    <d v="2025-08-07T00:00:00"/>
    <n v="17"/>
    <x v="3"/>
    <x v="8"/>
    <s v="Lagos"/>
    <s v="Enterprise"/>
    <x v="2"/>
    <s v="M. Rossi"/>
    <x v="5"/>
    <s v="ACC-8999"/>
    <n v="1204.95"/>
    <n v="2065.73"/>
    <n v="2065.73"/>
    <n v="0.13600000000000001"/>
    <n v="10"/>
    <n v="17847.907199999998"/>
    <n v="12049.5"/>
    <n v="5798.4071999999978"/>
    <n v="0.32487882949100039"/>
    <d v="2023-03-07T00:00:00"/>
    <s v="Q3-2025"/>
    <s v="Africa → Nigeria → Lagos"/>
    <s v="High"/>
    <d v="2025-07-01T00:00:00"/>
    <d v="2023-01-01T00:00:00"/>
    <n v="30"/>
    <n v="0"/>
  </r>
  <r>
    <s v="ORD-2025-922513"/>
    <d v="2025-08-26T00:00:00"/>
    <d v="2025-08-28T00:00:00"/>
    <n v="2"/>
    <x v="3"/>
    <x v="8"/>
    <s v="Port Harcourt"/>
    <s v="Small Business"/>
    <x v="4"/>
    <s v="A. Patel"/>
    <x v="5"/>
    <s v="ACC-4483"/>
    <n v="521.05999999999995"/>
    <n v="1240.31"/>
    <n v="1240.31"/>
    <n v="0.14599999999999999"/>
    <n v="18"/>
    <n v="19066.045319999997"/>
    <n v="9379.0799999999981"/>
    <n v="9686.9653199999993"/>
    <n v="0.50807417885650974"/>
    <d v="2023-01-26T00:00:00"/>
    <s v="Q3-2025"/>
    <s v="Africa → Nigeria → Port Harcourt"/>
    <s v="Medium"/>
    <d v="2025-08-01T00:00:00"/>
    <d v="2023-01-01T00:00:00"/>
    <n v="31"/>
    <n v="1"/>
  </r>
  <r>
    <s v="ORD-2025-803803"/>
    <d v="2025-08-28T00:00:00"/>
    <d v="2025-09-05T00:00:00"/>
    <n v="8"/>
    <x v="3"/>
    <x v="8"/>
    <s v="Port Harcourt"/>
    <s v="Small Business"/>
    <x v="0"/>
    <s v="E. Garcia"/>
    <x v="6"/>
    <s v="LAP-7553"/>
    <n v="1271.0999999999999"/>
    <n v="1932.42"/>
    <n v="1932.42"/>
    <n v="0.25"/>
    <n v="21"/>
    <n v="30435.614999999998"/>
    <n v="26693.1"/>
    <n v="3742.5149999999994"/>
    <n v="0.12296498690760807"/>
    <d v="2023-02-11T00:00:00"/>
    <s v="Q3-2025"/>
    <s v="Africa → Nigeria → Port Harcourt"/>
    <s v="High"/>
    <d v="2025-08-01T00:00:00"/>
    <d v="2023-01-01T00:00:00"/>
    <n v="31"/>
    <n v="0"/>
  </r>
  <r>
    <s v="ORD-2023-689428"/>
    <d v="2023-01-07T00:00:00"/>
    <d v="2023-01-30T00:00:00"/>
    <n v="23"/>
    <x v="3"/>
    <x v="9"/>
    <s v="Cape Town"/>
    <s v="Consumer"/>
    <x v="1"/>
    <s v="A. Patel"/>
    <x v="3"/>
    <s v="PRN-4787"/>
    <n v="299.02"/>
    <n v="724.7"/>
    <n v="724.7"/>
    <n v="0.14000000000000001"/>
    <n v="5"/>
    <n v="3116.21"/>
    <n v="1495.1"/>
    <n v="1621.1100000000001"/>
    <n v="0.52021847051386139"/>
    <d v="2025-09-12T00:00:00"/>
    <s v="Q1-2023"/>
    <s v="Africa → South Africa → Cape Town"/>
    <s v="Low"/>
    <d v="2023-01-01T00:00:00"/>
    <d v="2023-01-01T00:00:00"/>
    <n v="0"/>
    <n v="0"/>
  </r>
  <r>
    <s v="ORD-2023-159379"/>
    <d v="2023-02-08T00:00:00"/>
    <d v="2023-02-11T00:00:00"/>
    <n v="3"/>
    <x v="3"/>
    <x v="9"/>
    <s v="Cape Town"/>
    <s v="Corporate"/>
    <x v="2"/>
    <s v="M. Rossi"/>
    <x v="4"/>
    <s v="NET-5018"/>
    <n v="1410.05"/>
    <n v="2763.95"/>
    <n v="2763.95"/>
    <n v="0.161"/>
    <n v="26"/>
    <n v="60292.805299999993"/>
    <n v="36661.299999999996"/>
    <n v="23631.505299999997"/>
    <n v="0.39194569206750779"/>
    <d v="2025-08-07T00:00:00"/>
    <s v="Q1-2023"/>
    <s v="Africa → South Africa → Cape Town"/>
    <s v="High"/>
    <d v="2023-02-01T00:00:00"/>
    <d v="2023-01-01T00:00:00"/>
    <n v="1"/>
    <n v="1"/>
  </r>
  <r>
    <s v="ORD-2023-480975"/>
    <d v="2023-02-15T00:00:00"/>
    <d v="2023-02-26T00:00:00"/>
    <n v="11"/>
    <x v="3"/>
    <x v="9"/>
    <s v="Johannesburg"/>
    <s v="Non-Profit"/>
    <x v="4"/>
    <s v="K. Singh"/>
    <x v="6"/>
    <s v="LAP-3393"/>
    <n v="498.5"/>
    <n v="755.87"/>
    <n v="755.87"/>
    <n v="0.13"/>
    <n v="40"/>
    <n v="26304.275999999998"/>
    <n v="19940"/>
    <n v="6364.275999999998"/>
    <n v="0.24194834330357537"/>
    <d v="2025-08-30T00:00:00"/>
    <s v="Q1-2023"/>
    <s v="Africa → South Africa → Johannesburg"/>
    <s v="Low"/>
    <d v="2023-02-01T00:00:00"/>
    <d v="2023-01-01T00:00:00"/>
    <n v="1"/>
    <n v="0"/>
  </r>
  <r>
    <s v="ORD-2023-281890"/>
    <d v="2023-03-13T00:00:00"/>
    <d v="2023-04-04T00:00:00"/>
    <n v="22"/>
    <x v="3"/>
    <x v="9"/>
    <s v="Durban"/>
    <s v="Small Business"/>
    <x v="4"/>
    <s v="A. Patel"/>
    <x v="1"/>
    <s v="CMP-2574"/>
    <n v="1113.7"/>
    <n v="1620.6"/>
    <n v="1620.6"/>
    <n v="0.13900000000000001"/>
    <n v="11"/>
    <n v="15348.702599999999"/>
    <n v="12250.7"/>
    <n v="3098.002599999998"/>
    <n v="0.20184133348182787"/>
    <d v="2025-07-21T00:00:00"/>
    <s v="Q1-2023"/>
    <s v="Africa → South Africa → Durban"/>
    <s v="Medium"/>
    <d v="2023-03-01T00:00:00"/>
    <d v="2023-01-01T00:00:00"/>
    <n v="2"/>
    <n v="0"/>
  </r>
  <r>
    <s v="ORD-2023-946143"/>
    <d v="2023-03-14T00:00:00"/>
    <d v="2023-03-30T00:00:00"/>
    <n v="16"/>
    <x v="3"/>
    <x v="9"/>
    <s v="Cape Town"/>
    <s v="Consumer"/>
    <x v="3"/>
    <s v="K. Singh"/>
    <x v="1"/>
    <s v="CMP-8230"/>
    <n v="1309.77"/>
    <n v="1589.07"/>
    <n v="1589.07"/>
    <n v="0.10199999999999999"/>
    <n v="10"/>
    <n v="14269.848599999999"/>
    <n v="13097.7"/>
    <n v="1172.1485999999986"/>
    <n v="8.2141628328137886E-2"/>
    <d v="2025-07-24T00:00:00"/>
    <s v="Q1-2023"/>
    <s v="Africa → South Africa → Cape Town"/>
    <s v="Medium"/>
    <d v="2023-03-01T00:00:00"/>
    <d v="2023-01-01T00:00:00"/>
    <n v="2"/>
    <n v="0"/>
  </r>
  <r>
    <s v="ORD-2023-144816"/>
    <d v="2023-05-07T00:00:00"/>
    <d v="2023-05-29T00:00:00"/>
    <n v="22"/>
    <x v="3"/>
    <x v="9"/>
    <s v="Durban"/>
    <s v="Education"/>
    <x v="3"/>
    <s v="K. Singh"/>
    <x v="5"/>
    <s v="ACC-2364"/>
    <n v="653.86"/>
    <n v="931.84"/>
    <n v="931.84"/>
    <n v="0.121"/>
    <n v="12"/>
    <n v="9829.0483199999999"/>
    <n v="7846.32"/>
    <n v="1982.7283200000002"/>
    <n v="0.20172129136506273"/>
    <d v="2025-05-16T00:00:00"/>
    <s v="Q2-2023"/>
    <s v="Africa → South Africa → Durban"/>
    <s v="Medium"/>
    <d v="2023-05-01T00:00:00"/>
    <d v="2023-01-01T00:00:00"/>
    <n v="4"/>
    <n v="0"/>
  </r>
  <r>
    <s v="ORD-2023-704111"/>
    <d v="2023-05-17T00:00:00"/>
    <d v="2023-06-15T00:00:00"/>
    <n v="29"/>
    <x v="3"/>
    <x v="9"/>
    <s v="Durban"/>
    <s v="Enterprise"/>
    <x v="4"/>
    <s v="K. Singh"/>
    <x v="5"/>
    <s v="ACC-5206"/>
    <n v="40.89"/>
    <n v="62.82"/>
    <n v="62.82"/>
    <n v="0.129"/>
    <n v="17"/>
    <n v="930.17574000000002"/>
    <n v="695.13"/>
    <n v="235.04574000000002"/>
    <n v="0.25268960465470752"/>
    <d v="2025-05-19T00:00:00"/>
    <s v="Q2-2023"/>
    <s v="Africa → South Africa → Durban"/>
    <s v="Low"/>
    <d v="2023-05-01T00:00:00"/>
    <d v="2023-01-01T00:00:00"/>
    <n v="4"/>
    <n v="0"/>
  </r>
  <r>
    <s v="ORD-2023-382272"/>
    <d v="2023-05-18T00:00:00"/>
    <d v="2023-05-20T00:00:00"/>
    <n v="2"/>
    <x v="3"/>
    <x v="9"/>
    <s v="Durban"/>
    <s v="Corporate"/>
    <x v="3"/>
    <s v="A. Patel"/>
    <x v="1"/>
    <s v="CMP-5208"/>
    <n v="917.88"/>
    <n v="1347.92"/>
    <n v="1347.92"/>
    <n v="0.34300000000000003"/>
    <n v="5"/>
    <n v="4427.9172000000008"/>
    <n v="4589.3999999999996"/>
    <n v="-161.48279999999886"/>
    <n v="-3.6469245630880096E-2"/>
    <d v="2025-05-16T00:00:00"/>
    <s v="Q2-2023"/>
    <s v="Africa → South Africa → Durban"/>
    <s v="Medium"/>
    <d v="2023-05-01T00:00:00"/>
    <d v="2023-01-01T00:00:00"/>
    <n v="4"/>
    <n v="1"/>
  </r>
  <r>
    <s v="ORD-2023-497686"/>
    <d v="2023-07-03T00:00:00"/>
    <d v="2023-07-23T00:00:00"/>
    <n v="20"/>
    <x v="3"/>
    <x v="9"/>
    <s v="Johannesburg"/>
    <s v="Small Business"/>
    <x v="3"/>
    <s v="F. Müller"/>
    <x v="6"/>
    <s v="LAP-6342"/>
    <n v="1001.96"/>
    <n v="1254.95"/>
    <n v="1254.95"/>
    <n v="4.4999999999999998E-2"/>
    <n v="18"/>
    <n v="21572.590500000002"/>
    <n v="18035.28"/>
    <n v="3537.3105000000032"/>
    <n v="0.16397244920585699"/>
    <d v="2025-03-24T00:00:00"/>
    <s v="Q3-2023"/>
    <s v="Africa → South Africa → Johannesburg"/>
    <s v="Medium"/>
    <d v="2023-07-01T00:00:00"/>
    <d v="2023-01-01T00:00:00"/>
    <n v="6"/>
    <n v="0"/>
  </r>
  <r>
    <s v="ORD-2023-621393"/>
    <d v="2023-07-07T00:00:00"/>
    <d v="2023-07-13T00:00:00"/>
    <n v="6"/>
    <x v="3"/>
    <x v="9"/>
    <s v="Cape Town"/>
    <s v="Small Business"/>
    <x v="0"/>
    <s v="B. Chen"/>
    <x v="5"/>
    <s v="ACC-9445"/>
    <n v="612.59"/>
    <n v="1424.74"/>
    <n v="1424.74"/>
    <n v="4.3999999999999997E-2"/>
    <n v="15"/>
    <n v="20430.771599999996"/>
    <n v="9188.85"/>
    <n v="11241.921599999996"/>
    <n v="0.55024459281802152"/>
    <d v="2025-03-29T00:00:00"/>
    <s v="Q3-2023"/>
    <s v="Africa → South Africa → Cape Town"/>
    <s v="Medium"/>
    <d v="2023-07-01T00:00:00"/>
    <d v="2023-01-01T00:00:00"/>
    <n v="6"/>
    <n v="1"/>
  </r>
  <r>
    <s v="ORD-2023-825084"/>
    <d v="2023-07-14T00:00:00"/>
    <d v="2023-07-21T00:00:00"/>
    <n v="7"/>
    <x v="3"/>
    <x v="9"/>
    <s v="Durban"/>
    <s v="Enterprise"/>
    <x v="0"/>
    <s v="Unassigned"/>
    <x v="0"/>
    <s v="MON-1018"/>
    <n v="620.74"/>
    <n v="1330.07"/>
    <n v="1330.07"/>
    <n v="0.29899999999999999"/>
    <n v="28"/>
    <n v="26106.613960000002"/>
    <n v="17380.72"/>
    <n v="8725.8939600000012"/>
    <n v="0.33424073965967516"/>
    <d v="2025-03-14T00:00:00"/>
    <s v="Q3-2023"/>
    <s v="Africa → South Africa → Durban"/>
    <s v="Medium"/>
    <d v="2023-07-01T00:00:00"/>
    <d v="2023-01-01T00:00:00"/>
    <n v="6"/>
    <n v="1"/>
  </r>
  <r>
    <s v="ORD-2023-369150"/>
    <d v="2023-07-18T00:00:00"/>
    <d v="2023-08-10T00:00:00"/>
    <n v="23"/>
    <x v="3"/>
    <x v="9"/>
    <s v="Johannesburg"/>
    <s v="Small Business"/>
    <x v="4"/>
    <s v="L. Okafor"/>
    <x v="1"/>
    <s v="CMP-8659"/>
    <n v="1271.56"/>
    <n v="995.47"/>
    <n v="995.47"/>
    <n v="0.192"/>
    <n v="13"/>
    <n v="10456.416880000001"/>
    <n v="16530.28"/>
    <n v="-6073.8631199999982"/>
    <n v="-0.58087423155607754"/>
    <d v="2025-03-11T00:00:00"/>
    <s v="Q3-2023"/>
    <s v="Africa → South Africa → Johannesburg"/>
    <s v="Medium"/>
    <d v="2023-07-01T00:00:00"/>
    <d v="2023-01-01T00:00:00"/>
    <n v="6"/>
    <n v="0"/>
  </r>
  <r>
    <s v="ORD-2023-525643"/>
    <d v="2023-08-17T00:00:00"/>
    <d v="2023-09-03T00:00:00"/>
    <n v="17"/>
    <x v="3"/>
    <x v="9"/>
    <s v="Durban"/>
    <s v="Enterprise"/>
    <x v="4"/>
    <s v="A. Patel"/>
    <x v="2"/>
    <s v="PHN-8072"/>
    <n v="676.37"/>
    <n v="1276.67"/>
    <n v="1276.67"/>
    <n v="6.6000000000000003E-2"/>
    <n v="10"/>
    <n v="11924.0978"/>
    <n v="6763.7"/>
    <n v="5160.3977999999997"/>
    <n v="0.4327705027712872"/>
    <d v="2025-02-15T00:00:00"/>
    <s v="Q3-2023"/>
    <s v="Africa → South Africa → Durban"/>
    <s v="Medium"/>
    <d v="2023-08-01T00:00:00"/>
    <d v="2023-01-01T00:00:00"/>
    <n v="7"/>
    <n v="0"/>
  </r>
  <r>
    <s v="ORD-2023-749324"/>
    <d v="2023-08-19T00:00:00"/>
    <d v="2023-09-07T00:00:00"/>
    <n v="19"/>
    <x v="3"/>
    <x v="9"/>
    <s v="Johannesburg"/>
    <s v="Enterprise"/>
    <x v="4"/>
    <s v="D. Smith"/>
    <x v="0"/>
    <s v="MON-2296"/>
    <n v="494.61"/>
    <n v="605.23"/>
    <n v="605.23"/>
    <n v="0.20399999999999999"/>
    <n v="18"/>
    <n v="8671.7354400000004"/>
    <n v="8902.98"/>
    <n v="-231.24455999999918"/>
    <n v="-2.6666468505639647E-2"/>
    <d v="2025-01-27T00:00:00"/>
    <s v="Q3-2023"/>
    <s v="Africa → South Africa → Johannesburg"/>
    <s v="Low"/>
    <d v="2023-08-01T00:00:00"/>
    <d v="2023-01-01T00:00:00"/>
    <n v="7"/>
    <n v="0"/>
  </r>
  <r>
    <s v="ORD-2023-640022"/>
    <d v="2023-08-24T00:00:00"/>
    <d v="2023-09-20T00:00:00"/>
    <n v="27"/>
    <x v="3"/>
    <x v="9"/>
    <s v="Durban"/>
    <s v="Small Business"/>
    <x v="0"/>
    <s v="M. Rossi"/>
    <x v="3"/>
    <s v="PRN-4732"/>
    <n v="1399.64"/>
    <n v="3342.11"/>
    <n v="3342.11"/>
    <n v="0"/>
    <n v="10"/>
    <n v="33421.1"/>
    <n v="13996.400000000001"/>
    <n v="19424.699999999997"/>
    <n v="0.58121067229983447"/>
    <d v="2025-01-29T00:00:00"/>
    <s v="Q3-2023"/>
    <s v="Africa → South Africa → Durban"/>
    <s v="High"/>
    <d v="2023-08-01T00:00:00"/>
    <d v="2023-01-01T00:00:00"/>
    <n v="7"/>
    <n v="0"/>
  </r>
  <r>
    <s v="ORD-2023-713375"/>
    <d v="2023-08-26T00:00:00"/>
    <d v="2023-09-10T00:00:00"/>
    <n v="15"/>
    <x v="3"/>
    <x v="9"/>
    <s v="Cape Town"/>
    <s v="Non-Profit"/>
    <x v="2"/>
    <s v="N. Brown"/>
    <x v="1"/>
    <s v="CMP-7063"/>
    <n v="241.14"/>
    <n v="496.52"/>
    <n v="496.52"/>
    <n v="9.2999999999999999E-2"/>
    <n v="10"/>
    <n v="4503.4363999999996"/>
    <n v="2411.3999999999996"/>
    <n v="2092.0364"/>
    <n v="0.46454223268257994"/>
    <d v="2025-01-22T00:00:00"/>
    <s v="Q3-2023"/>
    <s v="Africa → South Africa → Cape Town"/>
    <s v="Low"/>
    <d v="2023-08-01T00:00:00"/>
    <d v="2023-01-01T00:00:00"/>
    <n v="7"/>
    <n v="0"/>
  </r>
  <r>
    <s v="ORD-2023-835226"/>
    <d v="2023-10-26T00:00:00"/>
    <d v="2023-11-05T00:00:00"/>
    <n v="10"/>
    <x v="3"/>
    <x v="9"/>
    <s v="Cape Town"/>
    <s v="Non-Profit"/>
    <x v="1"/>
    <s v="I. Johnson"/>
    <x v="6"/>
    <s v="LAP-7320"/>
    <n v="20.38"/>
    <n v="42.56"/>
    <n v="42.56"/>
    <n v="7.1999999999999995E-2"/>
    <n v="11"/>
    <n v="434.45248000000004"/>
    <n v="224.17999999999998"/>
    <n v="210.27248000000006"/>
    <n v="0.48399419885921713"/>
    <d v="2024-11-20T00:00:00"/>
    <s v="Q4-2023"/>
    <s v="Africa → South Africa → Cape Town"/>
    <s v="Low"/>
    <d v="2023-10-01T00:00:00"/>
    <d v="2023-01-01T00:00:00"/>
    <n v="9"/>
    <n v="0"/>
  </r>
  <r>
    <s v="ORD-2023-825495"/>
    <d v="2023-11-29T00:00:00"/>
    <d v="2023-11-30T00:00:00"/>
    <n v="1"/>
    <x v="3"/>
    <x v="9"/>
    <s v="Durban"/>
    <s v="Small Business"/>
    <x v="0"/>
    <s v="E. Garcia"/>
    <x v="6"/>
    <s v="LAP-1525"/>
    <n v="275.56"/>
    <n v="630.72"/>
    <n v="630.72"/>
    <n v="0.107"/>
    <n v="23"/>
    <n v="12954.358080000002"/>
    <n v="6337.88"/>
    <n v="6616.4780800000017"/>
    <n v="0.5107530638831933"/>
    <d v="2024-11-12T00:00:00"/>
    <s v="Q4-2023"/>
    <s v="Africa → South Africa → Durban"/>
    <s v="Low"/>
    <d v="2023-11-01T00:00:00"/>
    <d v="2023-01-01T00:00:00"/>
    <n v="10"/>
    <n v="1"/>
  </r>
  <r>
    <s v="ORD-2023-841426"/>
    <d v="2023-12-22T00:00:00"/>
    <d v="2023-12-23T00:00:00"/>
    <n v="1"/>
    <x v="3"/>
    <x v="9"/>
    <s v="Cape Town"/>
    <s v="Non-Profit"/>
    <x v="0"/>
    <s v="D. Smith"/>
    <x v="1"/>
    <s v="CMP-4531"/>
    <n v="1186.18"/>
    <n v="1285.0899999999999"/>
    <n v="1285.0899999999999"/>
    <n v="7.0000000000000007E-2"/>
    <n v="11"/>
    <n v="13146.470699999998"/>
    <n v="13047.980000000001"/>
    <n v="98.49069999999665"/>
    <n v="7.4917977796121861E-3"/>
    <d v="2024-10-25T00:00:00"/>
    <s v="Q4-2023"/>
    <s v="Africa → South Africa → Cape Town"/>
    <s v="Medium"/>
    <d v="2023-12-01T00:00:00"/>
    <d v="2023-01-01T00:00:00"/>
    <n v="11"/>
    <n v="1"/>
  </r>
  <r>
    <s v="ORD-2023-974506"/>
    <d v="2023-12-28T00:00:00"/>
    <d v="2024-01-01T00:00:00"/>
    <n v="4"/>
    <x v="3"/>
    <x v="9"/>
    <s v="Cape Town"/>
    <s v="Education"/>
    <x v="3"/>
    <s v="A. Patel"/>
    <x v="3"/>
    <s v="PRN-1654"/>
    <n v="1141.8"/>
    <n v="2318.7399999999998"/>
    <n v="2318.7399999999998"/>
    <n v="0.107"/>
    <n v="32"/>
    <n v="66260.314239999992"/>
    <n v="36537.599999999999"/>
    <n v="29722.714239999994"/>
    <n v="0.44857490612468304"/>
    <d v="2024-10-24T00:00:00"/>
    <s v="Q4-2023"/>
    <s v="Africa → South Africa → Cape Town"/>
    <s v="High"/>
    <d v="2023-12-01T00:00:00"/>
    <d v="2023-01-01T00:00:00"/>
    <n v="11"/>
    <n v="1"/>
  </r>
  <r>
    <s v="ORD-2024-296582"/>
    <d v="2024-01-11T00:00:00"/>
    <d v="2024-02-02T00:00:00"/>
    <n v="22"/>
    <x v="3"/>
    <x v="9"/>
    <s v="Durban"/>
    <s v="Consumer"/>
    <x v="1"/>
    <s v="K. Singh"/>
    <x v="4"/>
    <s v="NET-1412"/>
    <n v="1206.2"/>
    <n v="1759.79"/>
    <n v="1759.79"/>
    <n v="0"/>
    <n v="6"/>
    <n v="10558.74"/>
    <n v="7237.2000000000007"/>
    <n v="3321.5399999999991"/>
    <n v="0.31457730751964713"/>
    <d v="2024-09-10T00:00:00"/>
    <s v="Q1-2024"/>
    <s v="Africa → South Africa → Durban"/>
    <s v="High"/>
    <d v="2024-01-01T00:00:00"/>
    <d v="2023-01-01T00:00:00"/>
    <n v="12"/>
    <n v="0"/>
  </r>
  <r>
    <s v="ORD-2024-892173"/>
    <d v="2024-01-18T00:00:00"/>
    <d v="2024-02-03T00:00:00"/>
    <n v="16"/>
    <x v="3"/>
    <x v="9"/>
    <s v="Cape Town"/>
    <s v="Non-Profit"/>
    <x v="3"/>
    <s v="L. Okafor"/>
    <x v="3"/>
    <s v="PRN-6660"/>
    <n v="666.23"/>
    <n v="1382.91"/>
    <n v="1382.91"/>
    <n v="0.17599999999999999"/>
    <n v="13"/>
    <n v="14813.731920000002"/>
    <n v="8660.99"/>
    <n v="6152.7419200000022"/>
    <n v="0.41534043907553048"/>
    <d v="2024-08-31T00:00:00"/>
    <s v="Q1-2024"/>
    <s v="Africa → South Africa → Cape Town"/>
    <s v="Medium"/>
    <d v="2024-01-01T00:00:00"/>
    <d v="2023-01-01T00:00:00"/>
    <n v="12"/>
    <n v="0"/>
  </r>
  <r>
    <s v="ORD-2024-838925"/>
    <d v="2024-01-27T00:00:00"/>
    <d v="2024-01-28T00:00:00"/>
    <n v="1"/>
    <x v="3"/>
    <x v="9"/>
    <s v="Cape Town"/>
    <s v="Enterprise"/>
    <x v="2"/>
    <s v="O. Wang"/>
    <x v="1"/>
    <s v="CMP-1470"/>
    <n v="109.75"/>
    <n v="124.25"/>
    <n v="124.25"/>
    <n v="0.12"/>
    <n v="19"/>
    <n v="2077.46"/>
    <n v="2085.25"/>
    <n v="-7.7899999999999636"/>
    <n v="-3.7497713554051405E-3"/>
    <d v="2024-09-09T00:00:00"/>
    <s v="Q1-2024"/>
    <s v="Africa → South Africa → Cape Town"/>
    <s v="Low"/>
    <d v="2024-01-01T00:00:00"/>
    <d v="2023-01-01T00:00:00"/>
    <n v="12"/>
    <n v="1"/>
  </r>
  <r>
    <s v="ORD-2024-277241"/>
    <d v="2024-01-28T00:00:00"/>
    <d v="2024-01-30T00:00:00"/>
    <n v="2"/>
    <x v="3"/>
    <x v="9"/>
    <s v="Cape Town"/>
    <s v="Consumer"/>
    <x v="2"/>
    <s v="F. Müller"/>
    <x v="5"/>
    <s v="ACC-6223"/>
    <n v="798.45"/>
    <n v="1592.02"/>
    <n v="1592.02"/>
    <n v="6.6000000000000003E-2"/>
    <n v="18"/>
    <n v="26765.040239999998"/>
    <n v="14372.1"/>
    <n v="12392.940239999998"/>
    <n v="0.46302714768494585"/>
    <d v="2024-09-03T00:00:00"/>
    <s v="Q1-2024"/>
    <s v="Africa → South Africa → Cape Town"/>
    <s v="Medium"/>
    <d v="2024-01-01T00:00:00"/>
    <d v="2023-01-01T00:00:00"/>
    <n v="12"/>
    <n v="1"/>
  </r>
  <r>
    <s v="ORD-2024-419248"/>
    <d v="2024-03-04T00:00:00"/>
    <d v="2024-03-16T00:00:00"/>
    <n v="12"/>
    <x v="3"/>
    <x v="9"/>
    <s v="Johannesburg"/>
    <s v="Enterprise"/>
    <x v="3"/>
    <s v="M. Rossi"/>
    <x v="0"/>
    <s v="MON-8422"/>
    <n v="441.08"/>
    <n v="1054.29"/>
    <n v="1054.29"/>
    <n v="0.23699999999999999"/>
    <n v="6"/>
    <n v="4826.5396199999996"/>
    <n v="2646.48"/>
    <n v="2180.0596199999995"/>
    <n v="0.45168169985932899"/>
    <d v="2024-07-09T00:00:00"/>
    <s v="Q1-2024"/>
    <s v="Africa → South Africa → Johannesburg"/>
    <s v="Medium"/>
    <d v="2024-03-01T00:00:00"/>
    <d v="2023-01-01T00:00:00"/>
    <n v="14"/>
    <n v="0"/>
  </r>
  <r>
    <s v="ORD-2024-939873"/>
    <d v="2024-04-12T00:00:00"/>
    <d v="2024-05-07T00:00:00"/>
    <n v="25"/>
    <x v="3"/>
    <x v="9"/>
    <s v="Johannesburg"/>
    <s v="Education"/>
    <x v="3"/>
    <s v="A. Patel"/>
    <x v="6"/>
    <s v="LAP-8489"/>
    <n v="1376.51"/>
    <n v="1455.91"/>
    <n v="1455.91"/>
    <n v="0.185"/>
    <n v="17"/>
    <n v="20171.63305"/>
    <n v="23400.67"/>
    <n v="-3229.0369499999979"/>
    <n v="-0.1600781127634085"/>
    <d v="2024-06-03T00:00:00"/>
    <s v="Q2-2024"/>
    <s v="Africa → South Africa → Johannesburg"/>
    <s v="Medium"/>
    <d v="2024-04-01T00:00:00"/>
    <d v="2023-01-01T00:00:00"/>
    <n v="15"/>
    <n v="0"/>
  </r>
  <r>
    <s v="ORD-2024-155337"/>
    <d v="2024-05-21T00:00:00"/>
    <d v="2024-05-27T00:00:00"/>
    <n v="6"/>
    <x v="3"/>
    <x v="9"/>
    <s v="Johannesburg"/>
    <s v="Non-Profit"/>
    <x v="1"/>
    <s v="M. Rossi"/>
    <x v="1"/>
    <s v="CMP-8101"/>
    <n v="1157.51"/>
    <n v="1394.3"/>
    <n v="1394.3"/>
    <n v="0.27800000000000002"/>
    <n v="12"/>
    <n v="12080.215199999999"/>
    <n v="13890.119999999999"/>
    <n v="-1809.9048000000003"/>
    <n v="-0.14982388724333326"/>
    <d v="2024-05-26T00:00:00"/>
    <s v="Q2-2024"/>
    <s v="Africa → South Africa → Johannesburg"/>
    <s v="Medium"/>
    <d v="2024-05-01T00:00:00"/>
    <d v="2023-01-01T00:00:00"/>
    <n v="16"/>
    <n v="1"/>
  </r>
  <r>
    <s v="ORD-2024-970848"/>
    <d v="2024-05-23T00:00:00"/>
    <d v="2024-06-03T00:00:00"/>
    <n v="11"/>
    <x v="3"/>
    <x v="9"/>
    <s v="Johannesburg"/>
    <s v="Small Business"/>
    <x v="3"/>
    <s v="F. Müller"/>
    <x v="3"/>
    <s v="PRN-3785"/>
    <n v="180.89"/>
    <n v="249.57"/>
    <n v="249.57"/>
    <n v="2.1999999999999999E-2"/>
    <n v="8"/>
    <n v="1952.6356799999999"/>
    <n v="1447.12"/>
    <n v="505.51567999999997"/>
    <n v="0.25888888806948362"/>
    <d v="2024-05-18T00:00:00"/>
    <s v="Q2-2024"/>
    <s v="Africa → South Africa → Johannesburg"/>
    <s v="Low"/>
    <d v="2024-05-01T00:00:00"/>
    <d v="2023-01-01T00:00:00"/>
    <n v="16"/>
    <n v="0"/>
  </r>
  <r>
    <s v="ORD-2024-427031"/>
    <d v="2024-06-08T00:00:00"/>
    <d v="2024-06-24T00:00:00"/>
    <n v="16"/>
    <x v="3"/>
    <x v="9"/>
    <s v="Durban"/>
    <s v="Education"/>
    <x v="3"/>
    <s v="H. Kim"/>
    <x v="0"/>
    <s v="MON-1389"/>
    <n v="597.85"/>
    <n v="741.92"/>
    <n v="741.92"/>
    <n v="3.1E-2"/>
    <n v="7"/>
    <n v="5032.4433599999993"/>
    <n v="4184.95"/>
    <n v="847.49335999999948"/>
    <n v="0.16840594108544515"/>
    <d v="2024-04-06T00:00:00"/>
    <s v="Q2-2024"/>
    <s v="Africa → South Africa → Durban"/>
    <s v="Low"/>
    <d v="2024-06-01T00:00:00"/>
    <d v="2023-01-01T00:00:00"/>
    <n v="17"/>
    <n v="0"/>
  </r>
  <r>
    <s v="ORD-2024-580808"/>
    <d v="2024-06-16T00:00:00"/>
    <d v="2024-07-03T00:00:00"/>
    <n v="17"/>
    <x v="3"/>
    <x v="9"/>
    <s v="Johannesburg"/>
    <s v="Enterprise"/>
    <x v="0"/>
    <s v="F. Müller"/>
    <x v="2"/>
    <s v="PHN-6832"/>
    <n v="1173.83"/>
    <n v="2328.9"/>
    <n v="2328.9"/>
    <n v="0.12"/>
    <n v="17"/>
    <n v="34840.344000000005"/>
    <n v="19955.11"/>
    <n v="14885.234000000004"/>
    <n v="0.42724130393201637"/>
    <d v="2024-04-09T00:00:00"/>
    <s v="Q2-2024"/>
    <s v="Africa → South Africa → Johannesburg"/>
    <s v="High"/>
    <d v="2024-06-01T00:00:00"/>
    <d v="2023-01-01T00:00:00"/>
    <n v="17"/>
    <n v="0"/>
  </r>
  <r>
    <s v="ORD-2024-919471"/>
    <d v="2024-06-29T00:00:00"/>
    <d v="2024-07-26T00:00:00"/>
    <n v="27"/>
    <x v="3"/>
    <x v="9"/>
    <s v="Durban"/>
    <s v="Enterprise"/>
    <x v="3"/>
    <s v="B. Chen"/>
    <x v="4"/>
    <s v="NET-4241"/>
    <n v="5.36"/>
    <n v="4.37"/>
    <n v="4.37"/>
    <n v="0.11799999999999999"/>
    <n v="9"/>
    <n v="34.689059999999998"/>
    <n v="48.24"/>
    <n v="-13.550940000000004"/>
    <n v="-0.39064016148030545"/>
    <d v="2024-04-03T00:00:00"/>
    <s v="Q2-2024"/>
    <s v="Africa → South Africa → Durban"/>
    <s v="Low"/>
    <d v="2024-06-01T00:00:00"/>
    <d v="2023-01-01T00:00:00"/>
    <n v="17"/>
    <n v="0"/>
  </r>
  <r>
    <s v="ORD-2024-167215"/>
    <d v="2024-08-21T00:00:00"/>
    <d v="2024-08-23T00:00:00"/>
    <n v="2"/>
    <x v="3"/>
    <x v="9"/>
    <s v="Johannesburg"/>
    <s v="Education"/>
    <x v="4"/>
    <s v="E. Garcia"/>
    <x v="1"/>
    <s v="CMP-1559"/>
    <n v="1432.52"/>
    <n v="3036.87"/>
    <n v="3036.87"/>
    <n v="0"/>
    <n v="9"/>
    <n v="27331.829999999998"/>
    <n v="12892.68"/>
    <n v="14439.149999999998"/>
    <n v="0.52829064135112791"/>
    <d v="2024-02-01T00:00:00"/>
    <s v="Q3-2024"/>
    <s v="Africa → South Africa → Johannesburg"/>
    <s v="High"/>
    <d v="2024-08-01T00:00:00"/>
    <d v="2023-01-01T00:00:00"/>
    <n v="19"/>
    <n v="1"/>
  </r>
  <r>
    <s v="ORD-2024-972999"/>
    <d v="2024-09-06T00:00:00"/>
    <d v="2024-10-04T00:00:00"/>
    <n v="28"/>
    <x v="3"/>
    <x v="9"/>
    <s v="Cape Town"/>
    <s v="Corporate"/>
    <x v="0"/>
    <s v="D. Smith"/>
    <x v="0"/>
    <s v="MON-3504"/>
    <n v="1174.17"/>
    <n v="1641.61"/>
    <n v="1641.61"/>
    <n v="0.122"/>
    <n v="9"/>
    <n v="12972.00222"/>
    <n v="10567.53"/>
    <n v="2404.4722199999997"/>
    <n v="0.18535860380079394"/>
    <d v="2024-01-11T00:00:00"/>
    <s v="Q3-2024"/>
    <s v="Africa → South Africa → Cape Town"/>
    <s v="High"/>
    <d v="2024-09-01T00:00:00"/>
    <d v="2023-01-01T00:00:00"/>
    <n v="20"/>
    <n v="0"/>
  </r>
  <r>
    <s v="ORD-2024-686712"/>
    <d v="2024-10-02T00:00:00"/>
    <d v="2024-10-23T00:00:00"/>
    <n v="21"/>
    <x v="3"/>
    <x v="9"/>
    <s v="Durban"/>
    <s v="Corporate"/>
    <x v="0"/>
    <s v="A. Patel"/>
    <x v="1"/>
    <s v="CMP-3978"/>
    <n v="1095.6099999999999"/>
    <n v="2366.5100000000002"/>
    <n v="2366.5100000000002"/>
    <n v="0.152"/>
    <n v="9"/>
    <n v="18061.204320000004"/>
    <n v="9860.49"/>
    <n v="8200.7143200000046"/>
    <n v="0.4540513564158607"/>
    <d v="2023-12-22T00:00:00"/>
    <s v="Q4-2024"/>
    <s v="Africa → South Africa → Durban"/>
    <s v="High"/>
    <d v="2024-10-01T00:00:00"/>
    <d v="2023-01-01T00:00:00"/>
    <n v="21"/>
    <n v="0"/>
  </r>
  <r>
    <s v="ORD-2025-636162"/>
    <d v="2025-01-07T00:00:00"/>
    <d v="2025-01-20T00:00:00"/>
    <n v="13"/>
    <x v="3"/>
    <x v="9"/>
    <s v="Cape Town"/>
    <s v="Corporate"/>
    <x v="2"/>
    <s v="K. Singh"/>
    <x v="4"/>
    <s v="NET-7901"/>
    <n v="432.13"/>
    <n v="1034.6600000000001"/>
    <n v="1034.6600000000001"/>
    <n v="9.1999999999999998E-2"/>
    <n v="7"/>
    <n v="6576.298960000001"/>
    <n v="3024.91"/>
    <n v="3551.3889600000011"/>
    <n v="0.54002851476204794"/>
    <d v="2023-08-24T00:00:00"/>
    <s v="Q1-2025"/>
    <s v="Africa → South Africa → Cape Town"/>
    <s v="Medium"/>
    <d v="2025-01-01T00:00:00"/>
    <d v="2023-01-01T00:00:00"/>
    <n v="24"/>
    <n v="0"/>
  </r>
  <r>
    <s v="ORD-2025-473192"/>
    <d v="2025-03-30T00:00:00"/>
    <d v="2025-04-29T00:00:00"/>
    <n v="30"/>
    <x v="3"/>
    <x v="9"/>
    <s v="Durban"/>
    <s v="Consumer"/>
    <x v="0"/>
    <s v="J. Njeri"/>
    <x v="0"/>
    <s v="MON-7106"/>
    <n v="194.6"/>
    <n v="314.87"/>
    <n v="314.87"/>
    <n v="0.29299999999999998"/>
    <n v="25"/>
    <n v="5565.3272500000003"/>
    <n v="4865"/>
    <n v="700.32725000000028"/>
    <n v="0.1258375686712763"/>
    <d v="2023-06-15T00:00:00"/>
    <s v="Q1-2025"/>
    <s v="Africa → South Africa → Durban"/>
    <s v="Low"/>
    <d v="2025-03-01T00:00:00"/>
    <d v="2023-01-01T00:00:00"/>
    <n v="26"/>
    <n v="0"/>
  </r>
  <r>
    <s v="ORD-2025-306251"/>
    <d v="2025-04-10T00:00:00"/>
    <d v="2025-04-19T00:00:00"/>
    <n v="9"/>
    <x v="3"/>
    <x v="9"/>
    <s v="Durban"/>
    <s v="Enterprise"/>
    <x v="5"/>
    <s v="G. Dubois"/>
    <x v="4"/>
    <s v="NET-5270"/>
    <n v="113.74"/>
    <n v="165.7"/>
    <n v="165.7"/>
    <n v="0.124"/>
    <n v="13"/>
    <n v="1886.9915999999998"/>
    <n v="1478.62"/>
    <n v="408.37159999999994"/>
    <n v="0.21641410592394794"/>
    <d v="2023-06-03T00:00:00"/>
    <s v="Q2-2025"/>
    <s v="Africa → South Africa → Durban"/>
    <s v="Low"/>
    <d v="2025-04-01T00:00:00"/>
    <d v="2023-01-01T00:00:00"/>
    <n v="27"/>
    <n v="0"/>
  </r>
  <r>
    <s v="ORD-2025-700847"/>
    <d v="2025-05-19T00:00:00"/>
    <d v="2025-05-21T00:00:00"/>
    <n v="2"/>
    <x v="3"/>
    <x v="9"/>
    <s v="Johannesburg"/>
    <s v="Non-Profit"/>
    <x v="3"/>
    <s v="O. Wang"/>
    <x v="6"/>
    <s v="LAP-7099"/>
    <n v="1263.8399999999999"/>
    <n v="2281.7199999999998"/>
    <n v="2281.7199999999998"/>
    <n v="7.8E-2"/>
    <n v="15"/>
    <n v="31556.187599999997"/>
    <n v="18957.599999999999"/>
    <n v="12598.587599999999"/>
    <n v="0.39924301882398494"/>
    <d v="2023-04-18T00:00:00"/>
    <s v="Q2-2025"/>
    <s v="Africa → South Africa → Johannesburg"/>
    <s v="High"/>
    <d v="2025-05-01T00:00:00"/>
    <d v="2023-01-01T00:00:00"/>
    <n v="28"/>
    <n v="1"/>
  </r>
  <r>
    <s v="ORD-2025-485946"/>
    <d v="2025-06-15T00:00:00"/>
    <d v="2025-06-30T00:00:00"/>
    <n v="15"/>
    <x v="3"/>
    <x v="9"/>
    <s v="Johannesburg"/>
    <s v="Small Business"/>
    <x v="2"/>
    <s v="C. Otieno"/>
    <x v="0"/>
    <s v="MON-5891"/>
    <n v="1487.59"/>
    <n v="1480.83"/>
    <n v="1480.83"/>
    <n v="8.9999999999999993E-3"/>
    <n v="11"/>
    <n v="16142.527829999999"/>
    <n v="16363.49"/>
    <n v="-220.9621700000007"/>
    <n v="-1.3688201273492908E-2"/>
    <d v="2023-04-19T00:00:00"/>
    <s v="Q2-2025"/>
    <s v="Africa → South Africa → Johannesburg"/>
    <s v="Medium"/>
    <d v="2025-06-01T00:00:00"/>
    <d v="2023-01-01T00:00:00"/>
    <n v="29"/>
    <n v="0"/>
  </r>
  <r>
    <s v="ORD-2025-262434"/>
    <d v="2025-06-19T00:00:00"/>
    <d v="2025-06-21T00:00:00"/>
    <n v="2"/>
    <x v="3"/>
    <x v="9"/>
    <s v="Johannesburg"/>
    <s v="Small Business"/>
    <x v="5"/>
    <s v="H. Kim"/>
    <x v="2"/>
    <s v="PHN-7379"/>
    <n v="1466.27"/>
    <n v="3589.89"/>
    <n v="3589.89"/>
    <n v="9.7000000000000003E-2"/>
    <n v="9"/>
    <n v="29175.036029999999"/>
    <n v="13196.43"/>
    <n v="15978.606029999999"/>
    <n v="0.54768076425234147"/>
    <d v="2023-04-06T00:00:00"/>
    <s v="Q2-2025"/>
    <s v="Africa → South Africa → Johannesburg"/>
    <s v="High"/>
    <d v="2025-06-01T00:00:00"/>
    <d v="2023-01-01T00:00:00"/>
    <n v="29"/>
    <n v="1"/>
  </r>
  <r>
    <s v="ORD-2025-908258"/>
    <d v="2025-06-21T00:00:00"/>
    <d v="2025-06-27T00:00:00"/>
    <n v="6"/>
    <x v="3"/>
    <x v="9"/>
    <s v="Durban"/>
    <s v="Enterprise"/>
    <x v="3"/>
    <s v="N. Brown"/>
    <x v="2"/>
    <s v="PHN-3819"/>
    <n v="93.91"/>
    <n v="99.04"/>
    <n v="99.04"/>
    <n v="5.7000000000000002E-2"/>
    <n v="6"/>
    <n v="560.36831999999993"/>
    <n v="563.46"/>
    <n v="-3.0916800000001103"/>
    <n v="-5.5172283829323376E-3"/>
    <d v="2023-04-26T00:00:00"/>
    <s v="Q2-2025"/>
    <s v="Africa → South Africa → Durban"/>
    <s v="Low"/>
    <d v="2025-06-01T00:00:00"/>
    <d v="2023-01-01T00:00:00"/>
    <n v="29"/>
    <n v="1"/>
  </r>
  <r>
    <s v="ORD-2025-312803"/>
    <d v="2025-06-24T00:00:00"/>
    <d v="2025-07-14T00:00:00"/>
    <n v="20"/>
    <x v="3"/>
    <x v="9"/>
    <s v="Johannesburg"/>
    <s v="Enterprise"/>
    <x v="0"/>
    <s v="J. Njeri"/>
    <x v="6"/>
    <s v="LAP-1308"/>
    <n v="1151.06"/>
    <n v="2821.36"/>
    <n v="2821.36"/>
    <n v="0.248"/>
    <n v="20"/>
    <n v="42433.254400000005"/>
    <n v="23021.199999999997"/>
    <n v="19412.054400000008"/>
    <n v="0.45747267501594235"/>
    <d v="2023-03-27T00:00:00"/>
    <s v="Q2-2025"/>
    <s v="Africa → South Africa → Johannesburg"/>
    <s v="High"/>
    <d v="2025-06-01T00:00:00"/>
    <d v="2023-01-01T00:00:00"/>
    <n v="29"/>
    <n v="0"/>
  </r>
  <r>
    <s v="ORD-2025-678688"/>
    <d v="2025-07-16T00:00:00"/>
    <d v="2025-07-17T00:00:00"/>
    <n v="1"/>
    <x v="3"/>
    <x v="9"/>
    <s v="Durban"/>
    <s v="Small Business"/>
    <x v="3"/>
    <s v="B. Chen"/>
    <x v="4"/>
    <s v="NET-1612"/>
    <n v="1198.9000000000001"/>
    <n v="2941.2"/>
    <n v="2941.2"/>
    <n v="5.0999999999999997E-2"/>
    <n v="24"/>
    <n v="66988.771199999988"/>
    <n v="28773.600000000002"/>
    <n v="38215.171199999982"/>
    <n v="0.57047129713583977"/>
    <d v="2023-03-17T00:00:00"/>
    <s v="Q3-2025"/>
    <s v="Africa → South Africa → Durban"/>
    <s v="High"/>
    <d v="2025-07-01T00:00:00"/>
    <d v="2023-01-01T00:00:00"/>
    <n v="30"/>
    <n v="1"/>
  </r>
  <r>
    <s v="ORD-2025-474710"/>
    <d v="2025-07-24T00:00:00"/>
    <d v="2025-08-06T00:00:00"/>
    <n v="13"/>
    <x v="3"/>
    <x v="9"/>
    <s v="Johannesburg"/>
    <s v="Education"/>
    <x v="0"/>
    <s v="D. Smith"/>
    <x v="4"/>
    <s v="NET-7966"/>
    <n v="1463.9"/>
    <n v="2633.02"/>
    <n v="2633.02"/>
    <n v="8.4000000000000005E-2"/>
    <n v="4"/>
    <n v="9647.3852800000004"/>
    <n v="5855.6"/>
    <n v="3791.7852800000001"/>
    <n v="0.39303761277791527"/>
    <d v="2023-02-23T00:00:00"/>
    <s v="Q3-2025"/>
    <s v="Africa → South Africa → Johannesburg"/>
    <s v="High"/>
    <d v="2025-07-01T00:00:00"/>
    <d v="2023-01-01T00:00:00"/>
    <n v="30"/>
    <n v="0"/>
  </r>
  <r>
    <s v="ORD-2025-588029"/>
    <d v="2025-09-14T00:00:00"/>
    <d v="2025-09-23T00:00:00"/>
    <n v="9"/>
    <x v="3"/>
    <x v="9"/>
    <s v="Durban"/>
    <s v="Non-Profit"/>
    <x v="1"/>
    <s v="D. Smith"/>
    <x v="1"/>
    <s v="CMP-6898"/>
    <n v="1310.3"/>
    <n v="2875.8"/>
    <n v="2875.8"/>
    <n v="8.3000000000000004E-2"/>
    <n v="5"/>
    <n v="13185.543"/>
    <n v="6551.5"/>
    <n v="6634.0429999999997"/>
    <n v="0.50313005691157353"/>
    <d v="2023-01-13T00:00:00"/>
    <s v="Q3-2025"/>
    <s v="Africa → South Africa → Durban"/>
    <s v="High"/>
    <d v="2025-09-01T00:00:00"/>
    <d v="2023-01-01T00:00:00"/>
    <n v="32"/>
    <n v="0"/>
  </r>
  <r>
    <s v="ORD-2023-780206"/>
    <d v="2023-01-19T00:00:00"/>
    <d v="2023-02-03T00:00:00"/>
    <n v="15"/>
    <x v="2"/>
    <x v="10"/>
    <s v="London"/>
    <s v="Enterprise"/>
    <x v="3"/>
    <s v="G. Dubois"/>
    <x v="5"/>
    <s v="ACC-3645"/>
    <n v="873.06"/>
    <n v="2101.5500000000002"/>
    <n v="2101.5500000000002"/>
    <n v="6.6000000000000003E-2"/>
    <n v="10"/>
    <n v="19628.476999999999"/>
    <n v="8730.5999999999985"/>
    <n v="10897.877"/>
    <n v="0.55520746719167269"/>
    <d v="2025-09-15T00:00:00"/>
    <s v="Q1-2023"/>
    <s v="Europe → United Kingdom → London"/>
    <s v="High"/>
    <d v="2023-01-01T00:00:00"/>
    <d v="2023-01-01T00:00:00"/>
    <n v="0"/>
    <n v="0"/>
  </r>
  <r>
    <s v="ORD-2023-430904"/>
    <d v="2023-01-27T00:00:00"/>
    <d v="2023-01-31T00:00:00"/>
    <n v="4"/>
    <x v="2"/>
    <x v="10"/>
    <s v="Manchester"/>
    <s v="Enterprise"/>
    <x v="1"/>
    <s v="N. Brown"/>
    <x v="6"/>
    <s v="LAP-9782"/>
    <n v="941.2"/>
    <n v="668.02"/>
    <n v="668.02"/>
    <n v="0.22"/>
    <n v="16"/>
    <n v="8336.8896000000004"/>
    <n v="15059.2"/>
    <n v="-6722.3104000000003"/>
    <n v="-0.80633314371825193"/>
    <d v="2025-09-08T00:00:00"/>
    <s v="Q1-2023"/>
    <s v="Europe → United Kingdom → Manchester"/>
    <s v="Low"/>
    <d v="2023-01-01T00:00:00"/>
    <d v="2023-01-01T00:00:00"/>
    <n v="0"/>
    <n v="1"/>
  </r>
  <r>
    <s v="ORD-2023-735274"/>
    <d v="2023-02-23T00:00:00"/>
    <d v="2023-03-08T00:00:00"/>
    <n v="13"/>
    <x v="2"/>
    <x v="10"/>
    <s v="Manchester"/>
    <s v="Small Business"/>
    <x v="2"/>
    <s v="C. Otieno"/>
    <x v="3"/>
    <s v="PRN-7410"/>
    <n v="307.37"/>
    <n v="462.61"/>
    <n v="462.61"/>
    <n v="0.188"/>
    <n v="11"/>
    <n v="4132.0325200000007"/>
    <n v="3381.07"/>
    <n v="750.9625200000005"/>
    <n v="0.18174167709599739"/>
    <d v="2025-08-20T00:00:00"/>
    <s v="Q1-2023"/>
    <s v="Europe → United Kingdom → Manchester"/>
    <s v="Low"/>
    <d v="2023-02-01T00:00:00"/>
    <d v="2023-01-01T00:00:00"/>
    <n v="1"/>
    <n v="0"/>
  </r>
  <r>
    <s v="ORD-2023-548874"/>
    <d v="2023-03-19T00:00:00"/>
    <d v="2023-04-09T00:00:00"/>
    <n v="21"/>
    <x v="2"/>
    <x v="10"/>
    <s v="Manchester"/>
    <s v="Consumer"/>
    <x v="4"/>
    <s v="L. Okafor"/>
    <x v="5"/>
    <s v="ACC-9150"/>
    <n v="1082.17"/>
    <n v="1234.0999999999999"/>
    <n v="1234.0999999999999"/>
    <n v="0.189"/>
    <n v="16"/>
    <n v="16013.681599999998"/>
    <n v="17314.72"/>
    <n v="-1301.0384000000031"/>
    <n v="-8.124542703534228E-2"/>
    <d v="2025-07-11T00:00:00"/>
    <s v="Q1-2023"/>
    <s v="Europe → United Kingdom → Manchester"/>
    <s v="Medium"/>
    <d v="2023-03-01T00:00:00"/>
    <d v="2023-01-01T00:00:00"/>
    <n v="2"/>
    <n v="0"/>
  </r>
  <r>
    <s v="ORD-2023-868734"/>
    <d v="2023-04-06T00:00:00"/>
    <d v="2023-04-27T00:00:00"/>
    <n v="21"/>
    <x v="2"/>
    <x v="10"/>
    <s v="Manchester"/>
    <s v="Enterprise"/>
    <x v="3"/>
    <s v="I. Johnson"/>
    <x v="3"/>
    <s v="PRN-8970"/>
    <n v="1084.79"/>
    <n v="2484.9899999999998"/>
    <n v="2484.9899999999998"/>
    <n v="3.4000000000000002E-2"/>
    <n v="18"/>
    <n v="43209.006119999991"/>
    <n v="19526.22"/>
    <n v="23682.78611999999"/>
    <n v="0.54809837685755114"/>
    <d v="2025-06-24T00:00:00"/>
    <s v="Q2-2023"/>
    <s v="Europe → United Kingdom → Manchester"/>
    <s v="High"/>
    <d v="2023-04-01T00:00:00"/>
    <d v="2023-01-01T00:00:00"/>
    <n v="3"/>
    <n v="0"/>
  </r>
  <r>
    <s v="ORD-2023-294716"/>
    <d v="2023-04-10T00:00:00"/>
    <d v="2023-04-25T00:00:00"/>
    <n v="15"/>
    <x v="2"/>
    <x v="10"/>
    <s v="London"/>
    <s v="Small Business"/>
    <x v="4"/>
    <s v="D. Smith"/>
    <x v="3"/>
    <s v="PRN-5067"/>
    <n v="405.66"/>
    <n v="962.51"/>
    <n v="962.51"/>
    <n v="0.19"/>
    <n v="7"/>
    <n v="5457.4317000000001"/>
    <n v="2839.6200000000003"/>
    <n v="2617.8116999999997"/>
    <n v="0.47967832561239376"/>
    <d v="2025-06-19T00:00:00"/>
    <s v="Q2-2023"/>
    <s v="Europe → United Kingdom → London"/>
    <s v="Medium"/>
    <d v="2023-04-01T00:00:00"/>
    <d v="2023-01-01T00:00:00"/>
    <n v="3"/>
    <n v="0"/>
  </r>
  <r>
    <s v="ORD-2023-256951"/>
    <d v="2023-04-19T00:00:00"/>
    <d v="2023-05-07T00:00:00"/>
    <n v="18"/>
    <x v="2"/>
    <x v="10"/>
    <s v="London"/>
    <s v="Non-Profit"/>
    <x v="2"/>
    <s v="H. Kim"/>
    <x v="4"/>
    <s v="NET-2439"/>
    <n v="516.96"/>
    <n v="745.38"/>
    <n v="745.38"/>
    <n v="0.19700000000000001"/>
    <n v="4"/>
    <n v="2394.1605599999998"/>
    <n v="2067.84"/>
    <n v="326.32055999999966"/>
    <n v="0.13629852794835101"/>
    <d v="2025-06-14T00:00:00"/>
    <s v="Q2-2023"/>
    <s v="Europe → United Kingdom → London"/>
    <s v="Low"/>
    <d v="2023-04-01T00:00:00"/>
    <d v="2023-01-01T00:00:00"/>
    <n v="3"/>
    <n v="0"/>
  </r>
  <r>
    <s v="ORD-2023-501220"/>
    <d v="2023-04-19T00:00:00"/>
    <d v="2023-05-07T00:00:00"/>
    <n v="18"/>
    <x v="2"/>
    <x v="10"/>
    <s v="Birmingham"/>
    <s v="Enterprise"/>
    <x v="4"/>
    <s v="N. Brown"/>
    <x v="6"/>
    <s v="LAP-9766"/>
    <n v="1089.1500000000001"/>
    <n v="1088.2"/>
    <n v="1088.2"/>
    <n v="5.0999999999999997E-2"/>
    <n v="15"/>
    <n v="15490.527"/>
    <n v="16337.250000000002"/>
    <n v="-846.72300000000178"/>
    <n v="-5.4660696824582002E-2"/>
    <d v="2025-06-21T00:00:00"/>
    <s v="Q2-2023"/>
    <s v="Europe → United Kingdom → Birmingham"/>
    <s v="Medium"/>
    <d v="2023-04-01T00:00:00"/>
    <d v="2023-01-01T00:00:00"/>
    <n v="3"/>
    <n v="0"/>
  </r>
  <r>
    <s v="ORD-2023-927385"/>
    <d v="2023-05-29T00:00:00"/>
    <d v="2023-06-20T00:00:00"/>
    <n v="22"/>
    <x v="2"/>
    <x v="10"/>
    <s v="London"/>
    <s v="Small Business"/>
    <x v="2"/>
    <s v="K. Singh"/>
    <x v="1"/>
    <s v="CMP-8545"/>
    <n v="1295.3900000000001"/>
    <n v="2905.06"/>
    <n v="2905.06"/>
    <n v="0.14799999999999999"/>
    <n v="8"/>
    <n v="19800.88896"/>
    <n v="10363.120000000001"/>
    <n v="9437.7689599999994"/>
    <n v="0.47663359857556614"/>
    <d v="2025-05-12T00:00:00"/>
    <s v="Q2-2023"/>
    <s v="Europe → United Kingdom → London"/>
    <s v="High"/>
    <d v="2023-05-01T00:00:00"/>
    <d v="2023-01-01T00:00:00"/>
    <n v="4"/>
    <n v="0"/>
  </r>
  <r>
    <s v="ORD-2023-386663"/>
    <d v="2023-06-05T00:00:00"/>
    <d v="2023-06-28T00:00:00"/>
    <n v="23"/>
    <x v="2"/>
    <x v="10"/>
    <s v="Birmingham"/>
    <s v="Corporate"/>
    <x v="2"/>
    <s v="K. Singh"/>
    <x v="3"/>
    <s v="PRN-3690"/>
    <n v="605.82000000000005"/>
    <n v="771.12"/>
    <n v="771.12"/>
    <n v="0.13200000000000001"/>
    <n v="19"/>
    <n v="12717.311040000001"/>
    <n v="11510.580000000002"/>
    <n v="1206.7310399999988"/>
    <n v="9.4888851597986767E-2"/>
    <d v="2025-04-14T00:00:00"/>
    <s v="Q2-2023"/>
    <s v="Europe → United Kingdom → Birmingham"/>
    <s v="Low"/>
    <d v="2023-06-01T00:00:00"/>
    <d v="2023-01-01T00:00:00"/>
    <n v="5"/>
    <n v="0"/>
  </r>
  <r>
    <s v="ORD-2023-290279"/>
    <d v="2023-06-14T00:00:00"/>
    <d v="2023-06-16T00:00:00"/>
    <n v="2"/>
    <x v="2"/>
    <x v="10"/>
    <s v="Manchester"/>
    <s v="Non-Profit"/>
    <x v="2"/>
    <s v="K. Singh"/>
    <x v="1"/>
    <s v="CMP-5820"/>
    <n v="357.36"/>
    <n v="703.62"/>
    <n v="703.62"/>
    <n v="0.25700000000000001"/>
    <n v="20"/>
    <n v="10455.7932"/>
    <n v="7147.2000000000007"/>
    <n v="3308.5931999999993"/>
    <n v="0.31643636563125593"/>
    <d v="2025-04-12T00:00:00"/>
    <s v="Q2-2023"/>
    <s v="Europe → United Kingdom → Manchester"/>
    <s v="Low"/>
    <d v="2023-06-01T00:00:00"/>
    <d v="2023-01-01T00:00:00"/>
    <n v="5"/>
    <n v="1"/>
  </r>
  <r>
    <s v="ORD-2023-173313"/>
    <d v="2023-06-15T00:00:00"/>
    <d v="2023-07-12T00:00:00"/>
    <n v="27"/>
    <x v="2"/>
    <x v="10"/>
    <s v="Manchester"/>
    <s v="Consumer"/>
    <x v="2"/>
    <s v="I. Johnson"/>
    <x v="5"/>
    <s v="ACC-3833"/>
    <n v="751.28"/>
    <n v="1111.8800000000001"/>
    <n v="1111.8800000000001"/>
    <n v="0.13500000000000001"/>
    <n v="7"/>
    <n v="6732.4334000000008"/>
    <n v="5258.96"/>
    <n v="1473.4734000000008"/>
    <n v="0.21886193482433863"/>
    <d v="2025-04-06T00:00:00"/>
    <s v="Q2-2023"/>
    <s v="Europe → United Kingdom → Manchester"/>
    <s v="Medium"/>
    <d v="2023-06-01T00:00:00"/>
    <d v="2023-01-01T00:00:00"/>
    <n v="5"/>
    <n v="0"/>
  </r>
  <r>
    <s v="ORD-2023-920483"/>
    <d v="2023-07-02T00:00:00"/>
    <d v="2023-08-01T00:00:00"/>
    <n v="30"/>
    <x v="2"/>
    <x v="10"/>
    <s v="Birmingham"/>
    <s v="Small Business"/>
    <x v="4"/>
    <s v="B. Chen"/>
    <x v="1"/>
    <s v="CMP-7256"/>
    <n v="137.46"/>
    <n v="188.3"/>
    <n v="188.3"/>
    <n v="3.7999999999999999E-2"/>
    <n v="37"/>
    <n v="6702.3501999999999"/>
    <n v="5086.0200000000004"/>
    <n v="1616.3301999999994"/>
    <n v="0.24115872071262398"/>
    <d v="2025-03-31T00:00:00"/>
    <s v="Q3-2023"/>
    <s v="Europe → United Kingdom → Birmingham"/>
    <s v="Low"/>
    <d v="2023-07-01T00:00:00"/>
    <d v="2023-01-01T00:00:00"/>
    <n v="6"/>
    <n v="0"/>
  </r>
  <r>
    <s v="ORD-2023-569862"/>
    <d v="2023-07-16T00:00:00"/>
    <d v="2023-08-13T00:00:00"/>
    <n v="28"/>
    <x v="2"/>
    <x v="10"/>
    <s v="Manchester"/>
    <s v="Non-Profit"/>
    <x v="1"/>
    <s v="J. Njeri"/>
    <x v="6"/>
    <s v="LAP-1178"/>
    <n v="1039.03"/>
    <n v="2545.81"/>
    <n v="2545.81"/>
    <n v="0.216"/>
    <n v="21"/>
    <n v="41914.215840000004"/>
    <n v="21819.63"/>
    <n v="20094.585840000003"/>
    <n v="0.47942172929364774"/>
    <d v="2025-03-10T00:00:00"/>
    <s v="Q3-2023"/>
    <s v="Europe → United Kingdom → Manchester"/>
    <s v="High"/>
    <d v="2023-07-01T00:00:00"/>
    <d v="2023-01-01T00:00:00"/>
    <n v="6"/>
    <n v="0"/>
  </r>
  <r>
    <s v="ORD-2023-197661"/>
    <d v="2023-08-08T00:00:00"/>
    <d v="2023-08-22T00:00:00"/>
    <n v="14"/>
    <x v="2"/>
    <x v="10"/>
    <s v="Birmingham"/>
    <s v="Non-Profit"/>
    <x v="2"/>
    <s v="N. Brown"/>
    <x v="0"/>
    <s v="MON-7511"/>
    <n v="446.69"/>
    <n v="967.25"/>
    <n v="967.25"/>
    <n v="9.4E-2"/>
    <n v="10"/>
    <n v="8763.2849999999999"/>
    <n v="4466.8999999999996"/>
    <n v="4296.3850000000002"/>
    <n v="0.49027105702941309"/>
    <d v="2025-02-04T00:00:00"/>
    <s v="Q3-2023"/>
    <s v="Europe → United Kingdom → Birmingham"/>
    <s v="Medium"/>
    <d v="2023-08-01T00:00:00"/>
    <d v="2023-01-01T00:00:00"/>
    <n v="7"/>
    <n v="0"/>
  </r>
  <r>
    <s v="ORD-2023-375011"/>
    <d v="2023-08-23T00:00:00"/>
    <d v="2023-09-22T00:00:00"/>
    <n v="30"/>
    <x v="2"/>
    <x v="10"/>
    <s v="London"/>
    <s v="Consumer"/>
    <x v="3"/>
    <s v="O. Wang"/>
    <x v="5"/>
    <s v="ACC-1492"/>
    <n v="209.81"/>
    <n v="523"/>
    <n v="523"/>
    <n v="5.8999999999999997E-2"/>
    <n v="15"/>
    <n v="7382.1450000000004"/>
    <n v="3147.15"/>
    <n v="4234.9950000000008"/>
    <n v="0.57368082041195356"/>
    <d v="2025-01-13T00:00:00"/>
    <s v="Q3-2023"/>
    <s v="Europe → United Kingdom → London"/>
    <s v="Low"/>
    <d v="2023-08-01T00:00:00"/>
    <d v="2023-01-01T00:00:00"/>
    <n v="7"/>
    <n v="0"/>
  </r>
  <r>
    <s v="ORD-2023-664749"/>
    <d v="2023-08-27T00:00:00"/>
    <d v="2023-09-11T00:00:00"/>
    <n v="15"/>
    <x v="2"/>
    <x v="10"/>
    <s v="London"/>
    <s v="Consumer"/>
    <x v="0"/>
    <s v="N. Brown"/>
    <x v="3"/>
    <s v="PRN-5107"/>
    <n v="943.79"/>
    <n v="1913.76"/>
    <n v="1913.76"/>
    <n v="9.0999999999999998E-2"/>
    <n v="9"/>
    <n v="15656.47056"/>
    <n v="8494.11"/>
    <n v="7162.3605599999992"/>
    <n v="0.45746967891338081"/>
    <d v="2025-01-20T00:00:00"/>
    <s v="Q3-2023"/>
    <s v="Europe → United Kingdom → London"/>
    <s v="High"/>
    <d v="2023-08-01T00:00:00"/>
    <d v="2023-01-01T00:00:00"/>
    <n v="7"/>
    <n v="0"/>
  </r>
  <r>
    <s v="ORD-2023-667815"/>
    <d v="2023-10-21T00:00:00"/>
    <d v="2023-11-09T00:00:00"/>
    <n v="19"/>
    <x v="2"/>
    <x v="10"/>
    <s v="London"/>
    <s v="Non-Profit"/>
    <x v="2"/>
    <s v="A. Patel"/>
    <x v="5"/>
    <s v="ACC-8557"/>
    <n v="1142.48"/>
    <n v="2105.5300000000002"/>
    <n v="2105.5300000000002"/>
    <n v="0.20699999999999999"/>
    <n v="14"/>
    <n v="23375.594060000003"/>
    <n v="15994.720000000001"/>
    <n v="7380.8740600000019"/>
    <n v="0.31575129346680658"/>
    <d v="2024-12-12T00:00:00"/>
    <s v="Q4-2023"/>
    <s v="Europe → United Kingdom → London"/>
    <s v="High"/>
    <d v="2023-10-01T00:00:00"/>
    <d v="2023-01-01T00:00:00"/>
    <n v="9"/>
    <n v="0"/>
  </r>
  <r>
    <s v="ORD-2023-659070"/>
    <d v="2023-10-21T00:00:00"/>
    <d v="2023-10-21T00:00:00"/>
    <n v="0"/>
    <x v="2"/>
    <x v="10"/>
    <s v="Manchester"/>
    <s v="Enterprise"/>
    <x v="3"/>
    <s v="J. Njeri"/>
    <x v="0"/>
    <s v="MON-8697"/>
    <n v="384.19"/>
    <n v="278.35000000000002"/>
    <n v="278.35000000000002"/>
    <n v="5.6000000000000001E-2"/>
    <n v="10"/>
    <n v="2627.6239999999998"/>
    <n v="3841.9"/>
    <n v="-1214.2760000000003"/>
    <n v="-0.46211938998882657"/>
    <d v="2024-12-10T00:00:00"/>
    <s v="Q4-2023"/>
    <s v="Europe → United Kingdom → Manchester"/>
    <s v="Low"/>
    <d v="2023-10-01T00:00:00"/>
    <d v="2023-01-01T00:00:00"/>
    <n v="9"/>
    <n v="1"/>
  </r>
  <r>
    <s v="ORD-2023-181257"/>
    <d v="2023-11-15T00:00:00"/>
    <d v="2023-12-06T00:00:00"/>
    <n v="21"/>
    <x v="2"/>
    <x v="10"/>
    <s v="Manchester"/>
    <s v="Education"/>
    <x v="2"/>
    <s v="H. Kim"/>
    <x v="5"/>
    <s v="ACC-1060"/>
    <n v="1184.99"/>
    <n v="1154.3399999999999"/>
    <n v="1154.3399999999999"/>
    <n v="2.8000000000000001E-2"/>
    <n v="5"/>
    <n v="5610.0923999999995"/>
    <n v="5924.95"/>
    <n v="-314.85760000000028"/>
    <n v="-5.6123424990290764E-2"/>
    <d v="2024-11-02T00:00:00"/>
    <s v="Q4-2023"/>
    <s v="Europe → United Kingdom → Manchester"/>
    <s v="Medium"/>
    <d v="2023-11-01T00:00:00"/>
    <d v="2023-01-01T00:00:00"/>
    <n v="10"/>
    <n v="0"/>
  </r>
  <r>
    <s v="ORD-2024-921935"/>
    <d v="2024-01-01T00:00:00"/>
    <d v="2024-01-27T00:00:00"/>
    <n v="26"/>
    <x v="2"/>
    <x v="10"/>
    <s v="Manchester"/>
    <s v="Education"/>
    <x v="3"/>
    <s v="D. Smith"/>
    <x v="5"/>
    <s v="ACC-3103"/>
    <n v="657.45"/>
    <n v="1325.96"/>
    <n v="1325.96"/>
    <n v="0.16700000000000001"/>
    <n v="21"/>
    <n v="23195.01828"/>
    <n v="13806.45"/>
    <n v="9388.5682799999995"/>
    <n v="0.40476658249048808"/>
    <d v="2024-10-22T00:00:00"/>
    <s v="Q1-2024"/>
    <s v="Europe → United Kingdom → Manchester"/>
    <s v="Medium"/>
    <d v="2024-01-01T00:00:00"/>
    <d v="2023-01-01T00:00:00"/>
    <n v="12"/>
    <n v="0"/>
  </r>
  <r>
    <s v="ORD-2024-207669"/>
    <d v="2024-01-24T00:00:00"/>
    <d v="2024-02-04T00:00:00"/>
    <n v="11"/>
    <x v="2"/>
    <x v="10"/>
    <s v="Manchester"/>
    <s v="Consumer"/>
    <x v="4"/>
    <s v="B. Chen"/>
    <x v="6"/>
    <s v="LAP-5689"/>
    <n v="525.34"/>
    <n v="1233.79"/>
    <n v="1233.79"/>
    <n v="0.14299999999999999"/>
    <n v="4"/>
    <n v="4229.4321199999995"/>
    <n v="2101.36"/>
    <n v="2128.0721199999994"/>
    <n v="0.50315788494082736"/>
    <d v="2024-08-27T00:00:00"/>
    <s v="Q1-2024"/>
    <s v="Europe → United Kingdom → Manchester"/>
    <s v="Medium"/>
    <d v="2024-01-01T00:00:00"/>
    <d v="2023-01-01T00:00:00"/>
    <n v="12"/>
    <n v="0"/>
  </r>
  <r>
    <s v="ORD-2024-907733"/>
    <d v="2024-03-09T00:00:00"/>
    <d v="2024-03-22T00:00:00"/>
    <n v="13"/>
    <x v="2"/>
    <x v="10"/>
    <s v="Manchester"/>
    <s v="Consumer"/>
    <x v="1"/>
    <s v="E. Garcia"/>
    <x v="6"/>
    <s v="LAP-8633"/>
    <n v="985.45"/>
    <n v="1802.44"/>
    <n v="1802.44"/>
    <n v="8.9999999999999993E-3"/>
    <n v="19"/>
    <n v="33938.142760000002"/>
    <n v="18723.55"/>
    <n v="15214.592760000003"/>
    <n v="0.44830363486867486"/>
    <d v="2024-06-29T00:00:00"/>
    <s v="Q1-2024"/>
    <s v="Europe → United Kingdom → Manchester"/>
    <s v="High"/>
    <d v="2024-03-01T00:00:00"/>
    <d v="2023-01-01T00:00:00"/>
    <n v="14"/>
    <n v="0"/>
  </r>
  <r>
    <s v="ORD-2024-629525"/>
    <d v="2024-04-18T00:00:00"/>
    <d v="2024-05-08T00:00:00"/>
    <n v="20"/>
    <x v="2"/>
    <x v="10"/>
    <s v="London"/>
    <s v="Non-Profit"/>
    <x v="5"/>
    <s v="D. Smith"/>
    <x v="6"/>
    <s v="LAP-9932"/>
    <n v="645.33000000000004"/>
    <n v="1321.85"/>
    <n v="1321.85"/>
    <n v="0"/>
    <n v="10"/>
    <n v="13218.5"/>
    <n v="6453.3"/>
    <n v="6765.2"/>
    <n v="0.51179785906116426"/>
    <d v="2024-06-16T00:00:00"/>
    <s v="Q2-2024"/>
    <s v="Europe → United Kingdom → London"/>
    <s v="Medium"/>
    <d v="2024-04-01T00:00:00"/>
    <d v="2023-01-01T00:00:00"/>
    <n v="15"/>
    <n v="0"/>
  </r>
  <r>
    <s v="ORD-2024-567435"/>
    <d v="2024-04-24T00:00:00"/>
    <d v="2024-04-26T00:00:00"/>
    <n v="2"/>
    <x v="2"/>
    <x v="10"/>
    <s v="London"/>
    <s v="Non-Profit"/>
    <x v="3"/>
    <s v="N. Brown"/>
    <x v="2"/>
    <s v="PHN-9107"/>
    <n v="1232.77"/>
    <n v="891.73"/>
    <n v="891.73"/>
    <n v="0.16700000000000001"/>
    <n v="10"/>
    <n v="7428.1108999999988"/>
    <n v="12327.7"/>
    <n v="-4899.589100000002"/>
    <n v="-0.65960096260813805"/>
    <d v="2024-06-04T00:00:00"/>
    <s v="Q2-2024"/>
    <s v="Europe → United Kingdom → London"/>
    <s v="Medium"/>
    <d v="2024-04-01T00:00:00"/>
    <d v="2023-01-01T00:00:00"/>
    <n v="15"/>
    <n v="1"/>
  </r>
  <r>
    <s v="ORD-2024-641220"/>
    <d v="2024-05-10T00:00:00"/>
    <d v="2024-05-16T00:00:00"/>
    <n v="6"/>
    <x v="2"/>
    <x v="10"/>
    <s v="Birmingham"/>
    <s v="Non-Profit"/>
    <x v="2"/>
    <s v="G. Dubois"/>
    <x v="6"/>
    <s v="LAP-1066"/>
    <n v="210.76"/>
    <n v="221.58"/>
    <n v="221.58"/>
    <n v="8.8999999999999996E-2"/>
    <n v="5"/>
    <n v="1009.2969000000002"/>
    <n v="1053.8"/>
    <n v="-44.50309999999979"/>
    <n v="-4.4093170205912434E-2"/>
    <d v="2024-05-19T00:00:00"/>
    <s v="Q2-2024"/>
    <s v="Europe → United Kingdom → Birmingham"/>
    <s v="Low"/>
    <d v="2024-05-01T00:00:00"/>
    <d v="2023-01-01T00:00:00"/>
    <n v="16"/>
    <n v="1"/>
  </r>
  <r>
    <s v="ORD-2024-973420"/>
    <d v="2024-05-12T00:00:00"/>
    <d v="2024-05-24T00:00:00"/>
    <n v="12"/>
    <x v="2"/>
    <x v="10"/>
    <s v="Manchester"/>
    <s v="Education"/>
    <x v="0"/>
    <s v="K. Singh"/>
    <x v="3"/>
    <s v="PRN-5813"/>
    <n v="111.02"/>
    <n v="172.88"/>
    <n v="172.88"/>
    <n v="0.19700000000000001"/>
    <n v="29"/>
    <n v="4025.8565599999993"/>
    <n v="3219.58"/>
    <n v="806.27655999999934"/>
    <n v="0.20027453735212053"/>
    <d v="2024-05-23T00:00:00"/>
    <s v="Q2-2024"/>
    <s v="Europe → United Kingdom → Manchester"/>
    <s v="Low"/>
    <d v="2024-05-01T00:00:00"/>
    <d v="2023-01-01T00:00:00"/>
    <n v="16"/>
    <n v="0"/>
  </r>
  <r>
    <s v="ORD-2024-548345"/>
    <d v="2024-05-14T00:00:00"/>
    <d v="2024-05-28T00:00:00"/>
    <n v="14"/>
    <x v="2"/>
    <x v="10"/>
    <s v="Birmingham"/>
    <s v="Consumer"/>
    <x v="4"/>
    <s v="B. Chen"/>
    <x v="4"/>
    <s v="NET-2365"/>
    <n v="1421.14"/>
    <n v="3524"/>
    <n v="3524"/>
    <n v="0"/>
    <n v="31"/>
    <n v="109244"/>
    <n v="44055.340000000004"/>
    <n v="65188.659999999996"/>
    <n v="0.59672531214528945"/>
    <d v="2024-05-22T00:00:00"/>
    <s v="Q2-2024"/>
    <s v="Europe → United Kingdom → Birmingham"/>
    <s v="High"/>
    <d v="2024-05-01T00:00:00"/>
    <d v="2023-01-01T00:00:00"/>
    <n v="16"/>
    <n v="0"/>
  </r>
  <r>
    <s v="ORD-2024-223618"/>
    <d v="2024-06-10T00:00:00"/>
    <d v="2024-06-11T00:00:00"/>
    <n v="1"/>
    <x v="2"/>
    <x v="10"/>
    <s v="Birmingham"/>
    <s v="Small Business"/>
    <x v="0"/>
    <s v="M. Rossi"/>
    <x v="6"/>
    <s v="LAP-9230"/>
    <n v="1187.1300000000001"/>
    <n v="1795.17"/>
    <n v="1795.17"/>
    <n v="1.2E-2"/>
    <n v="17"/>
    <n v="30151.675319999998"/>
    <n v="20181.210000000003"/>
    <n v="9970.4653199999957"/>
    <n v="0.33067699271046663"/>
    <d v="2024-04-04T00:00:00"/>
    <s v="Q2-2024"/>
    <s v="Europe → United Kingdom → Birmingham"/>
    <s v="High"/>
    <d v="2024-06-01T00:00:00"/>
    <d v="2023-01-01T00:00:00"/>
    <n v="17"/>
    <n v="1"/>
  </r>
  <r>
    <s v="ORD-2024-704056"/>
    <d v="2024-06-23T00:00:00"/>
    <d v="2024-06-25T00:00:00"/>
    <n v="2"/>
    <x v="2"/>
    <x v="10"/>
    <s v="Birmingham"/>
    <s v="Small Business"/>
    <x v="0"/>
    <s v="L. Okafor"/>
    <x v="5"/>
    <s v="ACC-7838"/>
    <n v="951.44"/>
    <n v="1646.43"/>
    <n v="1646.43"/>
    <n v="0.11"/>
    <n v="24"/>
    <n v="35167.7448"/>
    <n v="22834.560000000001"/>
    <n v="12333.184799999999"/>
    <n v="0.35069592520473475"/>
    <d v="2024-04-05T00:00:00"/>
    <s v="Q2-2024"/>
    <s v="Europe → United Kingdom → Birmingham"/>
    <s v="High"/>
    <d v="2024-06-01T00:00:00"/>
    <d v="2023-01-01T00:00:00"/>
    <n v="17"/>
    <n v="1"/>
  </r>
  <r>
    <s v="ORD-2024-286833"/>
    <d v="2024-08-14T00:00:00"/>
    <d v="2024-09-04T00:00:00"/>
    <n v="21"/>
    <x v="2"/>
    <x v="10"/>
    <s v="Manchester"/>
    <s v="Non-Profit"/>
    <x v="1"/>
    <s v="J. Njeri"/>
    <x v="2"/>
    <s v="PHN-2341"/>
    <n v="1138.8"/>
    <n v="2250.81"/>
    <n v="2250.81"/>
    <n v="0.123"/>
    <n v="12"/>
    <n v="23687.524440000001"/>
    <n v="13665.599999999999"/>
    <n v="10021.924440000003"/>
    <n v="0.42308872188756258"/>
    <d v="2024-02-16T00:00:00"/>
    <s v="Q3-2024"/>
    <s v="Europe → United Kingdom → Manchester"/>
    <s v="High"/>
    <d v="2024-08-01T00:00:00"/>
    <d v="2023-01-01T00:00:00"/>
    <n v="19"/>
    <n v="0"/>
  </r>
  <r>
    <s v="ORD-2024-728474"/>
    <d v="2024-09-09T00:00:00"/>
    <d v="2024-09-13T00:00:00"/>
    <n v="4"/>
    <x v="2"/>
    <x v="10"/>
    <s v="London"/>
    <s v="Consumer"/>
    <x v="0"/>
    <s v="F. Müller"/>
    <x v="4"/>
    <s v="NET-1145"/>
    <n v="1133.08"/>
    <n v="976.17"/>
    <n v="976.17"/>
    <n v="4.2000000000000003E-2"/>
    <n v="27"/>
    <n v="25249.613219999999"/>
    <n v="30593.159999999996"/>
    <n v="-5343.5467799999969"/>
    <n v="-0.21162885678452373"/>
    <d v="2024-01-12T00:00:00"/>
    <s v="Q3-2024"/>
    <s v="Europe → United Kingdom → London"/>
    <s v="Medium"/>
    <d v="2024-09-01T00:00:00"/>
    <d v="2023-01-01T00:00:00"/>
    <n v="20"/>
    <n v="1"/>
  </r>
  <r>
    <s v="ORD-2024-500511"/>
    <d v="2024-10-08T00:00:00"/>
    <d v="2024-10-08T00:00:00"/>
    <n v="0"/>
    <x v="2"/>
    <x v="10"/>
    <s v="London"/>
    <s v="Corporate"/>
    <x v="1"/>
    <s v="E. Garcia"/>
    <x v="0"/>
    <s v="MON-9733"/>
    <n v="1108.1099999999999"/>
    <n v="2503.79"/>
    <n v="2503.79"/>
    <n v="0.184"/>
    <n v="19"/>
    <n v="38818.760160000005"/>
    <n v="21054.089999999997"/>
    <n v="17764.670160000009"/>
    <n v="0.45763105485025896"/>
    <d v="2023-12-20T00:00:00"/>
    <s v="Q4-2024"/>
    <s v="Europe → United Kingdom → London"/>
    <s v="High"/>
    <d v="2024-10-01T00:00:00"/>
    <d v="2023-01-01T00:00:00"/>
    <n v="21"/>
    <n v="1"/>
  </r>
  <r>
    <s v="ORD-2024-942981"/>
    <d v="2024-10-09T00:00:00"/>
    <d v="2024-11-08T00:00:00"/>
    <n v="30"/>
    <x v="2"/>
    <x v="10"/>
    <s v="Manchester"/>
    <s v="Small Business"/>
    <x v="3"/>
    <s v="J. Njeri"/>
    <x v="1"/>
    <s v="CMP-1072"/>
    <n v="343.85"/>
    <n v="538.04"/>
    <n v="538.04"/>
    <n v="0.13900000000000001"/>
    <n v="5"/>
    <n v="2316.2621999999997"/>
    <n v="1719.25"/>
    <n v="597.01219999999967"/>
    <n v="0.25774810813732563"/>
    <d v="2023-12-18T00:00:00"/>
    <s v="Q4-2024"/>
    <s v="Europe → United Kingdom → Manchester"/>
    <s v="Low"/>
    <d v="2024-10-01T00:00:00"/>
    <d v="2023-01-01T00:00:00"/>
    <n v="21"/>
    <n v="0"/>
  </r>
  <r>
    <s v="ORD-2024-964950"/>
    <d v="2024-10-10T00:00:00"/>
    <d v="2024-10-11T00:00:00"/>
    <n v="1"/>
    <x v="2"/>
    <x v="10"/>
    <s v="Manchester"/>
    <s v="Non-Profit"/>
    <x v="3"/>
    <s v="L. Okafor"/>
    <x v="1"/>
    <s v="CMP-8127"/>
    <n v="1389.46"/>
    <n v="1784.7"/>
    <n v="1784.7"/>
    <n v="0.14599999999999999"/>
    <n v="33"/>
    <n v="50296.415399999998"/>
    <n v="45852.18"/>
    <n v="4444.2353999999978"/>
    <n v="8.8360877503011831E-2"/>
    <d v="2023-12-24T00:00:00"/>
    <s v="Q4-2024"/>
    <s v="Europe → United Kingdom → Manchester"/>
    <s v="High"/>
    <d v="2024-10-01T00:00:00"/>
    <d v="2023-01-01T00:00:00"/>
    <n v="21"/>
    <n v="1"/>
  </r>
  <r>
    <s v="ORD-2024-925626"/>
    <d v="2024-11-04T00:00:00"/>
    <d v="2024-11-05T00:00:00"/>
    <n v="1"/>
    <x v="2"/>
    <x v="10"/>
    <s v="London"/>
    <s v="Corporate"/>
    <x v="4"/>
    <s v="M. Rossi"/>
    <x v="3"/>
    <s v="PRN-2293"/>
    <n v="840.68"/>
    <n v="1493.53"/>
    <n v="1493.53"/>
    <n v="0"/>
    <n v="27"/>
    <n v="40325.31"/>
    <n v="22698.359999999997"/>
    <n v="17626.95"/>
    <n v="0.43711877230454027"/>
    <d v="2023-12-05T00:00:00"/>
    <s v="Q4-2024"/>
    <s v="Europe → United Kingdom → London"/>
    <s v="Medium"/>
    <d v="2024-11-01T00:00:00"/>
    <d v="2023-01-01T00:00:00"/>
    <n v="22"/>
    <n v="1"/>
  </r>
  <r>
    <s v="ORD-2024-496601"/>
    <d v="2024-11-11T00:00:00"/>
    <d v="2024-11-24T00:00:00"/>
    <n v="13"/>
    <x v="2"/>
    <x v="10"/>
    <s v="London"/>
    <s v="Corporate"/>
    <x v="4"/>
    <s v="E. Garcia"/>
    <x v="4"/>
    <s v="NET-2932"/>
    <n v="164.53"/>
    <n v="327.72"/>
    <n v="327.72"/>
    <n v="6.7000000000000004E-2"/>
    <n v="14"/>
    <n v="4280.6786400000001"/>
    <n v="2303.42"/>
    <n v="1977.25864"/>
    <n v="0.46190307805960412"/>
    <d v="2023-12-05T00:00:00"/>
    <s v="Q4-2024"/>
    <s v="Europe → United Kingdom → London"/>
    <s v="Low"/>
    <d v="2024-11-01T00:00:00"/>
    <d v="2023-01-01T00:00:00"/>
    <n v="22"/>
    <n v="0"/>
  </r>
  <r>
    <s v="ORD-2024-140633"/>
    <d v="2024-12-07T00:00:00"/>
    <d v="2024-12-26T00:00:00"/>
    <n v="19"/>
    <x v="2"/>
    <x v="10"/>
    <s v="London"/>
    <s v="Enterprise"/>
    <x v="1"/>
    <s v="D. Smith"/>
    <x v="4"/>
    <s v="NET-4491"/>
    <n v="1035.24"/>
    <n v="2383.41"/>
    <n v="2383.41"/>
    <n v="0.17"/>
    <n v="15"/>
    <n v="29673.454499999993"/>
    <n v="15528.6"/>
    <n v="14144.854499999992"/>
    <n v="0.47668378145860962"/>
    <d v="2023-09-30T00:00:00"/>
    <s v="Q4-2024"/>
    <s v="Europe → United Kingdom → London"/>
    <s v="High"/>
    <d v="2024-12-01T00:00:00"/>
    <d v="2023-01-01T00:00:00"/>
    <n v="23"/>
    <n v="0"/>
  </r>
  <r>
    <s v="ORD-2024-930679"/>
    <d v="2024-12-17T00:00:00"/>
    <d v="2025-01-16T00:00:00"/>
    <n v="30"/>
    <x v="2"/>
    <x v="10"/>
    <s v="Manchester"/>
    <s v="Corporate"/>
    <x v="4"/>
    <s v="D. Smith"/>
    <x v="0"/>
    <s v="MON-4215"/>
    <n v="722.87"/>
    <n v="-33.659999999999997"/>
    <n v="33.659999999999997"/>
    <n v="0.10199999999999999"/>
    <n v="28"/>
    <n v="846.34703999999988"/>
    <n v="20240.36"/>
    <n v="-19394.01296"/>
    <n v="-22.914965189693348"/>
    <d v="2023-10-18T00:00:00"/>
    <s v="Q4-2024"/>
    <s v="Europe → United Kingdom → Manchester"/>
    <s v="Low"/>
    <d v="2024-12-01T00:00:00"/>
    <d v="2023-01-01T00:00:00"/>
    <n v="23"/>
    <n v="0"/>
  </r>
  <r>
    <s v="ORD-2024-165942"/>
    <d v="2024-12-29T00:00:00"/>
    <d v="2025-01-12T00:00:00"/>
    <n v="14"/>
    <x v="2"/>
    <x v="10"/>
    <s v="Manchester"/>
    <s v="Corporate"/>
    <x v="2"/>
    <s v="B. Chen"/>
    <x v="0"/>
    <s v="MON-6310"/>
    <n v="1399.72"/>
    <n v="3149.21"/>
    <n v="3149.21"/>
    <n v="0.185"/>
    <n v="12"/>
    <n v="30799.273800000003"/>
    <n v="16796.64"/>
    <n v="14002.633800000003"/>
    <n v="0.45464168703873797"/>
    <d v="2023-09-08T00:00:00"/>
    <s v="Q4-2024"/>
    <s v="Europe → United Kingdom → Manchester"/>
    <s v="High"/>
    <d v="2024-12-01T00:00:00"/>
    <d v="2023-01-01T00:00:00"/>
    <n v="23"/>
    <n v="0"/>
  </r>
  <r>
    <s v="ORD-2025-192876"/>
    <d v="2025-01-31T00:00:00"/>
    <d v="2025-02-17T00:00:00"/>
    <n v="17"/>
    <x v="2"/>
    <x v="10"/>
    <s v="London"/>
    <s v="Enterprise"/>
    <x v="4"/>
    <s v="H. Kim"/>
    <x v="1"/>
    <s v="CMP-5820"/>
    <n v="378.26"/>
    <n v="541.55999999999995"/>
    <n v="541.55999999999995"/>
    <n v="0.16300000000000001"/>
    <n v="25"/>
    <n v="11332.142999999998"/>
    <n v="9456.5"/>
    <n v="1875.6429999999982"/>
    <n v="0.16551529573885526"/>
    <d v="2023-08-30T00:00:00"/>
    <s v="Q1-2025"/>
    <s v="Europe → United Kingdom → London"/>
    <s v="Low"/>
    <d v="2025-01-01T00:00:00"/>
    <d v="2023-01-01T00:00:00"/>
    <n v="24"/>
    <n v="0"/>
  </r>
  <r>
    <s v="ORD-2025-964661"/>
    <d v="2025-02-04T00:00:00"/>
    <d v="2025-02-25T00:00:00"/>
    <n v="21"/>
    <x v="2"/>
    <x v="10"/>
    <s v="Birmingham"/>
    <s v="Corporate"/>
    <x v="0"/>
    <s v="D. Smith"/>
    <x v="0"/>
    <s v="MON-4959"/>
    <n v="1016.32"/>
    <n v="2253.42"/>
    <n v="2253.42"/>
    <n v="5.5E-2"/>
    <n v="12"/>
    <n v="25553.782800000001"/>
    <n v="12195.84"/>
    <n v="13357.942800000001"/>
    <n v="0.52273837124419797"/>
    <d v="2023-08-30T00:00:00"/>
    <s v="Q1-2025"/>
    <s v="Europe → United Kingdom → Birmingham"/>
    <s v="High"/>
    <d v="2025-02-01T00:00:00"/>
    <d v="2023-01-01T00:00:00"/>
    <n v="25"/>
    <n v="0"/>
  </r>
  <r>
    <s v="ORD-2025-659650"/>
    <d v="2025-02-04T00:00:00"/>
    <d v="2025-02-08T00:00:00"/>
    <n v="4"/>
    <x v="2"/>
    <x v="10"/>
    <s v="Manchester"/>
    <s v="Enterprise"/>
    <x v="0"/>
    <s v="L. Okafor"/>
    <x v="4"/>
    <s v="NET-2502"/>
    <n v="586.21"/>
    <n v="727.22"/>
    <n v="727.22"/>
    <n v="6.8000000000000005E-2"/>
    <n v="15"/>
    <n v="10166.535600000001"/>
    <n v="8793.1500000000015"/>
    <n v="1373.3855999999996"/>
    <n v="0.13508884973559721"/>
    <d v="2023-08-03T00:00:00"/>
    <s v="Q1-2025"/>
    <s v="Europe → United Kingdom → Manchester"/>
    <s v="Low"/>
    <d v="2025-02-01T00:00:00"/>
    <d v="2023-01-01T00:00:00"/>
    <n v="25"/>
    <n v="1"/>
  </r>
  <r>
    <s v="ORD-2025-330203"/>
    <d v="2025-03-25T00:00:00"/>
    <d v="2025-04-17T00:00:00"/>
    <n v="23"/>
    <x v="2"/>
    <x v="10"/>
    <s v="London"/>
    <s v="Consumer"/>
    <x v="4"/>
    <s v="H. Kim"/>
    <x v="4"/>
    <s v="NET-7166"/>
    <n v="1421.19"/>
    <n v="1808.26"/>
    <n v="1808.26"/>
    <n v="0.104"/>
    <n v="13"/>
    <n v="21062.61248"/>
    <n v="18475.47"/>
    <n v="2587.1424799999986"/>
    <n v="0.12283103449093123"/>
    <d v="2023-07-14T00:00:00"/>
    <s v="Q1-2025"/>
    <s v="Europe → United Kingdom → London"/>
    <s v="High"/>
    <d v="2025-03-01T00:00:00"/>
    <d v="2023-01-01T00:00:00"/>
    <n v="26"/>
    <n v="0"/>
  </r>
  <r>
    <s v="ORD-2025-269934"/>
    <d v="2025-04-04T00:00:00"/>
    <d v="2025-04-10T00:00:00"/>
    <n v="6"/>
    <x v="2"/>
    <x v="10"/>
    <s v="Birmingham"/>
    <s v="Non-Profit"/>
    <x v="2"/>
    <s v="N. Brown"/>
    <x v="3"/>
    <s v="PRN-8657"/>
    <n v="290.14"/>
    <n v="250.73"/>
    <n v="250.73"/>
    <n v="3.4000000000000002E-2"/>
    <n v="17"/>
    <n v="4117.4880599999997"/>
    <n v="4932.38"/>
    <n v="-814.89194000000043"/>
    <n v="-0.19790997038131072"/>
    <d v="2023-06-20T00:00:00"/>
    <s v="Q2-2025"/>
    <s v="Europe → United Kingdom → Birmingham"/>
    <s v="Low"/>
    <d v="2025-04-01T00:00:00"/>
    <d v="2023-01-01T00:00:00"/>
    <n v="27"/>
    <n v="1"/>
  </r>
  <r>
    <s v="ORD-2025-845715"/>
    <d v="2025-04-14T00:00:00"/>
    <d v="2025-05-04T00:00:00"/>
    <n v="20"/>
    <x v="2"/>
    <x v="10"/>
    <s v="Birmingham"/>
    <s v="Enterprise"/>
    <x v="0"/>
    <s v="K. Singh"/>
    <x v="0"/>
    <s v="MON-6962"/>
    <n v="1413.87"/>
    <n v="3275"/>
    <n v="3275"/>
    <n v="0.255"/>
    <n v="38"/>
    <n v="92715.25"/>
    <n v="53727.06"/>
    <n v="38988.19"/>
    <n v="0.42051539525590453"/>
    <d v="2023-06-23T00:00:00"/>
    <s v="Q2-2025"/>
    <s v="Europe → United Kingdom → Birmingham"/>
    <s v="High"/>
    <d v="2025-04-01T00:00:00"/>
    <d v="2023-01-01T00:00:00"/>
    <n v="27"/>
    <n v="0"/>
  </r>
  <r>
    <s v="ORD-2025-745263"/>
    <d v="2025-05-19T00:00:00"/>
    <d v="2025-05-21T00:00:00"/>
    <n v="2"/>
    <x v="2"/>
    <x v="10"/>
    <s v="Birmingham"/>
    <s v="Enterprise"/>
    <x v="1"/>
    <s v="M. Rossi"/>
    <x v="6"/>
    <s v="LAP-3385"/>
    <n v="1015.16"/>
    <n v="2148.14"/>
    <n v="2148.14"/>
    <n v="3.7999999999999999E-2"/>
    <n v="19"/>
    <n v="39263.702919999996"/>
    <n v="19288.04"/>
    <n v="19975.662919999995"/>
    <n v="0.50875647059322227"/>
    <d v="2023-05-01T00:00:00"/>
    <s v="Q2-2025"/>
    <s v="Europe → United Kingdom → Birmingham"/>
    <s v="High"/>
    <d v="2025-05-01T00:00:00"/>
    <d v="2023-01-01T00:00:00"/>
    <n v="28"/>
    <n v="1"/>
  </r>
  <r>
    <s v="ORD-2025-184082"/>
    <d v="2025-06-19T00:00:00"/>
    <d v="2025-07-12T00:00:00"/>
    <n v="23"/>
    <x v="2"/>
    <x v="10"/>
    <s v="London"/>
    <s v="Non-Profit"/>
    <x v="2"/>
    <s v="Unassigned"/>
    <x v="4"/>
    <s v="NET-6370"/>
    <n v="801.24"/>
    <n v="1959.09"/>
    <n v="1959.09"/>
    <n v="0.123"/>
    <n v="23"/>
    <n v="39516.804389999998"/>
    <n v="18428.52"/>
    <n v="21088.284389999997"/>
    <n v="0.53365358650651762"/>
    <d v="2023-04-19T00:00:00"/>
    <s v="Q2-2025"/>
    <s v="Europe → United Kingdom → London"/>
    <s v="High"/>
    <d v="2025-06-01T00:00:00"/>
    <d v="2023-01-01T00:00:00"/>
    <n v="29"/>
    <n v="0"/>
  </r>
  <r>
    <s v="ORD-2025-278048"/>
    <d v="2025-06-22T00:00:00"/>
    <d v="2025-07-08T00:00:00"/>
    <n v="16"/>
    <x v="2"/>
    <x v="10"/>
    <s v="London"/>
    <s v="Education"/>
    <x v="2"/>
    <s v="A. Patel"/>
    <x v="2"/>
    <s v="PHN-5316"/>
    <n v="892.73"/>
    <n v="979.84"/>
    <n v="979.84"/>
    <n v="0.17399999999999999"/>
    <n v="10"/>
    <n v="8093.4784"/>
    <n v="8927.2999999999993"/>
    <n v="-833.82159999999931"/>
    <n v="-0.10302388649112838"/>
    <d v="2023-04-10T00:00:00"/>
    <s v="Q2-2025"/>
    <s v="Europe → United Kingdom → London"/>
    <s v="Medium"/>
    <d v="2025-06-01T00:00:00"/>
    <d v="2023-01-01T00:00:00"/>
    <n v="29"/>
    <n v="0"/>
  </r>
  <r>
    <s v="ORD-2025-591006"/>
    <d v="2025-06-25T00:00:00"/>
    <d v="2025-07-10T00:00:00"/>
    <n v="15"/>
    <x v="2"/>
    <x v="10"/>
    <s v="Birmingham"/>
    <s v="Non-Profit"/>
    <x v="0"/>
    <s v="D. Smith"/>
    <x v="2"/>
    <s v="PHN-5383"/>
    <n v="546.83000000000004"/>
    <n v="400.84"/>
    <n v="400.84"/>
    <n v="7.8E-2"/>
    <n v="13"/>
    <n v="4804.4682400000002"/>
    <n v="7108.7900000000009"/>
    <n v="-2304.3217600000007"/>
    <n v="-0.47962056254533608"/>
    <d v="2023-04-19T00:00:00"/>
    <s v="Q2-2025"/>
    <s v="Europe → United Kingdom → Birmingham"/>
    <s v="Low"/>
    <d v="2025-06-01T00:00:00"/>
    <d v="2023-01-01T00:00:00"/>
    <n v="29"/>
    <n v="0"/>
  </r>
  <r>
    <s v="ORD-2025-150713"/>
    <d v="2025-07-11T00:00:00"/>
    <d v="2025-07-16T00:00:00"/>
    <n v="5"/>
    <x v="2"/>
    <x v="10"/>
    <s v="London"/>
    <s v="Enterprise"/>
    <x v="1"/>
    <s v="K. Singh"/>
    <x v="3"/>
    <s v="PRN-5753"/>
    <n v="930.03"/>
    <n v="1086.68"/>
    <n v="1086.68"/>
    <n v="0.109"/>
    <n v="26"/>
    <n v="25174.028880000002"/>
    <n v="24180.78"/>
    <n v="993.24888000000283"/>
    <n v="3.9455300728168656E-2"/>
    <d v="2023-03-19T00:00:00"/>
    <s v="Q3-2025"/>
    <s v="Europe → United Kingdom → London"/>
    <s v="Medium"/>
    <d v="2025-07-01T00:00:00"/>
    <d v="2023-01-01T00:00:00"/>
    <n v="30"/>
    <n v="1"/>
  </r>
  <r>
    <s v="ORD-2025-789245"/>
    <d v="2025-07-23T00:00:00"/>
    <d v="2025-08-17T00:00:00"/>
    <n v="25"/>
    <x v="2"/>
    <x v="10"/>
    <s v="Birmingham"/>
    <s v="Education"/>
    <x v="1"/>
    <s v="I. Johnson"/>
    <x v="3"/>
    <s v="PRN-5876"/>
    <n v="1142.06"/>
    <n v="1455"/>
    <n v="1455"/>
    <n v="7.8E-2"/>
    <n v="28"/>
    <n v="37562.28"/>
    <n v="31977.68"/>
    <n v="5584.5999999999985"/>
    <n v="0.1486757459877302"/>
    <d v="2023-02-28T00:00:00"/>
    <s v="Q3-2025"/>
    <s v="Europe → United Kingdom → Birmingham"/>
    <s v="Medium"/>
    <d v="2025-07-01T00:00:00"/>
    <d v="2023-01-01T00:00:00"/>
    <n v="30"/>
    <n v="0"/>
  </r>
  <r>
    <s v="ORD-2025-537785"/>
    <d v="2025-08-05T00:00:00"/>
    <d v="2025-08-14T00:00:00"/>
    <n v="9"/>
    <x v="2"/>
    <x v="10"/>
    <s v="London"/>
    <s v="Non-Profit"/>
    <x v="2"/>
    <s v="E. Garcia"/>
    <x v="1"/>
    <s v="CMP-6346"/>
    <n v="41.76"/>
    <n v="45.19"/>
    <n v="45.19"/>
    <n v="0.17899999999999999"/>
    <n v="23"/>
    <n v="853.32276999999988"/>
    <n v="960.4799999999999"/>
    <n v="-107.15723000000003"/>
    <n v="-0.12557643340514638"/>
    <d v="2023-02-19T00:00:00"/>
    <s v="Q3-2025"/>
    <s v="Europe → United Kingdom → London"/>
    <s v="Low"/>
    <d v="2025-08-01T00:00:00"/>
    <d v="2023-01-01T00:00:00"/>
    <n v="31"/>
    <n v="0"/>
  </r>
  <r>
    <s v="ORD-2025-737787"/>
    <d v="2025-09-14T00:00:00"/>
    <d v="2025-09-26T00:00:00"/>
    <n v="12"/>
    <x v="2"/>
    <x v="10"/>
    <s v="London"/>
    <s v="Small Business"/>
    <x v="2"/>
    <s v="N. Brown"/>
    <x v="4"/>
    <s v="NET-9003"/>
    <n v="425.15"/>
    <n v="885.92"/>
    <n v="885.92"/>
    <n v="0.23899999999999999"/>
    <n v="13"/>
    <n v="8764.4065599999994"/>
    <n v="5526.95"/>
    <n v="3237.4565599999996"/>
    <n v="0.3693868532725848"/>
    <d v="2023-01-21T00:00:00"/>
    <s v="Q3-2025"/>
    <s v="Europe → United Kingdom → London"/>
    <s v="Medium"/>
    <d v="2025-09-01T00:00:00"/>
    <d v="2023-01-01T00:00:00"/>
    <n v="32"/>
    <n v="0"/>
  </r>
  <r>
    <s v="ORD-2023-382017"/>
    <d v="2023-01-13T00:00:00"/>
    <d v="2023-01-19T00:00:00"/>
    <n v="6"/>
    <x v="0"/>
    <x v="11"/>
    <s v="Chicago"/>
    <s v="Corporate"/>
    <x v="2"/>
    <s v="H. Kim"/>
    <x v="2"/>
    <s v="PHN-3159"/>
    <n v="833.57"/>
    <n v="881.57"/>
    <n v="881.57"/>
    <n v="5.7000000000000002E-2"/>
    <n v="18"/>
    <n v="14963.769179999999"/>
    <n v="15004.26"/>
    <n v="-40.490820000000895"/>
    <n v="-2.7059238560107821E-3"/>
    <d v="2025-09-11T00:00:00"/>
    <s v="Q1-2023"/>
    <s v="Americas → USA → Chicago"/>
    <s v="Medium"/>
    <d v="2023-01-01T00:00:00"/>
    <d v="2023-01-01T00:00:00"/>
    <n v="0"/>
    <n v="1"/>
  </r>
  <r>
    <s v="ORD-2023-521818"/>
    <d v="2023-01-22T00:00:00"/>
    <d v="2023-01-30T00:00:00"/>
    <n v="8"/>
    <x v="0"/>
    <x v="11"/>
    <s v="San Francisco"/>
    <s v="Small Business"/>
    <x v="1"/>
    <s v="A. Patel"/>
    <x v="4"/>
    <s v="NET-4155"/>
    <n v="413.52"/>
    <n v="1004.34"/>
    <n v="1004.34"/>
    <n v="0.111"/>
    <n v="18"/>
    <n v="16071.44868"/>
    <n v="7443.36"/>
    <n v="8628.0886800000007"/>
    <n v="0.53685817948304593"/>
    <d v="2025-08-30T00:00:00"/>
    <s v="Q1-2023"/>
    <s v="Americas → USA → San Francisco"/>
    <s v="Medium"/>
    <d v="2023-01-01T00:00:00"/>
    <d v="2023-01-01T00:00:00"/>
    <n v="0"/>
    <n v="0"/>
  </r>
  <r>
    <s v="ORD-2023-855675"/>
    <d v="2023-02-05T00:00:00"/>
    <d v="2023-02-28T00:00:00"/>
    <n v="23"/>
    <x v="0"/>
    <x v="11"/>
    <s v="Austin"/>
    <s v="Non-Profit"/>
    <x v="3"/>
    <s v="L. Okafor"/>
    <x v="2"/>
    <s v="PHN-2036"/>
    <n v="1214.49"/>
    <n v="1533.95"/>
    <n v="1533.95"/>
    <n v="0"/>
    <n v="11"/>
    <n v="16873.45"/>
    <n v="13359.39"/>
    <n v="3514.0600000000013"/>
    <n v="0.20825972163369086"/>
    <d v="2025-09-02T00:00:00"/>
    <s v="Q1-2023"/>
    <s v="Americas → USA → Austin"/>
    <s v="Medium"/>
    <d v="2023-02-01T00:00:00"/>
    <d v="2023-01-01T00:00:00"/>
    <n v="1"/>
    <n v="0"/>
  </r>
  <r>
    <s v="ORD-2023-286994"/>
    <d v="2023-02-24T00:00:00"/>
    <d v="2023-03-09T00:00:00"/>
    <n v="13"/>
    <x v="0"/>
    <x v="11"/>
    <s v="New York"/>
    <s v="Enterprise"/>
    <x v="1"/>
    <s v="M. Rossi"/>
    <x v="1"/>
    <s v="CMP-1632"/>
    <n v="6.85"/>
    <n v="10.18"/>
    <n v="10.18"/>
    <n v="4.7E-2"/>
    <n v="10"/>
    <n v="97.0154"/>
    <n v="68.5"/>
    <n v="28.5154"/>
    <n v="0.2939265312517394"/>
    <d v="2025-08-06T00:00:00"/>
    <s v="Q1-2023"/>
    <s v="Americas → USA → New York"/>
    <s v="Low"/>
    <d v="2023-02-01T00:00:00"/>
    <d v="2023-01-01T00:00:00"/>
    <n v="1"/>
    <n v="0"/>
  </r>
  <r>
    <s v="ORD-2023-619493"/>
    <d v="2023-02-26T00:00:00"/>
    <d v="2023-02-27T00:00:00"/>
    <n v="1"/>
    <x v="0"/>
    <x v="11"/>
    <s v="San Francisco"/>
    <s v="Non-Profit"/>
    <x v="1"/>
    <s v="L. Okafor"/>
    <x v="4"/>
    <s v="NET-1282"/>
    <n v="1015.91"/>
    <n v="2331.48"/>
    <n v="2331.48"/>
    <n v="0.14599999999999999"/>
    <n v="26"/>
    <n v="51768.181920000003"/>
    <n v="26413.66"/>
    <n v="25354.521920000003"/>
    <n v="0.48977037592669626"/>
    <d v="2025-08-01T00:00:00"/>
    <s v="Q1-2023"/>
    <s v="Americas → USA → San Francisco"/>
    <s v="High"/>
    <d v="2023-02-01T00:00:00"/>
    <d v="2023-01-01T00:00:00"/>
    <n v="1"/>
    <n v="1"/>
  </r>
  <r>
    <s v="ORD-2023-766015"/>
    <d v="2023-04-11T00:00:00"/>
    <d v="2023-04-13T00:00:00"/>
    <n v="2"/>
    <x v="0"/>
    <x v="11"/>
    <s v="San Francisco"/>
    <s v="Education"/>
    <x v="0"/>
    <s v="G. Dubois"/>
    <x v="4"/>
    <s v="NET-1816"/>
    <n v="32.1"/>
    <n v="70.599999999999994"/>
    <n v="70.599999999999994"/>
    <n v="0.28199999999999997"/>
    <n v="22"/>
    <n v="1115.1975999999997"/>
    <n v="706.2"/>
    <n v="408.99759999999969"/>
    <n v="0.36674899587301818"/>
    <d v="2025-06-15T00:00:00"/>
    <s v="Q2-2023"/>
    <s v="Americas → USA → San Francisco"/>
    <s v="Low"/>
    <d v="2023-04-01T00:00:00"/>
    <d v="2023-01-01T00:00:00"/>
    <n v="3"/>
    <n v="1"/>
  </r>
  <r>
    <s v="ORD-2023-664790"/>
    <d v="2023-04-16T00:00:00"/>
    <d v="2023-04-23T00:00:00"/>
    <n v="7"/>
    <x v="0"/>
    <x v="11"/>
    <s v="Austin"/>
    <s v="Corporate"/>
    <x v="3"/>
    <s v="O. Wang"/>
    <x v="3"/>
    <s v="PRN-9249"/>
    <n v="1099.1500000000001"/>
    <n v="1431.37"/>
    <n v="1431.37"/>
    <n v="0.104"/>
    <n v="8"/>
    <n v="10260.060159999999"/>
    <n v="8793.2000000000007"/>
    <n v="1466.8601599999984"/>
    <n v="0.14296798821109433"/>
    <d v="2025-07-03T00:00:00"/>
    <s v="Q2-2023"/>
    <s v="Americas → USA → Austin"/>
    <s v="Medium"/>
    <d v="2023-04-01T00:00:00"/>
    <d v="2023-01-01T00:00:00"/>
    <n v="3"/>
    <n v="1"/>
  </r>
  <r>
    <s v="ORD-2023-378676"/>
    <d v="2023-05-03T00:00:00"/>
    <d v="2023-05-16T00:00:00"/>
    <n v="13"/>
    <x v="0"/>
    <x v="11"/>
    <s v="New York"/>
    <s v="Corporate"/>
    <x v="0"/>
    <s v="L. Okafor"/>
    <x v="2"/>
    <s v="PHN-5366"/>
    <n v="64.5"/>
    <n v="123.62"/>
    <n v="123.62"/>
    <n v="0"/>
    <n v="3"/>
    <n v="370.86"/>
    <n v="193.5"/>
    <n v="177.36"/>
    <n v="0.47823976702798904"/>
    <d v="2025-06-01T00:00:00"/>
    <s v="Q2-2023"/>
    <s v="Americas → USA → New York"/>
    <s v="Low"/>
    <d v="2023-05-01T00:00:00"/>
    <d v="2023-01-01T00:00:00"/>
    <n v="4"/>
    <n v="0"/>
  </r>
  <r>
    <s v="ORD-2023-177794"/>
    <d v="2023-05-04T00:00:00"/>
    <d v="2023-05-26T00:00:00"/>
    <n v="22"/>
    <x v="0"/>
    <x v="11"/>
    <s v="San Francisco"/>
    <s v="Enterprise"/>
    <x v="1"/>
    <s v="J. Njeri"/>
    <x v="4"/>
    <s v="NET-5941"/>
    <n v="249.71"/>
    <n v="361.33"/>
    <n v="361.33"/>
    <n v="9.4E-2"/>
    <n v="12"/>
    <n v="3928.3797600000003"/>
    <n v="2996.52"/>
    <n v="931.85976000000028"/>
    <n v="0.23721223937881206"/>
    <d v="2025-06-01T00:00:00"/>
    <s v="Q2-2023"/>
    <s v="Americas → USA → San Francisco"/>
    <s v="Low"/>
    <d v="2023-05-01T00:00:00"/>
    <d v="2023-01-01T00:00:00"/>
    <n v="4"/>
    <n v="0"/>
  </r>
  <r>
    <s v="ORD-2023-172095"/>
    <d v="2023-05-24T00:00:00"/>
    <d v="2023-06-21T00:00:00"/>
    <n v="28"/>
    <x v="0"/>
    <x v="11"/>
    <s v="Austin"/>
    <s v="Small Business"/>
    <x v="0"/>
    <s v="G. Dubois"/>
    <x v="0"/>
    <s v="MON-6882"/>
    <n v="813.97"/>
    <n v="1568.83"/>
    <n v="1568.83"/>
    <n v="1.7000000000000001E-2"/>
    <n v="15"/>
    <n v="23132.398349999996"/>
    <n v="12209.550000000001"/>
    <n v="10922.848349999995"/>
    <n v="0.4721883215364911"/>
    <d v="2025-05-07T00:00:00"/>
    <s v="Q2-2023"/>
    <s v="Americas → USA → Austin"/>
    <s v="Medium"/>
    <d v="2023-05-01T00:00:00"/>
    <d v="2023-01-01T00:00:00"/>
    <n v="4"/>
    <n v="0"/>
  </r>
  <r>
    <s v="ORD-2023-715175"/>
    <d v="2023-06-15T00:00:00"/>
    <d v="2023-06-23T00:00:00"/>
    <n v="8"/>
    <x v="0"/>
    <x v="11"/>
    <s v="San Francisco"/>
    <s v="Consumer"/>
    <x v="3"/>
    <s v="O. Wang"/>
    <x v="0"/>
    <s v="MON-5424"/>
    <n v="1097.0899999999999"/>
    <n v="2182.31"/>
    <n v="2182.31"/>
    <n v="0.112"/>
    <n v="9"/>
    <n v="17441.021520000002"/>
    <n v="9873.81"/>
    <n v="7567.2115200000026"/>
    <n v="0.43387432962699546"/>
    <d v="2025-03-30T00:00:00"/>
    <s v="Q2-2023"/>
    <s v="Americas → USA → San Francisco"/>
    <s v="High"/>
    <d v="2023-06-01T00:00:00"/>
    <d v="2023-01-01T00:00:00"/>
    <n v="5"/>
    <n v="0"/>
  </r>
  <r>
    <s v="ORD-2023-651638"/>
    <d v="2023-06-17T00:00:00"/>
    <d v="2023-06-24T00:00:00"/>
    <n v="7"/>
    <x v="0"/>
    <x v="11"/>
    <s v="San Francisco"/>
    <s v="Corporate"/>
    <x v="4"/>
    <s v="I. Johnson"/>
    <x v="3"/>
    <s v="PRN-6536"/>
    <n v="313.99"/>
    <n v="454.42"/>
    <n v="454.42"/>
    <n v="0.129"/>
    <n v="9"/>
    <n v="3562.1983800000003"/>
    <n v="2825.91"/>
    <n v="736.28838000000042"/>
    <n v="0.20669493988147858"/>
    <d v="2025-04-01T00:00:00"/>
    <s v="Q2-2023"/>
    <s v="Americas → USA → San Francisco"/>
    <s v="Low"/>
    <d v="2023-06-01T00:00:00"/>
    <d v="2023-01-01T00:00:00"/>
    <n v="5"/>
    <n v="1"/>
  </r>
  <r>
    <s v="ORD-2023-602648"/>
    <d v="2023-06-20T00:00:00"/>
    <d v="2023-07-08T00:00:00"/>
    <n v="18"/>
    <x v="0"/>
    <x v="11"/>
    <s v="Austin"/>
    <s v="Non-Profit"/>
    <x v="2"/>
    <s v="F. Müller"/>
    <x v="0"/>
    <s v="MON-4326"/>
    <n v="337"/>
    <n v="511.03"/>
    <n v="511.03"/>
    <n v="0.108"/>
    <n v="7"/>
    <n v="3190.8713200000002"/>
    <n v="2359"/>
    <n v="831.8713200000002"/>
    <n v="0.26070349963219458"/>
    <d v="2025-04-22T00:00:00"/>
    <s v="Q2-2023"/>
    <s v="Americas → USA → Austin"/>
    <s v="Low"/>
    <d v="2023-06-01T00:00:00"/>
    <d v="2023-01-01T00:00:00"/>
    <n v="5"/>
    <n v="0"/>
  </r>
  <r>
    <s v="ORD-2023-594955"/>
    <d v="2023-06-20T00:00:00"/>
    <d v="2023-07-08T00:00:00"/>
    <n v="18"/>
    <x v="0"/>
    <x v="11"/>
    <s v="New York"/>
    <s v="Consumer"/>
    <x v="0"/>
    <s v="O. Wang"/>
    <x v="4"/>
    <s v="NET-3828"/>
    <n v="1145.53"/>
    <n v="1278.3"/>
    <n v="1278.3"/>
    <n v="0.09"/>
    <n v="41"/>
    <n v="47693.373"/>
    <n v="46966.729999999996"/>
    <n v="726.64300000000367"/>
    <n v="1.5235722581416158E-2"/>
    <d v="2025-04-10T00:00:00"/>
    <s v="Q2-2023"/>
    <s v="Americas → USA → New York"/>
    <s v="Medium"/>
    <d v="2023-06-01T00:00:00"/>
    <d v="2023-01-01T00:00:00"/>
    <n v="5"/>
    <n v="0"/>
  </r>
  <r>
    <s v="ORD-2023-912395"/>
    <d v="2023-07-26T00:00:00"/>
    <d v="2023-08-25T00:00:00"/>
    <n v="30"/>
    <x v="0"/>
    <x v="11"/>
    <s v="New York"/>
    <s v="Consumer"/>
    <x v="4"/>
    <s v="M. Rossi"/>
    <x v="5"/>
    <s v="ACC-7078"/>
    <n v="1261.48"/>
    <n v="1643.18"/>
    <n v="1643.18"/>
    <n v="0.151"/>
    <n v="23"/>
    <n v="32086.37586"/>
    <n v="29014.04"/>
    <n v="3072.3358599999992"/>
    <n v="9.5752037357079045E-2"/>
    <d v="2025-03-08T00:00:00"/>
    <s v="Q3-2023"/>
    <s v="Americas → USA → New York"/>
    <s v="High"/>
    <d v="2023-07-01T00:00:00"/>
    <d v="2023-01-01T00:00:00"/>
    <n v="6"/>
    <n v="0"/>
  </r>
  <r>
    <s v="ORD-2023-133848"/>
    <d v="2023-08-15T00:00:00"/>
    <d v="2023-09-07T00:00:00"/>
    <n v="23"/>
    <x v="0"/>
    <x v="11"/>
    <s v="New York"/>
    <s v="Enterprise"/>
    <x v="1"/>
    <s v="K. Singh"/>
    <x v="2"/>
    <s v="PHN-2013"/>
    <n v="590.33000000000004"/>
    <n v="973.04"/>
    <n v="973.04"/>
    <n v="0"/>
    <n v="26"/>
    <n v="25299.040000000001"/>
    <n v="15348.580000000002"/>
    <n v="9950.4599999999991"/>
    <n v="0.39331373838691108"/>
    <d v="2025-01-21T00:00:00"/>
    <s v="Q3-2023"/>
    <s v="Americas → USA → New York"/>
    <s v="Medium"/>
    <d v="2023-08-01T00:00:00"/>
    <d v="2023-01-01T00:00:00"/>
    <n v="7"/>
    <n v="0"/>
  </r>
  <r>
    <s v="ORD-2023-132101"/>
    <d v="2023-09-25T00:00:00"/>
    <d v="2023-10-09T00:00:00"/>
    <n v="14"/>
    <x v="0"/>
    <x v="11"/>
    <s v="New York"/>
    <s v="Small Business"/>
    <x v="0"/>
    <s v="J. Njeri"/>
    <x v="6"/>
    <s v="LAP-6750"/>
    <n v="1279.56"/>
    <n v="3083.8"/>
    <n v="3083.8"/>
    <n v="0.106"/>
    <n v="5"/>
    <n v="13784.586000000001"/>
    <n v="6397.7999999999993"/>
    <n v="7386.7860000000019"/>
    <n v="0.53587289455047848"/>
    <d v="2024-12-14T00:00:00"/>
    <s v="Q3-2023"/>
    <s v="Americas → USA → New York"/>
    <s v="High"/>
    <d v="2023-09-01T00:00:00"/>
    <d v="2023-01-01T00:00:00"/>
    <n v="8"/>
    <n v="0"/>
  </r>
  <r>
    <s v="ORD-2023-271918"/>
    <d v="2023-09-25T00:00:00"/>
    <d v="2023-10-02T00:00:00"/>
    <n v="7"/>
    <x v="0"/>
    <x v="11"/>
    <s v="New York"/>
    <s v="Education"/>
    <x v="0"/>
    <s v="I. Johnson"/>
    <x v="5"/>
    <s v="ACC-3551"/>
    <n v="145.58000000000001"/>
    <n v="228.15"/>
    <n v="228.15"/>
    <n v="0.20399999999999999"/>
    <n v="5"/>
    <n v="908.03700000000003"/>
    <n v="727.90000000000009"/>
    <n v="180.13699999999994"/>
    <n v="0.19838068272548359"/>
    <d v="2024-12-23T00:00:00"/>
    <s v="Q3-2023"/>
    <s v="Americas → USA → New York"/>
    <s v="Low"/>
    <d v="2023-09-01T00:00:00"/>
    <d v="2023-01-01T00:00:00"/>
    <n v="8"/>
    <n v="1"/>
  </r>
  <r>
    <s v="ORD-2023-302041"/>
    <d v="2023-10-04T00:00:00"/>
    <d v="2023-10-29T00:00:00"/>
    <n v="25"/>
    <x v="0"/>
    <x v="11"/>
    <s v="San Francisco"/>
    <s v="Small Business"/>
    <x v="3"/>
    <s v="O. Wang"/>
    <x v="5"/>
    <s v="ACC-5079"/>
    <n v="1239.8399999999999"/>
    <n v="1482.75"/>
    <n v="1482.75"/>
    <n v="6.7000000000000004E-2"/>
    <n v="4"/>
    <n v="5533.6230000000005"/>
    <n v="4959.3599999999997"/>
    <n v="574.26300000000083"/>
    <n v="0.10377703721413634"/>
    <d v="2025-01-04T00:00:00"/>
    <s v="Q4-2023"/>
    <s v="Americas → USA → San Francisco"/>
    <s v="Medium"/>
    <d v="2023-10-01T00:00:00"/>
    <d v="2023-01-01T00:00:00"/>
    <n v="9"/>
    <n v="0"/>
  </r>
  <r>
    <s v="ORD-2024-719055"/>
    <d v="2024-01-01T00:00:00"/>
    <d v="2024-01-02T00:00:00"/>
    <n v="1"/>
    <x v="0"/>
    <x v="11"/>
    <s v="Chicago"/>
    <s v="Education"/>
    <x v="0"/>
    <s v="B. Chen"/>
    <x v="4"/>
    <s v="NET-4554"/>
    <n v="404.77"/>
    <n v="433.88"/>
    <n v="433.88"/>
    <n v="0.215"/>
    <n v="22"/>
    <n v="7493.1076000000012"/>
    <n v="8904.9399999999987"/>
    <n v="-1411.8323999999975"/>
    <n v="-0.18841747314558746"/>
    <d v="2024-09-23T00:00:00"/>
    <s v="Q1-2024"/>
    <s v="Americas → USA → Chicago"/>
    <s v="Low"/>
    <d v="2024-01-01T00:00:00"/>
    <d v="2023-01-01T00:00:00"/>
    <n v="12"/>
    <n v="1"/>
  </r>
  <r>
    <s v="ORD-2024-999607"/>
    <d v="2024-01-12T00:00:00"/>
    <d v="2024-01-29T00:00:00"/>
    <n v="17"/>
    <x v="0"/>
    <x v="11"/>
    <s v="Chicago"/>
    <s v="Education"/>
    <x v="3"/>
    <s v="A. Patel"/>
    <x v="3"/>
    <s v="PRN-8604"/>
    <n v="493.76"/>
    <n v="625.04"/>
    <n v="625.04"/>
    <n v="0.25800000000000001"/>
    <n v="10"/>
    <n v="4637.7968000000001"/>
    <n v="4937.6000000000004"/>
    <n v="-299.80320000000029"/>
    <n v="-6.464345311549663E-2"/>
    <d v="2024-09-06T00:00:00"/>
    <s v="Q1-2024"/>
    <s v="Americas → USA → Chicago"/>
    <s v="Low"/>
    <d v="2024-01-01T00:00:00"/>
    <d v="2023-01-01T00:00:00"/>
    <n v="12"/>
    <n v="0"/>
  </r>
  <r>
    <s v="ORD-2024-206311"/>
    <d v="2024-01-13T00:00:00"/>
    <d v="2024-01-15T00:00:00"/>
    <n v="2"/>
    <x v="0"/>
    <x v="11"/>
    <s v="San Francisco"/>
    <s v="Non-Profit"/>
    <x v="2"/>
    <s v="E. Garcia"/>
    <x v="1"/>
    <s v="CMP-2410"/>
    <n v="1061.3699999999999"/>
    <n v="1938.33"/>
    <n v="1938.33"/>
    <n v="0.17"/>
    <n v="4"/>
    <n v="6435.2555999999995"/>
    <n v="4245.4799999999996"/>
    <n v="2189.7755999999999"/>
    <n v="0.34027795259600879"/>
    <d v="2024-09-22T00:00:00"/>
    <s v="Q1-2024"/>
    <s v="Americas → USA → San Francisco"/>
    <s v="High"/>
    <d v="2024-01-01T00:00:00"/>
    <d v="2023-01-01T00:00:00"/>
    <n v="12"/>
    <n v="1"/>
  </r>
  <r>
    <s v="ORD-2024-331408"/>
    <d v="2024-02-01T00:00:00"/>
    <d v="2024-02-01T00:00:00"/>
    <n v="0"/>
    <x v="0"/>
    <x v="11"/>
    <s v="Austin"/>
    <s v="Consumer"/>
    <x v="3"/>
    <s v="H. Kim"/>
    <x v="3"/>
    <s v="PRN-4906"/>
    <n v="714.43"/>
    <n v="1595.52"/>
    <n v="1595.52"/>
    <n v="0.19400000000000001"/>
    <n v="14"/>
    <n v="18003.847679999999"/>
    <n v="10002.019999999999"/>
    <n v="8001.8276800000003"/>
    <n v="0.44445097638151093"/>
    <d v="2024-09-07T00:00:00"/>
    <s v="Q1-2024"/>
    <s v="Americas → USA → Austin"/>
    <s v="Medium"/>
    <d v="2024-02-01T00:00:00"/>
    <d v="2023-01-01T00:00:00"/>
    <n v="13"/>
    <n v="1"/>
  </r>
  <r>
    <s v="ORD-2024-437164"/>
    <d v="2024-02-20T00:00:00"/>
    <d v="2024-02-20T00:00:00"/>
    <n v="0"/>
    <x v="0"/>
    <x v="11"/>
    <s v="New York"/>
    <s v="Enterprise"/>
    <x v="1"/>
    <s v="C. Otieno"/>
    <x v="4"/>
    <s v="NET-9177"/>
    <n v="1407.05"/>
    <n v="2858.93"/>
    <n v="2858.93"/>
    <n v="0"/>
    <n v="12"/>
    <n v="34307.159999999996"/>
    <n v="16884.599999999999"/>
    <n v="17422.559999999998"/>
    <n v="0.50784034586366222"/>
    <d v="2024-08-08T00:00:00"/>
    <s v="Q1-2024"/>
    <s v="Americas → USA → New York"/>
    <s v="High"/>
    <d v="2024-02-01T00:00:00"/>
    <d v="2023-01-01T00:00:00"/>
    <n v="13"/>
    <n v="1"/>
  </r>
  <r>
    <s v="ORD-2024-961501"/>
    <d v="2024-03-02T00:00:00"/>
    <d v="2024-03-23T00:00:00"/>
    <n v="21"/>
    <x v="0"/>
    <x v="11"/>
    <s v="Chicago"/>
    <s v="Small Business"/>
    <x v="1"/>
    <s v="F. Müller"/>
    <x v="1"/>
    <s v="CMP-3223"/>
    <n v="225.01"/>
    <n v="333.48"/>
    <n v="333.48"/>
    <n v="0.11899999999999999"/>
    <n v="12"/>
    <n v="3525.5505600000001"/>
    <n v="2700.12"/>
    <n v="825.43056000000024"/>
    <n v="0.23412813004729685"/>
    <d v="2024-07-31T00:00:00"/>
    <s v="Q1-2024"/>
    <s v="Americas → USA → Chicago"/>
    <s v="Low"/>
    <d v="2024-03-01T00:00:00"/>
    <d v="2023-01-01T00:00:00"/>
    <n v="14"/>
    <n v="0"/>
  </r>
  <r>
    <s v="ORD-2024-251426"/>
    <d v="2024-03-09T00:00:00"/>
    <d v="2024-03-26T00:00:00"/>
    <n v="17"/>
    <x v="0"/>
    <x v="11"/>
    <s v="San Francisco"/>
    <s v="Education"/>
    <x v="2"/>
    <s v="I. Johnson"/>
    <x v="2"/>
    <s v="PHN-3398"/>
    <n v="1137.4100000000001"/>
    <n v="1680.93"/>
    <n v="1680.93"/>
    <n v="0.254"/>
    <n v="9"/>
    <n v="11285.764020000001"/>
    <n v="10236.69"/>
    <n v="1049.07402"/>
    <n v="9.2955516183121464E-2"/>
    <d v="2024-07-11T00:00:00"/>
    <s v="Q1-2024"/>
    <s v="Americas → USA → San Francisco"/>
    <s v="High"/>
    <d v="2024-03-01T00:00:00"/>
    <d v="2023-01-01T00:00:00"/>
    <n v="14"/>
    <n v="0"/>
  </r>
  <r>
    <s v="ORD-2024-687073"/>
    <d v="2024-03-11T00:00:00"/>
    <d v="2024-03-29T00:00:00"/>
    <n v="18"/>
    <x v="0"/>
    <x v="11"/>
    <s v="New York"/>
    <s v="Corporate"/>
    <x v="4"/>
    <s v="M. Rossi"/>
    <x v="0"/>
    <s v="MON-7099"/>
    <n v="710.98"/>
    <n v="1481.45"/>
    <n v="1481.45"/>
    <n v="0.21099999999999999"/>
    <n v="9"/>
    <n v="10519.776450000001"/>
    <n v="6398.82"/>
    <n v="4120.9564500000015"/>
    <n v="0.39173422264120461"/>
    <d v="2024-07-19T00:00:00"/>
    <s v="Q1-2024"/>
    <s v="Americas → USA → New York"/>
    <s v="Medium"/>
    <d v="2024-03-01T00:00:00"/>
    <d v="2023-01-01T00:00:00"/>
    <n v="14"/>
    <n v="0"/>
  </r>
  <r>
    <s v="ORD-2024-207096"/>
    <d v="2024-03-26T00:00:00"/>
    <d v="2024-04-05T00:00:00"/>
    <n v="10"/>
    <x v="0"/>
    <x v="11"/>
    <s v="Austin"/>
    <s v="Consumer"/>
    <x v="2"/>
    <s v="J. Njeri"/>
    <x v="0"/>
    <s v="MON-5444"/>
    <n v="5.66"/>
    <n v="4.22"/>
    <n v="4.22"/>
    <n v="0.11899999999999999"/>
    <n v="18"/>
    <n v="66.920760000000001"/>
    <n v="101.88"/>
    <n v="-34.959239999999994"/>
    <n v="-0.52239753403876454"/>
    <d v="2024-06-09T00:00:00"/>
    <s v="Q1-2024"/>
    <s v="Americas → USA → Austin"/>
    <s v="Low"/>
    <d v="2024-03-01T00:00:00"/>
    <d v="2023-01-01T00:00:00"/>
    <n v="14"/>
    <n v="0"/>
  </r>
  <r>
    <s v="ORD-2024-948800"/>
    <d v="2024-03-27T00:00:00"/>
    <d v="2024-04-11T00:00:00"/>
    <n v="15"/>
    <x v="0"/>
    <x v="11"/>
    <s v="San Francisco"/>
    <s v="Small Business"/>
    <x v="2"/>
    <s v="O. Wang"/>
    <x v="4"/>
    <s v="NET-5523"/>
    <n v="1338.35"/>
    <n v="2247.14"/>
    <n v="2247.14"/>
    <n v="0.115"/>
    <n v="40"/>
    <n v="79548.755999999994"/>
    <n v="53534"/>
    <n v="26014.755999999994"/>
    <n v="0.32702907384246205"/>
    <d v="2024-06-15T00:00:00"/>
    <s v="Q1-2024"/>
    <s v="Americas → USA → San Francisco"/>
    <s v="High"/>
    <d v="2024-03-01T00:00:00"/>
    <d v="2023-01-01T00:00:00"/>
    <n v="14"/>
    <n v="0"/>
  </r>
  <r>
    <s v="ORD-2024-897622"/>
    <d v="2024-03-30T00:00:00"/>
    <d v="2024-04-24T00:00:00"/>
    <n v="25"/>
    <x v="0"/>
    <x v="11"/>
    <s v="Austin"/>
    <s v="Non-Profit"/>
    <x v="1"/>
    <s v="G. Dubois"/>
    <x v="6"/>
    <s v="LAP-2846"/>
    <n v="160.82"/>
    <n v="258.52"/>
    <n v="258.52"/>
    <n v="0.13"/>
    <n v="17"/>
    <n v="3823.5108"/>
    <n v="2733.94"/>
    <n v="1089.5708"/>
    <n v="0.28496605789631874"/>
    <d v="2024-06-16T00:00:00"/>
    <s v="Q1-2024"/>
    <s v="Americas → USA → Austin"/>
    <s v="Low"/>
    <d v="2024-03-01T00:00:00"/>
    <d v="2023-01-01T00:00:00"/>
    <n v="14"/>
    <n v="0"/>
  </r>
  <r>
    <s v="ORD-2024-690270"/>
    <d v="2024-05-17T00:00:00"/>
    <d v="2024-05-27T00:00:00"/>
    <n v="10"/>
    <x v="0"/>
    <x v="11"/>
    <s v="Austin"/>
    <s v="Non-Profit"/>
    <x v="1"/>
    <s v="C. Otieno"/>
    <x v="2"/>
    <s v="PHN-7974"/>
    <n v="1484.23"/>
    <n v="3472.81"/>
    <n v="3472.81"/>
    <n v="0.25600000000000001"/>
    <n v="12"/>
    <n v="31005.24768"/>
    <n v="17810.760000000002"/>
    <n v="13194.487679999998"/>
    <n v="0.42555659661803413"/>
    <d v="2024-05-23T00:00:00"/>
    <s v="Q2-2024"/>
    <s v="Americas → USA → Austin"/>
    <s v="High"/>
    <d v="2024-05-01T00:00:00"/>
    <d v="2023-01-01T00:00:00"/>
    <n v="16"/>
    <n v="0"/>
  </r>
  <r>
    <s v="ORD-2024-500109"/>
    <d v="2024-05-18T00:00:00"/>
    <d v="2024-05-23T00:00:00"/>
    <n v="5"/>
    <x v="0"/>
    <x v="11"/>
    <s v="Chicago"/>
    <s v="Enterprise"/>
    <x v="4"/>
    <s v="H. Kim"/>
    <x v="6"/>
    <s v="LAP-4987"/>
    <n v="1274.5899999999999"/>
    <n v="2553.69"/>
    <n v="2553.69"/>
    <n v="0.01"/>
    <n v="8"/>
    <n v="20225.2248"/>
    <n v="10196.719999999999"/>
    <n v="10028.504800000001"/>
    <n v="0.49584145042481803"/>
    <d v="2024-05-20T00:00:00"/>
    <s v="Q2-2024"/>
    <s v="Americas → USA → Chicago"/>
    <s v="High"/>
    <d v="2024-05-01T00:00:00"/>
    <d v="2023-01-01T00:00:00"/>
    <n v="16"/>
    <n v="1"/>
  </r>
  <r>
    <s v="ORD-2024-605518"/>
    <d v="2024-05-30T00:00:00"/>
    <d v="2024-06-13T00:00:00"/>
    <n v="14"/>
    <x v="0"/>
    <x v="11"/>
    <s v="San Francisco"/>
    <s v="Small Business"/>
    <x v="4"/>
    <s v="F. Müller"/>
    <x v="2"/>
    <s v="PHN-4356"/>
    <n v="157.78"/>
    <n v="361.1"/>
    <n v="361.1"/>
    <n v="0.187"/>
    <n v="9"/>
    <n v="2642.1686999999997"/>
    <n v="1420.02"/>
    <n v="1222.1486999999997"/>
    <n v="0.46255513510549112"/>
    <d v="2024-05-05T00:00:00"/>
    <s v="Q2-2024"/>
    <s v="Americas → USA → San Francisco"/>
    <s v="Low"/>
    <d v="2024-05-01T00:00:00"/>
    <d v="2023-01-01T00:00:00"/>
    <n v="16"/>
    <n v="0"/>
  </r>
  <r>
    <s v="ORD-2024-301260"/>
    <d v="2024-07-29T00:00:00"/>
    <d v="2024-07-31T00:00:00"/>
    <n v="2"/>
    <x v="0"/>
    <x v="11"/>
    <s v="New York"/>
    <s v="Education"/>
    <x v="0"/>
    <s v="I. Johnson"/>
    <x v="3"/>
    <s v="PRN-2829"/>
    <n v="798.97"/>
    <n v="1814.06"/>
    <n v="1814.06"/>
    <n v="0.122"/>
    <n v="16"/>
    <n v="25483.91488"/>
    <n v="12783.52"/>
    <n v="12700.39488"/>
    <n v="0.49836906691159061"/>
    <d v="2024-03-18T00:00:00"/>
    <s v="Q3-2024"/>
    <s v="Americas → USA → New York"/>
    <s v="High"/>
    <d v="2024-07-01T00:00:00"/>
    <d v="2023-01-01T00:00:00"/>
    <n v="18"/>
    <n v="1"/>
  </r>
  <r>
    <s v="ORD-2024-433936"/>
    <d v="2024-08-04T00:00:00"/>
    <d v="2024-08-17T00:00:00"/>
    <n v="13"/>
    <x v="0"/>
    <x v="11"/>
    <s v="Austin"/>
    <s v="Consumer"/>
    <x v="4"/>
    <s v="D. Smith"/>
    <x v="0"/>
    <s v="MON-8867"/>
    <n v="352.79"/>
    <n v="754.22"/>
    <n v="754.22"/>
    <n v="0.113"/>
    <n v="7"/>
    <n v="4682.9519799999998"/>
    <n v="2469.5300000000002"/>
    <n v="2213.4219799999996"/>
    <n v="0.47265528014233443"/>
    <d v="2024-03-02T00:00:00"/>
    <s v="Q3-2024"/>
    <s v="Americas → USA → Austin"/>
    <s v="Low"/>
    <d v="2024-08-01T00:00:00"/>
    <d v="2023-01-01T00:00:00"/>
    <n v="19"/>
    <n v="0"/>
  </r>
  <r>
    <s v="ORD-2024-212990"/>
    <d v="2024-08-12T00:00:00"/>
    <d v="2024-09-03T00:00:00"/>
    <n v="22"/>
    <x v="0"/>
    <x v="11"/>
    <s v="Austin"/>
    <s v="Consumer"/>
    <x v="3"/>
    <s v="I. Johnson"/>
    <x v="6"/>
    <s v="LAP-7979"/>
    <n v="797.8"/>
    <n v="886.22"/>
    <n v="886.22"/>
    <n v="0.23599999999999999"/>
    <n v="36"/>
    <n v="24374.594880000001"/>
    <n v="28720.799999999999"/>
    <n v="-4346.2051199999987"/>
    <n v="-0.17830881462428633"/>
    <d v="2024-02-18T00:00:00"/>
    <s v="Q3-2024"/>
    <s v="Americas → USA → Austin"/>
    <s v="Medium"/>
    <d v="2024-08-01T00:00:00"/>
    <d v="2023-01-01T00:00:00"/>
    <n v="19"/>
    <n v="0"/>
  </r>
  <r>
    <s v="ORD-2024-626750"/>
    <d v="2024-08-12T00:00:00"/>
    <d v="2024-08-15T00:00:00"/>
    <n v="3"/>
    <x v="0"/>
    <x v="11"/>
    <s v="Chicago"/>
    <s v="Corporate"/>
    <x v="0"/>
    <s v="D. Smith"/>
    <x v="3"/>
    <s v="PRN-5591"/>
    <n v="850.7"/>
    <n v="1118.56"/>
    <n v="1118.56"/>
    <n v="0.18"/>
    <n v="19"/>
    <n v="17427.164800000002"/>
    <n v="16163.300000000001"/>
    <n v="1263.8648000000012"/>
    <n v="7.2522685962090688E-2"/>
    <d v="2024-02-17T00:00:00"/>
    <s v="Q3-2024"/>
    <s v="Americas → USA → Chicago"/>
    <s v="Medium"/>
    <d v="2024-08-01T00:00:00"/>
    <d v="2023-01-01T00:00:00"/>
    <n v="19"/>
    <n v="1"/>
  </r>
  <r>
    <s v="ORD-2024-353078"/>
    <d v="2024-08-16T00:00:00"/>
    <d v="2024-08-26T00:00:00"/>
    <n v="10"/>
    <x v="0"/>
    <x v="11"/>
    <s v="Chicago"/>
    <s v="Corporate"/>
    <x v="3"/>
    <s v="L. Okafor"/>
    <x v="6"/>
    <s v="LAP-5763"/>
    <n v="1291.7"/>
    <n v="2657.84"/>
    <n v="2657.84"/>
    <n v="8.6999999999999994E-2"/>
    <n v="21"/>
    <n v="50958.766320000002"/>
    <n v="27125.7"/>
    <n v="23833.066320000002"/>
    <n v="0.46769315745083367"/>
    <d v="2024-02-11T00:00:00"/>
    <s v="Q3-2024"/>
    <s v="Americas → USA → Chicago"/>
    <s v="High"/>
    <d v="2024-08-01T00:00:00"/>
    <d v="2023-01-01T00:00:00"/>
    <n v="19"/>
    <n v="0"/>
  </r>
  <r>
    <s v="ORD-2024-664046"/>
    <d v="2024-09-02T00:00:00"/>
    <d v="2024-09-08T00:00:00"/>
    <n v="6"/>
    <x v="0"/>
    <x v="11"/>
    <s v="Austin"/>
    <s v="Consumer"/>
    <x v="2"/>
    <s v="H. Kim"/>
    <x v="1"/>
    <s v="CMP-7563"/>
    <n v="462.94"/>
    <n v="1015.7"/>
    <n v="1015.7"/>
    <n v="0.14299999999999999"/>
    <n v="14"/>
    <n v="12186.368600000002"/>
    <n v="6481.16"/>
    <n v="5705.2086000000018"/>
    <n v="0.46816314090483041"/>
    <d v="2024-01-28T00:00:00"/>
    <s v="Q3-2024"/>
    <s v="Americas → USA → Austin"/>
    <s v="Medium"/>
    <d v="2024-09-01T00:00:00"/>
    <d v="2023-01-01T00:00:00"/>
    <n v="20"/>
    <n v="1"/>
  </r>
  <r>
    <s v="ORD-2024-741404"/>
    <d v="2024-10-19T00:00:00"/>
    <d v="2024-11-06T00:00:00"/>
    <n v="18"/>
    <x v="0"/>
    <x v="11"/>
    <s v="Chicago"/>
    <s v="Education"/>
    <x v="5"/>
    <s v="C. Otieno"/>
    <x v="0"/>
    <s v="MON-8129"/>
    <n v="942.02"/>
    <n v="1028.46"/>
    <n v="1028.46"/>
    <n v="0"/>
    <n v="9"/>
    <n v="9256.14"/>
    <n v="8478.18"/>
    <n v="777.95999999999913"/>
    <n v="8.4047994088248354E-2"/>
    <d v="2023-12-07T00:00:00"/>
    <s v="Q4-2024"/>
    <s v="Americas → USA → Chicago"/>
    <s v="Medium"/>
    <d v="2024-10-01T00:00:00"/>
    <d v="2023-01-01T00:00:00"/>
    <n v="21"/>
    <n v="0"/>
  </r>
  <r>
    <s v="ORD-2024-250862"/>
    <d v="2024-10-25T00:00:00"/>
    <d v="2024-11-05T00:00:00"/>
    <n v="11"/>
    <x v="0"/>
    <x v="11"/>
    <s v="New York"/>
    <s v="Corporate"/>
    <x v="3"/>
    <s v="N. Brown"/>
    <x v="1"/>
    <s v="CMP-9498"/>
    <n v="446.66"/>
    <n v="527.64"/>
    <n v="527.64"/>
    <n v="0.14499999999999999"/>
    <n v="15"/>
    <n v="6766.9829999999993"/>
    <n v="6699.9000000000005"/>
    <n v="67.082999999998719"/>
    <n v="9.9132804087137105E-3"/>
    <d v="2023-12-03T00:00:00"/>
    <s v="Q4-2024"/>
    <s v="Americas → USA → New York"/>
    <s v="Low"/>
    <d v="2024-10-01T00:00:00"/>
    <d v="2023-01-01T00:00:00"/>
    <n v="21"/>
    <n v="0"/>
  </r>
  <r>
    <s v="ORD-2024-164288"/>
    <d v="2024-12-21T00:00:00"/>
    <d v="2024-12-26T00:00:00"/>
    <n v="5"/>
    <x v="0"/>
    <x v="11"/>
    <s v="San Francisco"/>
    <s v="Consumer"/>
    <x v="0"/>
    <s v="M. Rossi"/>
    <x v="3"/>
    <s v="PRN-4788"/>
    <n v="699.57"/>
    <n v="572.71"/>
    <n v="572.71"/>
    <n v="0.192"/>
    <n v="26"/>
    <n v="12031.491680000001"/>
    <n v="18188.82"/>
    <n v="-6157.3283199999987"/>
    <n v="-0.51176765805651114"/>
    <d v="2023-09-21T00:00:00"/>
    <s v="Q4-2024"/>
    <s v="Americas → USA → San Francisco"/>
    <s v="Low"/>
    <d v="2024-12-01T00:00:00"/>
    <d v="2023-01-01T00:00:00"/>
    <n v="23"/>
    <n v="1"/>
  </r>
  <r>
    <s v="ORD-2025-653781"/>
    <d v="2025-01-11T00:00:00"/>
    <d v="2025-01-23T00:00:00"/>
    <n v="12"/>
    <x v="0"/>
    <x v="11"/>
    <s v="Austin"/>
    <s v="Consumer"/>
    <x v="3"/>
    <s v="H. Kim"/>
    <x v="2"/>
    <s v="PHN-6307"/>
    <n v="100.69"/>
    <n v="226.14"/>
    <n v="226.14"/>
    <n v="6.5000000000000002E-2"/>
    <n v="12"/>
    <n v="2537.2908000000002"/>
    <n v="1208.28"/>
    <n v="1329.0108000000002"/>
    <n v="0.52379128162999689"/>
    <d v="2023-08-25T00:00:00"/>
    <s v="Q1-2025"/>
    <s v="Americas → USA → Austin"/>
    <s v="Low"/>
    <d v="2025-01-01T00:00:00"/>
    <d v="2023-01-01T00:00:00"/>
    <n v="24"/>
    <n v="0"/>
  </r>
  <r>
    <s v="ORD-2025-649239"/>
    <d v="2025-01-17T00:00:00"/>
    <d v="2025-01-24T00:00:00"/>
    <n v="7"/>
    <x v="0"/>
    <x v="11"/>
    <s v="Austin"/>
    <s v="Enterprise"/>
    <x v="1"/>
    <s v="G. Dubois"/>
    <x v="5"/>
    <s v="ACC-4511"/>
    <n v="142.09"/>
    <n v="218.5"/>
    <n v="218.5"/>
    <n v="0.11899999999999999"/>
    <n v="11"/>
    <n v="2117.4834999999998"/>
    <n v="1562.99"/>
    <n v="554.49349999999981"/>
    <n v="0.26186437816398561"/>
    <d v="2023-08-29T00:00:00"/>
    <s v="Q1-2025"/>
    <s v="Americas → USA → Austin"/>
    <s v="Low"/>
    <d v="2025-01-01T00:00:00"/>
    <d v="2023-01-01T00:00:00"/>
    <n v="24"/>
    <n v="1"/>
  </r>
  <r>
    <s v="ORD-2025-276968"/>
    <d v="2025-02-25T00:00:00"/>
    <d v="2025-03-17T00:00:00"/>
    <n v="20"/>
    <x v="0"/>
    <x v="11"/>
    <s v="San Francisco"/>
    <s v="Non-Profit"/>
    <x v="0"/>
    <s v="H. Kim"/>
    <x v="2"/>
    <s v="PHN-1044"/>
    <n v="1205.26"/>
    <n v="1696.35"/>
    <n v="1696.35"/>
    <n v="1.9E-2"/>
    <n v="6"/>
    <n v="9984.7160999999978"/>
    <n v="7231.5599999999995"/>
    <n v="2753.1560999999983"/>
    <n v="0.27573704374028213"/>
    <d v="2023-07-16T00:00:00"/>
    <s v="Q1-2025"/>
    <s v="Americas → USA → San Francisco"/>
    <s v="High"/>
    <d v="2025-02-01T00:00:00"/>
    <d v="2023-01-01T00:00:00"/>
    <n v="25"/>
    <n v="0"/>
  </r>
  <r>
    <s v="ORD-2025-861401"/>
    <d v="2025-04-01T00:00:00"/>
    <d v="2025-04-27T00:00:00"/>
    <n v="26"/>
    <x v="0"/>
    <x v="11"/>
    <s v="San Francisco"/>
    <s v="Corporate"/>
    <x v="2"/>
    <s v="I. Johnson"/>
    <x v="0"/>
    <s v="MON-9319"/>
    <n v="156.55000000000001"/>
    <n v="227.45"/>
    <n v="227.45"/>
    <n v="1.4E-2"/>
    <n v="13"/>
    <n v="2915.4540999999999"/>
    <n v="2035.15"/>
    <n v="880.30409999999983"/>
    <n v="0.3019440779396938"/>
    <d v="2023-07-01T00:00:00"/>
    <s v="Q2-2025"/>
    <s v="Americas → USA → San Francisco"/>
    <s v="Low"/>
    <d v="2025-04-01T00:00:00"/>
    <d v="2023-01-01T00:00:00"/>
    <n v="27"/>
    <n v="0"/>
  </r>
  <r>
    <s v="ORD-2025-488349"/>
    <d v="2025-04-22T00:00:00"/>
    <d v="2025-04-23T00:00:00"/>
    <n v="1"/>
    <x v="0"/>
    <x v="11"/>
    <s v="San Francisco"/>
    <s v="Non-Profit"/>
    <x v="3"/>
    <s v="D. Smith"/>
    <x v="0"/>
    <s v="MON-3371"/>
    <n v="23.24"/>
    <n v="44.57"/>
    <n v="44.57"/>
    <n v="0.215"/>
    <n v="15"/>
    <n v="524.81174999999996"/>
    <n v="348.59999999999997"/>
    <n v="176.21174999999999"/>
    <n v="0.33576182316802167"/>
    <d v="2023-05-20T00:00:00"/>
    <s v="Q2-2025"/>
    <s v="Americas → USA → San Francisco"/>
    <s v="Low"/>
    <d v="2025-04-01T00:00:00"/>
    <d v="2023-01-01T00:00:00"/>
    <n v="27"/>
    <n v="1"/>
  </r>
  <r>
    <s v="ORD-2025-474368"/>
    <d v="2025-04-27T00:00:00"/>
    <d v="2025-05-17T00:00:00"/>
    <n v="20"/>
    <x v="0"/>
    <x v="11"/>
    <s v="Austin"/>
    <s v="Corporate"/>
    <x v="2"/>
    <s v="N. Brown"/>
    <x v="2"/>
    <s v="PHN-8776"/>
    <n v="932.26"/>
    <n v="1624.67"/>
    <n v="1624.67"/>
    <n v="0.23499999999999999"/>
    <n v="28"/>
    <n v="34800.431400000001"/>
    <n v="26103.279999999999"/>
    <n v="8697.1514000000025"/>
    <n v="0.24991504559337163"/>
    <d v="2023-05-23T00:00:00"/>
    <s v="Q2-2025"/>
    <s v="Americas → USA → Austin"/>
    <s v="Medium"/>
    <d v="2025-04-01T00:00:00"/>
    <d v="2023-01-01T00:00:00"/>
    <n v="27"/>
    <n v="0"/>
  </r>
  <r>
    <s v="ORD-2025-364852"/>
    <d v="2025-05-18T00:00:00"/>
    <d v="2025-06-09T00:00:00"/>
    <n v="22"/>
    <x v="0"/>
    <x v="11"/>
    <s v="New York"/>
    <s v="Consumer"/>
    <x v="4"/>
    <s v="H. Kim"/>
    <x v="4"/>
    <s v="NET-3749"/>
    <n v="382.96"/>
    <n v="552.84"/>
    <n v="552.84"/>
    <n v="0.17599999999999999"/>
    <n v="8"/>
    <n v="3644.3212800000006"/>
    <n v="3063.68"/>
    <n v="580.64128000000073"/>
    <n v="0.15932768693763483"/>
    <d v="2023-05-02T00:00:00"/>
    <s v="Q2-2025"/>
    <s v="Americas → USA → New York"/>
    <s v="Low"/>
    <d v="2025-05-01T00:00:00"/>
    <d v="2023-01-01T00:00:00"/>
    <n v="28"/>
    <n v="0"/>
  </r>
  <r>
    <s v="ORD-2025-289139"/>
    <d v="2025-08-10T00:00:00"/>
    <d v="2025-08-30T00:00:00"/>
    <n v="20"/>
    <x v="0"/>
    <x v="11"/>
    <s v="San Francisco"/>
    <s v="Corporate"/>
    <x v="0"/>
    <s v="K. Singh"/>
    <x v="3"/>
    <s v="PRN-2098"/>
    <n v="933.29"/>
    <n v="1456.81"/>
    <n v="1456.81"/>
    <n v="0.123"/>
    <n v="13"/>
    <n v="16609.090809999998"/>
    <n v="12132.77"/>
    <n v="4476.3208099999974"/>
    <n v="0.26951028573489977"/>
    <d v="2023-03-02T00:00:00"/>
    <s v="Q3-2025"/>
    <s v="Americas → USA → San Francisco"/>
    <s v="Medium"/>
    <d v="2025-08-01T00:00:00"/>
    <d v="2023-01-01T00:00:00"/>
    <n v="31"/>
    <n v="0"/>
  </r>
  <r>
    <s v="ORD-2025-960931"/>
    <d v="2025-08-20T00:00:00"/>
    <d v="2025-08-26T00:00:00"/>
    <n v="6"/>
    <x v="0"/>
    <x v="11"/>
    <s v="New York"/>
    <s v="Corporate"/>
    <x v="4"/>
    <s v="M. Rossi"/>
    <x v="4"/>
    <s v="NET-5196"/>
    <n v="1304.95"/>
    <n v="1712.03"/>
    <n v="1712.03"/>
    <n v="0.21199999999999999"/>
    <n v="8"/>
    <n v="10792.637119999999"/>
    <n v="10439.6"/>
    <n v="353.03711999999905"/>
    <n v="3.2710922833287949E-2"/>
    <d v="2023-02-27T00:00:00"/>
    <s v="Q3-2025"/>
    <s v="Americas → USA → New York"/>
    <s v="High"/>
    <d v="2025-08-01T00:00:00"/>
    <d v="2023-01-01T00:00:00"/>
    <n v="31"/>
    <n v="1"/>
  </r>
</pivotCacheRecords>
</file>

<file path=xl/pivotCache/pivotCacheRecords3.xml><?xml version="1.0" encoding="utf-8"?>
<pivotCacheRecords xmlns="http://schemas.openxmlformats.org/spreadsheetml/2006/main" xmlns:r="http://schemas.openxmlformats.org/officeDocument/2006/relationships" count="632">
  <r>
    <s v="ORD-2023-856322"/>
    <d v="2023-01-29T00:00:00"/>
    <d v="2023-02-06T00:00:00"/>
    <n v="8"/>
    <x v="0"/>
    <s v="Brazil"/>
    <s v="Brasília"/>
    <s v="Corporate"/>
    <s v="Marketplace"/>
    <x v="0"/>
    <s v="Monitors"/>
    <s v="MON-7207"/>
    <n v="41.84"/>
    <n v="86.2"/>
    <n v="86.2"/>
    <n v="0.22600000000000001"/>
    <n v="27"/>
    <n v="1801.4076000000002"/>
    <n v="1129.68"/>
    <n v="671.72760000000017"/>
    <n v="0.37289039970742882"/>
    <d v="2025-08-21T00:00:00"/>
    <s v="Q1-2023"/>
    <s v="Americas → Brazil → Brasília"/>
    <s v="Low"/>
    <d v="2023-01-01T00:00:00"/>
    <d v="2023-01-01T00:00:00"/>
    <n v="0"/>
    <n v="0"/>
    <n v="1"/>
  </r>
  <r>
    <s v="ORD-2023-271836"/>
    <d v="2023-02-07T00:00:00"/>
    <d v="2023-02-12T00:00:00"/>
    <n v="5"/>
    <x v="0"/>
    <s v="Brazil"/>
    <s v="São Paulo"/>
    <s v="Education"/>
    <s v="Online"/>
    <x v="1"/>
    <s v="Components"/>
    <s v="CMP-2693"/>
    <n v="948.55"/>
    <n v="2089.16"/>
    <n v="2089.16"/>
    <n v="7.0000000000000001E-3"/>
    <n v="12"/>
    <n v="24894.430559999997"/>
    <n v="11382.599999999999"/>
    <n v="13511.830559999999"/>
    <n v="0.54276519912492427"/>
    <d v="2025-08-14T00:00:00"/>
    <s v="Q1-2023"/>
    <s v="Americas → Brazil → São Paulo"/>
    <s v="High"/>
    <d v="2023-02-01T00:00:00"/>
    <d v="2023-01-01T00:00:00"/>
    <n v="1"/>
    <n v="1"/>
    <n v="0"/>
  </r>
  <r>
    <s v="ORD-2023-869884"/>
    <d v="2023-03-02T00:00:00"/>
    <d v="2023-03-05T00:00:00"/>
    <n v="3"/>
    <x v="0"/>
    <s v="Brazil"/>
    <s v="Brasília"/>
    <s v="Enterprise"/>
    <s v="Direct"/>
    <x v="2"/>
    <s v="Monitors"/>
    <s v="MON-2828"/>
    <n v="1473.58"/>
    <n v="3436.52"/>
    <n v="3436.52"/>
    <n v="0.108"/>
    <n v="8"/>
    <n v="24523.006720000001"/>
    <n v="11788.64"/>
    <n v="12734.366720000002"/>
    <n v="0.51928243813652564"/>
    <d v="2025-08-03T00:00:00"/>
    <s v="Q1-2023"/>
    <s v="Americas → Brazil → Brasília"/>
    <s v="High"/>
    <d v="2023-03-01T00:00:00"/>
    <d v="2023-01-01T00:00:00"/>
    <n v="2"/>
    <n v="1"/>
    <n v="0"/>
  </r>
  <r>
    <s v="ORD-2023-747341"/>
    <d v="2023-04-19T00:00:00"/>
    <d v="2023-04-28T00:00:00"/>
    <n v="9"/>
    <x v="0"/>
    <s v="Brazil"/>
    <s v="Rio de Janeiro"/>
    <s v="Corporate"/>
    <s v="Distributor"/>
    <x v="3"/>
    <s v="Phones"/>
    <s v="PHN-7132"/>
    <n v="1013.54"/>
    <n v="927.93"/>
    <n v="927.93"/>
    <n v="0.17499999999999999"/>
    <n v="16"/>
    <n v="12248.675999999999"/>
    <n v="16216.64"/>
    <n v="-3967.9639999999999"/>
    <n v="-0.32395044166406234"/>
    <d v="2025-06-15T00:00:00"/>
    <s v="Q2-2023"/>
    <s v="Americas → Brazil → Rio de Janeiro"/>
    <s v="Medium"/>
    <d v="2023-04-01T00:00:00"/>
    <d v="2023-01-01T00:00:00"/>
    <n v="3"/>
    <n v="0"/>
    <n v="0"/>
  </r>
  <r>
    <s v="ORD-2023-588455"/>
    <d v="2023-05-23T00:00:00"/>
    <d v="2023-05-25T00:00:00"/>
    <n v="2"/>
    <x v="0"/>
    <s v="Brazil"/>
    <s v="Rio de Janeiro"/>
    <s v="Enterprise"/>
    <s v="Retail"/>
    <x v="3"/>
    <s v="Printers"/>
    <s v="PRN-1271"/>
    <n v="690.49"/>
    <n v="1290.29"/>
    <n v="1290.29"/>
    <n v="4.2000000000000003E-2"/>
    <n v="22"/>
    <n v="27194.152039999997"/>
    <n v="15190.78"/>
    <n v="12003.372039999997"/>
    <n v="0.44139534199647718"/>
    <d v="2025-04-16T00:00:00"/>
    <s v="Q2-2023"/>
    <s v="Americas → Brazil → Rio de Janeiro"/>
    <s v="Medium"/>
    <d v="2023-05-01T00:00:00"/>
    <d v="2023-01-01T00:00:00"/>
    <n v="4"/>
    <n v="1"/>
    <n v="0"/>
  </r>
  <r>
    <s v="ORD-2023-244375"/>
    <d v="2023-06-03T00:00:00"/>
    <d v="2023-07-01T00:00:00"/>
    <n v="28"/>
    <x v="0"/>
    <s v="Brazil"/>
    <s v="Brasília"/>
    <s v="Small Business"/>
    <s v="Marketplace"/>
    <x v="4"/>
    <s v="Components"/>
    <s v="CMP-1223"/>
    <n v="860.4"/>
    <n v="2066.6"/>
    <n v="2066.6"/>
    <n v="0.01"/>
    <n v="3"/>
    <n v="6137.8019999999988"/>
    <n v="2581.1999999999998"/>
    <n v="3556.601999999999"/>
    <n v="0.57945857491004105"/>
    <d v="2025-04-09T00:00:00"/>
    <s v="Q2-2023"/>
    <s v="Americas → Brazil → Brasília"/>
    <s v="High"/>
    <d v="2023-06-01T00:00:00"/>
    <d v="2023-01-01T00:00:00"/>
    <n v="5"/>
    <n v="0"/>
    <n v="0"/>
  </r>
  <r>
    <s v="ORD-2023-434071"/>
    <d v="2023-06-20T00:00:00"/>
    <d v="2023-07-04T00:00:00"/>
    <n v="14"/>
    <x v="0"/>
    <s v="Brazil"/>
    <s v="Brasília"/>
    <s v="Non-Profit"/>
    <s v="Direct"/>
    <x v="5"/>
    <s v="Networking"/>
    <s v="NET-1228"/>
    <n v="1292.8599999999999"/>
    <n v="2981.01"/>
    <n v="2981.01"/>
    <n v="0.14199999999999999"/>
    <n v="12"/>
    <n v="30692.47896"/>
    <n v="15514.32"/>
    <n v="15178.158960000001"/>
    <n v="0.49452372288927687"/>
    <d v="2025-04-16T00:00:00"/>
    <s v="Q2-2023"/>
    <s v="Americas → Brazil → Brasília"/>
    <s v="High"/>
    <d v="2023-06-01T00:00:00"/>
    <d v="2023-01-01T00:00:00"/>
    <n v="5"/>
    <n v="0"/>
    <n v="0"/>
  </r>
  <r>
    <s v="ORD-2023-374486"/>
    <d v="2023-06-23T00:00:00"/>
    <d v="2023-06-24T00:00:00"/>
    <n v="1"/>
    <x v="0"/>
    <s v="Brazil"/>
    <s v="Rio de Janeiro"/>
    <s v="Non-Profit"/>
    <s v="Retail"/>
    <x v="6"/>
    <s v="Printers"/>
    <s v="PRN-6490"/>
    <n v="804.01"/>
    <n v="1405.07"/>
    <n v="1405.07"/>
    <n v="9.6000000000000002E-2"/>
    <n v="8"/>
    <n v="10161.46624"/>
    <n v="6432.08"/>
    <n v="3729.3862399999998"/>
    <n v="0.36701260939287439"/>
    <d v="2025-04-13T00:00:00"/>
    <s v="Q2-2023"/>
    <s v="Americas → Brazil → Rio de Janeiro"/>
    <s v="Medium"/>
    <d v="2023-06-01T00:00:00"/>
    <d v="2023-01-01T00:00:00"/>
    <n v="5"/>
    <n v="1"/>
    <n v="0"/>
  </r>
  <r>
    <s v="ORD-2023-309373"/>
    <d v="2023-07-05T00:00:00"/>
    <d v="2023-07-14T00:00:00"/>
    <n v="9"/>
    <x v="0"/>
    <s v="Brazil"/>
    <s v="Brasília"/>
    <s v="Enterprise"/>
    <s v="Direct"/>
    <x v="7"/>
    <s v="Networking"/>
    <s v="NET-2394"/>
    <n v="578.85"/>
    <n v="998.76"/>
    <n v="998.76"/>
    <n v="8.2000000000000003E-2"/>
    <n v="28"/>
    <n v="25672.127039999999"/>
    <n v="16207.800000000001"/>
    <n v="9464.3270399999983"/>
    <n v="0.36866158480960831"/>
    <d v="2025-03-10T00:00:00"/>
    <s v="Q3-2023"/>
    <s v="Americas → Brazil → Brasília"/>
    <s v="Medium"/>
    <d v="2023-07-01T00:00:00"/>
    <d v="2023-01-01T00:00:00"/>
    <n v="6"/>
    <n v="0"/>
    <n v="0"/>
  </r>
  <r>
    <s v="ORD-2023-594700"/>
    <d v="2023-07-18T00:00:00"/>
    <d v="2023-07-22T00:00:00"/>
    <n v="4"/>
    <x v="0"/>
    <s v="Brazil"/>
    <s v="São Paulo"/>
    <s v="Consumer"/>
    <s v="Direct"/>
    <x v="8"/>
    <s v="Networking"/>
    <s v="NET-1699"/>
    <n v="1269.55"/>
    <n v="2071.1"/>
    <n v="2071.1"/>
    <n v="0.129"/>
    <n v="22"/>
    <n v="39686.4182"/>
    <n v="27930.1"/>
    <n v="11756.318200000002"/>
    <n v="0.29623026549672354"/>
    <d v="2025-03-25T00:00:00"/>
    <s v="Q3-2023"/>
    <s v="Americas → Brazil → São Paulo"/>
    <s v="High"/>
    <d v="2023-07-01T00:00:00"/>
    <d v="2023-01-01T00:00:00"/>
    <n v="6"/>
    <n v="1"/>
    <n v="0"/>
  </r>
  <r>
    <s v="ORD-2023-825836"/>
    <d v="2023-07-19T00:00:00"/>
    <d v="2023-07-31T00:00:00"/>
    <n v="12"/>
    <x v="0"/>
    <s v="Brazil"/>
    <s v="Rio de Janeiro"/>
    <s v="Corporate"/>
    <s v="Retail"/>
    <x v="5"/>
    <s v="Monitors"/>
    <s v="MON-7869"/>
    <n v="1334.64"/>
    <n v="2273.42"/>
    <n v="2273.42"/>
    <n v="0.11799999999999999"/>
    <n v="14"/>
    <n v="28072.190160000002"/>
    <n v="18684.960000000003"/>
    <n v="9387.2301599999992"/>
    <n v="0.33439607335575267"/>
    <d v="2025-03-24T00:00:00"/>
    <s v="Q3-2023"/>
    <s v="Americas → Brazil → Rio de Janeiro"/>
    <s v="High"/>
    <d v="2023-07-01T00:00:00"/>
    <d v="2023-01-01T00:00:00"/>
    <n v="6"/>
    <n v="0"/>
    <n v="0"/>
  </r>
  <r>
    <s v="ORD-2023-253245"/>
    <d v="2023-08-03T00:00:00"/>
    <d v="2023-08-14T00:00:00"/>
    <n v="11"/>
    <x v="0"/>
    <s v="Brazil"/>
    <s v="Brasília"/>
    <s v="Corporate"/>
    <s v="Direct"/>
    <x v="9"/>
    <s v="Accessories"/>
    <s v="ACC-3951"/>
    <n v="232.73"/>
    <n v="334.19"/>
    <n v="334.19"/>
    <n v="0.13400000000000001"/>
    <n v="25"/>
    <n v="7235.2134999999998"/>
    <n v="5818.25"/>
    <n v="1416.9634999999998"/>
    <n v="0.1958426658729559"/>
    <d v="2025-02-09T00:00:00"/>
    <s v="Q3-2023"/>
    <s v="Americas → Brazil → Brasília"/>
    <s v="Low"/>
    <d v="2023-08-01T00:00:00"/>
    <d v="2023-01-01T00:00:00"/>
    <n v="7"/>
    <n v="0"/>
    <n v="0"/>
  </r>
  <r>
    <s v="ORD-2023-630430"/>
    <d v="2023-08-04T00:00:00"/>
    <d v="2023-08-24T00:00:00"/>
    <n v="20"/>
    <x v="0"/>
    <s v="Brazil"/>
    <s v="Brasília"/>
    <s v="Non-Profit"/>
    <s v="Direct"/>
    <x v="10"/>
    <s v="Networking"/>
    <s v="NET-9125"/>
    <n v="582.88"/>
    <n v="1044.1400000000001"/>
    <n v="1044.1400000000001"/>
    <n v="0.216"/>
    <n v="10"/>
    <n v="8186.057600000001"/>
    <n v="5828.8"/>
    <n v="2357.2576000000008"/>
    <n v="0.28796005539956138"/>
    <d v="2025-02-15T00:00:00"/>
    <s v="Q3-2023"/>
    <s v="Americas → Brazil → Brasília"/>
    <s v="Medium"/>
    <d v="2023-08-01T00:00:00"/>
    <d v="2023-01-01T00:00:00"/>
    <n v="7"/>
    <n v="0"/>
    <n v="1"/>
  </r>
  <r>
    <s v="ORD-2023-867175"/>
    <d v="2023-08-10T00:00:00"/>
    <d v="2023-08-15T00:00:00"/>
    <n v="5"/>
    <x v="0"/>
    <s v="Brazil"/>
    <s v="São Paulo"/>
    <s v="Education"/>
    <s v="Direct"/>
    <x v="2"/>
    <s v="Networking"/>
    <s v="NET-2894"/>
    <n v="1307.52"/>
    <n v="1921.65"/>
    <n v="1921.65"/>
    <n v="0.123"/>
    <n v="13"/>
    <n v="21908.731650000002"/>
    <n v="16997.759999999998"/>
    <n v="4910.9716500000031"/>
    <n v="0.22415590863289445"/>
    <d v="2025-01-31T00:00:00"/>
    <s v="Q3-2023"/>
    <s v="Americas → Brazil → São Paulo"/>
    <s v="High"/>
    <d v="2023-08-01T00:00:00"/>
    <d v="2023-01-01T00:00:00"/>
    <n v="7"/>
    <n v="1"/>
    <n v="0"/>
  </r>
  <r>
    <s v="ORD-2023-552115"/>
    <d v="2023-09-17T00:00:00"/>
    <d v="2023-10-02T00:00:00"/>
    <n v="15"/>
    <x v="0"/>
    <s v="Brazil"/>
    <s v="Rio de Janeiro"/>
    <s v="Small Business"/>
    <s v="Retail"/>
    <x v="7"/>
    <s v="Laptops"/>
    <s v="LAP-4932"/>
    <n v="689.33"/>
    <n v="668.27"/>
    <n v="668.27"/>
    <n v="0.186"/>
    <n v="13"/>
    <n v="7071.6331400000008"/>
    <n v="8961.2900000000009"/>
    <n v="-1889.6568600000001"/>
    <n v="-0.26721647214861033"/>
    <d v="2024-12-27T00:00:00"/>
    <s v="Q3-2023"/>
    <s v="Americas → Brazil → Rio de Janeiro"/>
    <s v="Low"/>
    <d v="2023-09-01T00:00:00"/>
    <d v="2023-01-01T00:00:00"/>
    <n v="8"/>
    <n v="0"/>
    <n v="0"/>
  </r>
  <r>
    <s v="ORD-2023-888140"/>
    <d v="2023-10-11T00:00:00"/>
    <d v="2023-10-13T00:00:00"/>
    <n v="2"/>
    <x v="0"/>
    <s v="Brazil"/>
    <s v="Brasília"/>
    <s v="Consumer"/>
    <s v="Distributor"/>
    <x v="10"/>
    <s v="Accessories"/>
    <s v="ACC-3567"/>
    <n v="715.94"/>
    <n v="550.07000000000005"/>
    <n v="550.07000000000005"/>
    <n v="0.14000000000000001"/>
    <n v="16"/>
    <n v="7568.9632000000001"/>
    <n v="11455.04"/>
    <n v="-3886.0768000000007"/>
    <n v="-0.51342260456491595"/>
    <d v="2024-12-07T00:00:00"/>
    <s v="Q4-2023"/>
    <s v="Americas → Brazil → Brasília"/>
    <s v="Low"/>
    <d v="2023-10-01T00:00:00"/>
    <d v="2023-01-01T00:00:00"/>
    <n v="9"/>
    <n v="1"/>
    <n v="0"/>
  </r>
  <r>
    <s v="ORD-2023-406606"/>
    <d v="2023-10-25T00:00:00"/>
    <d v="2023-10-28T00:00:00"/>
    <n v="3"/>
    <x v="0"/>
    <s v="Brazil"/>
    <s v="Brasília"/>
    <s v="Corporate"/>
    <s v="Distributor"/>
    <x v="11"/>
    <s v="Accessories"/>
    <s v="ACC-2867"/>
    <n v="509.31"/>
    <n v="1145.9000000000001"/>
    <n v="1145.9000000000001"/>
    <n v="5.7000000000000002E-2"/>
    <n v="8"/>
    <n v="8644.6696000000011"/>
    <n v="4074.48"/>
    <n v="4570.1896000000015"/>
    <n v="0.52867140231709964"/>
    <d v="2024-12-17T00:00:00"/>
    <s v="Q4-2023"/>
    <s v="Americas → Brazil → Brasília"/>
    <s v="Medium"/>
    <d v="2023-10-01T00:00:00"/>
    <d v="2023-01-01T00:00:00"/>
    <n v="9"/>
    <n v="1"/>
    <n v="0"/>
  </r>
  <r>
    <s v="ORD-2023-653343"/>
    <d v="2023-11-10T00:00:00"/>
    <d v="2023-11-28T00:00:00"/>
    <n v="18"/>
    <x v="0"/>
    <s v="Brazil"/>
    <s v="Brasília"/>
    <s v="Education"/>
    <s v="Marketplace"/>
    <x v="11"/>
    <s v="Accessories"/>
    <s v="ACC-5260"/>
    <n v="388.51"/>
    <n v="776.46"/>
    <n v="776.46"/>
    <n v="0.157"/>
    <n v="12"/>
    <n v="7854.6693599999999"/>
    <n v="4662.12"/>
    <n v="3192.54936"/>
    <n v="0.40645241876864946"/>
    <d v="2024-12-08T00:00:00"/>
    <s v="Q4-2023"/>
    <s v="Americas → Brazil → Brasília"/>
    <s v="Low"/>
    <d v="2023-11-01T00:00:00"/>
    <d v="2023-01-01T00:00:00"/>
    <n v="10"/>
    <n v="0"/>
    <n v="0"/>
  </r>
  <r>
    <s v="ORD-2023-619570"/>
    <d v="2023-11-14T00:00:00"/>
    <d v="2023-11-30T00:00:00"/>
    <n v="16"/>
    <x v="0"/>
    <s v="Brazil"/>
    <s v="São Paulo"/>
    <s v="Enterprise"/>
    <s v="Direct"/>
    <x v="12"/>
    <s v="Networking"/>
    <s v="NET-4104"/>
    <n v="1017.92"/>
    <n v="1175.25"/>
    <n v="1175.25"/>
    <n v="7.4999999999999997E-2"/>
    <n v="15"/>
    <n v="16306.59375"/>
    <n v="15268.8"/>
    <n v="1037.7937500000007"/>
    <n v="6.3642583234159542E-2"/>
    <d v="2024-11-25T00:00:00"/>
    <s v="Q4-2023"/>
    <s v="Americas → Brazil → São Paulo"/>
    <s v="Medium"/>
    <d v="2023-11-01T00:00:00"/>
    <d v="2023-01-01T00:00:00"/>
    <n v="10"/>
    <n v="0"/>
    <n v="0"/>
  </r>
  <r>
    <s v="ORD-2023-239789"/>
    <d v="2023-12-03T00:00:00"/>
    <d v="2023-12-26T00:00:00"/>
    <n v="23"/>
    <x v="0"/>
    <s v="Brazil"/>
    <s v="Rio de Janeiro"/>
    <s v="Education"/>
    <s v="Retail"/>
    <x v="13"/>
    <s v="Phones"/>
    <s v="PHN-4644"/>
    <n v="1303.1099999999999"/>
    <n v="1145.67"/>
    <n v="1145.67"/>
    <n v="0.184"/>
    <n v="13"/>
    <n v="12153.267360000002"/>
    <n v="16940.43"/>
    <n v="-4787.1626399999986"/>
    <n v="-0.39389922875851208"/>
    <d v="2024-10-23T00:00:00"/>
    <s v="Q4-2023"/>
    <s v="Americas → Brazil → Rio de Janeiro"/>
    <s v="Medium"/>
    <d v="2023-12-01T00:00:00"/>
    <d v="2023-01-01T00:00:00"/>
    <n v="11"/>
    <n v="0"/>
    <n v="0"/>
  </r>
  <r>
    <s v="ORD-2023-581799"/>
    <d v="2023-12-05T00:00:00"/>
    <d v="2023-12-12T00:00:00"/>
    <n v="7"/>
    <x v="0"/>
    <s v="Brazil"/>
    <s v="Brasília"/>
    <s v="Corporate"/>
    <s v="Direct"/>
    <x v="8"/>
    <s v="Phones"/>
    <s v="PHN-6506"/>
    <n v="307.43"/>
    <n v="495.19"/>
    <n v="495.19"/>
    <n v="0"/>
    <n v="42"/>
    <n v="20797.98"/>
    <n v="12912.06"/>
    <n v="7885.92"/>
    <n v="0.37916759223732305"/>
    <d v="2024-11-01T00:00:00"/>
    <s v="Q4-2023"/>
    <s v="Americas → Brazil → Brasília"/>
    <s v="Low"/>
    <d v="2023-12-01T00:00:00"/>
    <d v="2023-01-01T00:00:00"/>
    <n v="11"/>
    <n v="1"/>
    <n v="0"/>
  </r>
  <r>
    <s v="ORD-2023-195665"/>
    <d v="2023-12-19T00:00:00"/>
    <d v="2023-12-20T00:00:00"/>
    <n v="1"/>
    <x v="0"/>
    <s v="Brazil"/>
    <s v="Rio de Janeiro"/>
    <s v="Consumer"/>
    <s v="Distributor"/>
    <x v="9"/>
    <s v="Phones"/>
    <s v="PHN-7274"/>
    <n v="1080.43"/>
    <n v="2529.15"/>
    <n v="2529.15"/>
    <n v="0.14699999999999999"/>
    <n v="10"/>
    <n v="21573.6495"/>
    <n v="10804.300000000001"/>
    <n v="10769.349499999998"/>
    <n v="0.49918997247081437"/>
    <d v="2024-10-09T00:00:00"/>
    <s v="Q4-2023"/>
    <s v="Americas → Brazil → Rio de Janeiro"/>
    <s v="High"/>
    <d v="2023-12-01T00:00:00"/>
    <d v="2023-01-01T00:00:00"/>
    <n v="11"/>
    <n v="1"/>
    <n v="0"/>
  </r>
  <r>
    <s v="ORD-2023-967239"/>
    <d v="2023-12-24T00:00:00"/>
    <d v="2024-01-01T00:00:00"/>
    <n v="8"/>
    <x v="0"/>
    <s v="Brazil"/>
    <s v="São Paulo"/>
    <s v="Education"/>
    <s v="Direct"/>
    <x v="5"/>
    <s v="Phones"/>
    <s v="PHN-3014"/>
    <n v="526.49"/>
    <n v="496.2"/>
    <n v="496.2"/>
    <n v="0"/>
    <n v="14"/>
    <n v="6946.8"/>
    <n v="7370.8600000000006"/>
    <n v="-424.0600000000004"/>
    <n v="-6.1043933897621985E-2"/>
    <d v="2024-10-29T00:00:00"/>
    <s v="Q4-2023"/>
    <s v="Americas → Brazil → São Paulo"/>
    <s v="Low"/>
    <d v="2023-12-01T00:00:00"/>
    <d v="2023-01-01T00:00:00"/>
    <n v="11"/>
    <n v="0"/>
    <n v="0"/>
  </r>
  <r>
    <s v="ORD-2024-499009"/>
    <d v="2024-01-25T00:00:00"/>
    <d v="2024-01-27T00:00:00"/>
    <n v="2"/>
    <x v="0"/>
    <s v="Brazil"/>
    <s v="São Paulo"/>
    <s v="Non-Profit"/>
    <s v="Marketplace"/>
    <x v="1"/>
    <s v="Laptops"/>
    <s v="LAP-7056"/>
    <n v="1410.97"/>
    <n v="1650.75"/>
    <n v="1650.75"/>
    <n v="0.13500000000000001"/>
    <n v="6"/>
    <n v="8567.3924999999999"/>
    <n v="8465.82"/>
    <n v="101.57250000000022"/>
    <n v="1.1855707556295596E-2"/>
    <d v="2024-09-07T00:00:00"/>
    <s v="Q1-2024"/>
    <s v="Americas → Brazil → São Paulo"/>
    <s v="High"/>
    <d v="2024-01-01T00:00:00"/>
    <d v="2023-01-01T00:00:00"/>
    <n v="12"/>
    <n v="1"/>
    <n v="0"/>
  </r>
  <r>
    <s v="ORD-2024-206121"/>
    <d v="2024-02-18T00:00:00"/>
    <d v="2024-03-11T00:00:00"/>
    <n v="22"/>
    <x v="0"/>
    <s v="Brazil"/>
    <s v="São Paulo"/>
    <s v="Consumer"/>
    <s v="Online"/>
    <x v="4"/>
    <s v="Components"/>
    <s v="CMP-9801"/>
    <n v="80.48"/>
    <n v="65.650000000000006"/>
    <n v="65.650000000000006"/>
    <n v="0.17599999999999999"/>
    <n v="13"/>
    <n v="703.2428000000001"/>
    <n v="1046.24"/>
    <n v="-342.99719999999991"/>
    <n v="-0.48773652570634191"/>
    <d v="2024-08-19T00:00:00"/>
    <s v="Q1-2024"/>
    <s v="Americas → Brazil → São Paulo"/>
    <s v="Low"/>
    <d v="2024-02-01T00:00:00"/>
    <d v="2023-01-01T00:00:00"/>
    <n v="13"/>
    <n v="0"/>
    <n v="0"/>
  </r>
  <r>
    <s v="ORD-2024-129345"/>
    <d v="2024-02-18T00:00:00"/>
    <d v="2024-03-03T00:00:00"/>
    <n v="14"/>
    <x v="0"/>
    <s v="Brazil"/>
    <s v="Brasília"/>
    <s v="Enterprise"/>
    <s v="Distributor"/>
    <x v="4"/>
    <s v="Printers"/>
    <s v="PRN-5384"/>
    <n v="624.23"/>
    <n v="1318.37"/>
    <n v="1318.37"/>
    <n v="0.21"/>
    <n v="37"/>
    <n v="38535.955099999999"/>
    <n v="23096.510000000002"/>
    <n v="15439.445099999997"/>
    <n v="0.40065038118128793"/>
    <d v="2024-08-16T00:00:00"/>
    <s v="Q1-2024"/>
    <s v="Americas → Brazil → Brasília"/>
    <s v="Medium"/>
    <d v="2024-02-01T00:00:00"/>
    <d v="2023-01-01T00:00:00"/>
    <n v="13"/>
    <n v="0"/>
    <n v="1"/>
  </r>
  <r>
    <s v="ORD-2024-516704"/>
    <d v="2024-02-29T00:00:00"/>
    <d v="2024-03-01T00:00:00"/>
    <n v="1"/>
    <x v="0"/>
    <s v="Brazil"/>
    <s v="São Paulo"/>
    <s v="Non-Profit"/>
    <s v="Direct"/>
    <x v="14"/>
    <s v="Phones"/>
    <s v="PHN-7852"/>
    <n v="5.34"/>
    <n v="12.69"/>
    <n v="12.69"/>
    <n v="0.13200000000000001"/>
    <n v="10"/>
    <n v="110.14919999999999"/>
    <n v="53.4"/>
    <n v="56.749199999999995"/>
    <n v="0.51520301554618642"/>
    <d v="2024-08-15T00:00:00"/>
    <s v="Q1-2024"/>
    <s v="Americas → Brazil → São Paulo"/>
    <s v="Low"/>
    <d v="2024-02-01T00:00:00"/>
    <d v="2023-01-01T00:00:00"/>
    <n v="13"/>
    <n v="1"/>
    <n v="0"/>
  </r>
  <r>
    <s v="ORD-2024-510591"/>
    <d v="2024-04-03T00:00:00"/>
    <d v="2024-04-21T00:00:00"/>
    <n v="18"/>
    <x v="0"/>
    <s v="Brazil"/>
    <s v="Brasília"/>
    <s v="Small Business"/>
    <s v="Distributor"/>
    <x v="7"/>
    <s v="Networking"/>
    <s v="NET-3850"/>
    <n v="1176.69"/>
    <n v="2201.54"/>
    <n v="2201.54"/>
    <n v="0.17"/>
    <n v="27"/>
    <n v="49336.511399999996"/>
    <n v="31770.63"/>
    <n v="17565.881399999995"/>
    <n v="0.35604222717701106"/>
    <d v="2024-06-28T00:00:00"/>
    <s v="Q2-2024"/>
    <s v="Americas → Brazil → Brasília"/>
    <s v="High"/>
    <d v="2024-04-01T00:00:00"/>
    <d v="2023-01-01T00:00:00"/>
    <n v="15"/>
    <n v="0"/>
    <n v="0"/>
  </r>
  <r>
    <s v="ORD-2024-219735"/>
    <d v="2024-04-03T00:00:00"/>
    <d v="2024-04-07T00:00:00"/>
    <n v="4"/>
    <x v="0"/>
    <s v="Brazil"/>
    <s v="Brasília"/>
    <s v="Non-Profit"/>
    <s v="Direct"/>
    <x v="1"/>
    <s v="Phones"/>
    <s v="PHN-5445"/>
    <n v="1023.27"/>
    <n v="1343.64"/>
    <n v="1343.64"/>
    <n v="0.13300000000000001"/>
    <n v="7"/>
    <n v="8154.5511600000009"/>
    <n v="7162.8899999999994"/>
    <n v="991.66116000000147"/>
    <n v="0.12160830688810116"/>
    <d v="2024-06-23T00:00:00"/>
    <s v="Q2-2024"/>
    <s v="Americas → Brazil → Brasília"/>
    <s v="Medium"/>
    <d v="2024-04-01T00:00:00"/>
    <d v="2023-01-01T00:00:00"/>
    <n v="15"/>
    <n v="1"/>
    <n v="0"/>
  </r>
  <r>
    <s v="ORD-2024-503082"/>
    <d v="2024-05-19T00:00:00"/>
    <d v="2024-06-08T00:00:00"/>
    <n v="20"/>
    <x v="0"/>
    <s v="Brazil"/>
    <s v="Brasília"/>
    <s v="Small Business"/>
    <s v="Retail"/>
    <x v="6"/>
    <s v="Monitors"/>
    <s v="MON-4271"/>
    <n v="1075.9000000000001"/>
    <n v="1242.1500000000001"/>
    <n v="1242.1500000000001"/>
    <n v="1.2E-2"/>
    <n v="7"/>
    <n v="8590.7094000000016"/>
    <n v="7531.3000000000011"/>
    <n v="1059.4094000000005"/>
    <n v="0.12332036280961853"/>
    <d v="2024-05-21T00:00:00"/>
    <s v="Q2-2024"/>
    <s v="Americas → Brazil → Brasília"/>
    <s v="Medium"/>
    <d v="2024-05-01T00:00:00"/>
    <d v="2023-01-01T00:00:00"/>
    <n v="16"/>
    <n v="0"/>
    <n v="0"/>
  </r>
  <r>
    <s v="ORD-2024-403664"/>
    <d v="2024-05-23T00:00:00"/>
    <d v="2024-06-06T00:00:00"/>
    <n v="14"/>
    <x v="0"/>
    <s v="Brazil"/>
    <s v="Rio de Janeiro"/>
    <s v="Non-Profit"/>
    <s v="Online"/>
    <x v="14"/>
    <s v="Networking"/>
    <s v="NET-1166"/>
    <n v="51.13"/>
    <n v="57.53"/>
    <n v="57.53"/>
    <n v="4.4999999999999998E-2"/>
    <n v="16"/>
    <n v="879.05840000000001"/>
    <n v="818.08"/>
    <n v="60.978399999999965"/>
    <n v="6.9367859973808302E-2"/>
    <d v="2024-05-12T00:00:00"/>
    <s v="Q2-2024"/>
    <s v="Americas → Brazil → Rio de Janeiro"/>
    <s v="Low"/>
    <d v="2024-05-01T00:00:00"/>
    <d v="2023-01-01T00:00:00"/>
    <n v="16"/>
    <n v="0"/>
    <n v="0"/>
  </r>
  <r>
    <s v="ORD-2024-451005"/>
    <d v="2024-06-28T00:00:00"/>
    <d v="2024-06-30T00:00:00"/>
    <n v="2"/>
    <x v="0"/>
    <s v="Brazil"/>
    <s v="Rio de Janeiro"/>
    <s v="Small Business"/>
    <s v="Direct"/>
    <x v="11"/>
    <s v="Accessories"/>
    <s v="ACC-9162"/>
    <n v="1112.98"/>
    <n v="2095.73"/>
    <n v="2095.73"/>
    <n v="7.1999999999999995E-2"/>
    <n v="17"/>
    <n v="33062.236480000007"/>
    <n v="18920.66"/>
    <n v="14141.576480000007"/>
    <n v="0.42772594916724777"/>
    <d v="2024-03-10T00:00:00"/>
    <s v="Q2-2024"/>
    <s v="Americas → Brazil → Rio de Janeiro"/>
    <s v="High"/>
    <d v="2024-06-01T00:00:00"/>
    <d v="2023-01-01T00:00:00"/>
    <n v="17"/>
    <n v="1"/>
    <n v="0"/>
  </r>
  <r>
    <s v="ORD-2024-215294"/>
    <d v="2024-06-30T00:00:00"/>
    <d v="2024-07-14T00:00:00"/>
    <n v="14"/>
    <x v="0"/>
    <s v="Brazil"/>
    <s v="Brasília"/>
    <s v="Education"/>
    <s v="Retail"/>
    <x v="5"/>
    <s v="Accessories"/>
    <s v="ACC-8683"/>
    <n v="1491.85"/>
    <n v="2583.02"/>
    <n v="2583.02"/>
    <n v="0.16800000000000001"/>
    <n v="4"/>
    <n v="8596.2905599999995"/>
    <n v="5967.4"/>
    <n v="2628.8905599999998"/>
    <n v="0.30581685689321325"/>
    <d v="2024-03-11T00:00:00"/>
    <s v="Q2-2024"/>
    <s v="Americas → Brazil → Brasília"/>
    <s v="High"/>
    <d v="2024-06-01T00:00:00"/>
    <d v="2023-01-01T00:00:00"/>
    <n v="17"/>
    <n v="0"/>
    <n v="0"/>
  </r>
  <r>
    <s v="ORD-2024-202877"/>
    <d v="2024-07-13T00:00:00"/>
    <d v="2024-08-03T00:00:00"/>
    <n v="21"/>
    <x v="0"/>
    <s v="Brazil"/>
    <s v="Rio de Janeiro"/>
    <s v="Corporate"/>
    <s v="Marketplace"/>
    <x v="3"/>
    <s v="Monitors"/>
    <s v="MON-6287"/>
    <n v="702.98"/>
    <n v="1104.8"/>
    <n v="1104.8"/>
    <n v="0.17499999999999999"/>
    <n v="12"/>
    <n v="10937.519999999999"/>
    <n v="8435.76"/>
    <n v="2501.7599999999984"/>
    <n v="0.22873192460448061"/>
    <d v="2024-03-23T00:00:00"/>
    <s v="Q3-2024"/>
    <s v="Americas → Brazil → Rio de Janeiro"/>
    <s v="Medium"/>
    <d v="2024-07-01T00:00:00"/>
    <d v="2023-01-01T00:00:00"/>
    <n v="18"/>
    <n v="0"/>
    <n v="0"/>
  </r>
  <r>
    <s v="ORD-2024-585443"/>
    <d v="2024-08-15T00:00:00"/>
    <d v="2024-08-17T00:00:00"/>
    <n v="2"/>
    <x v="0"/>
    <s v="Brazil"/>
    <s v="Rio de Janeiro"/>
    <s v="Consumer"/>
    <s v="Direct"/>
    <x v="3"/>
    <s v="Monitors"/>
    <s v="MON-2849"/>
    <n v="165.3"/>
    <n v="275.07"/>
    <n v="275.07"/>
    <n v="0.13300000000000001"/>
    <n v="25"/>
    <n v="5962.1422499999999"/>
    <n v="4132.5"/>
    <n v="1829.6422499999999"/>
    <n v="0.30687665159280625"/>
    <d v="2024-02-18T00:00:00"/>
    <s v="Q3-2024"/>
    <s v="Americas → Brazil → Rio de Janeiro"/>
    <s v="Low"/>
    <d v="2024-08-01T00:00:00"/>
    <d v="2023-01-01T00:00:00"/>
    <n v="19"/>
    <n v="1"/>
    <n v="0"/>
  </r>
  <r>
    <s v="ORD-2024-446699"/>
    <d v="2024-08-28T00:00:00"/>
    <d v="2024-09-25T00:00:00"/>
    <n v="28"/>
    <x v="0"/>
    <s v="Brazil"/>
    <s v="Rio de Janeiro"/>
    <s v="Non-Profit"/>
    <s v="Online"/>
    <x v="10"/>
    <s v="Accessories"/>
    <s v="ACC-4490"/>
    <n v="1394.65"/>
    <n v="3144.1"/>
    <n v="3144.1"/>
    <n v="0.13400000000000001"/>
    <n v="13"/>
    <n v="35396.277799999996"/>
    <n v="18130.45"/>
    <n v="17265.827799999995"/>
    <n v="0.4877865378263021"/>
    <d v="2024-01-20T00:00:00"/>
    <s v="Q3-2024"/>
    <s v="Americas → Brazil → Rio de Janeiro"/>
    <s v="High"/>
    <d v="2024-08-01T00:00:00"/>
    <d v="2023-01-01T00:00:00"/>
    <n v="19"/>
    <n v="0"/>
    <n v="0"/>
  </r>
  <r>
    <s v="ORD-2024-500890"/>
    <d v="2024-09-09T00:00:00"/>
    <d v="2024-10-08T00:00:00"/>
    <n v="29"/>
    <x v="0"/>
    <s v="Brazil"/>
    <s v="São Paulo"/>
    <s v="Education"/>
    <s v="Direct"/>
    <x v="9"/>
    <s v="Components"/>
    <s v="CMP-3093"/>
    <n v="1010.33"/>
    <n v="2492.14"/>
    <n v="2492.14"/>
    <n v="5.0999999999999997E-2"/>
    <n v="11"/>
    <n v="26015.449459999996"/>
    <n v="11113.630000000001"/>
    <n v="14901.819459999995"/>
    <n v="0.57280653493656752"/>
    <d v="2024-01-12T00:00:00"/>
    <s v="Q3-2024"/>
    <s v="Americas → Brazil → São Paulo"/>
    <s v="High"/>
    <d v="2024-09-01T00:00:00"/>
    <d v="2023-01-01T00:00:00"/>
    <n v="20"/>
    <n v="0"/>
    <n v="0"/>
  </r>
  <r>
    <s v="ORD-2024-777623"/>
    <d v="2024-09-19T00:00:00"/>
    <d v="2024-10-14T00:00:00"/>
    <n v="25"/>
    <x v="0"/>
    <s v="Brazil"/>
    <s v="Rio de Janeiro"/>
    <s v="Small Business"/>
    <s v="Retail"/>
    <x v="12"/>
    <s v="Printers"/>
    <s v="PRN-2749"/>
    <n v="386.96"/>
    <n v="937.46"/>
    <n v="937.46"/>
    <n v="0.26600000000000001"/>
    <n v="41"/>
    <n v="28211.92124"/>
    <n v="15865.359999999999"/>
    <n v="12346.561240000001"/>
    <n v="0.43763631462626335"/>
    <d v="2024-01-21T00:00:00"/>
    <s v="Q3-2024"/>
    <s v="Americas → Brazil → Rio de Janeiro"/>
    <s v="Medium"/>
    <d v="2024-09-01T00:00:00"/>
    <d v="2023-01-01T00:00:00"/>
    <n v="20"/>
    <n v="0"/>
    <n v="1"/>
  </r>
  <r>
    <s v="ORD-2024-444710"/>
    <d v="2024-09-22T00:00:00"/>
    <d v="2024-10-01T00:00:00"/>
    <n v="9"/>
    <x v="0"/>
    <s v="Brazil"/>
    <s v="São Paulo"/>
    <s v="Non-Profit"/>
    <s v="Online"/>
    <x v="12"/>
    <s v="Monitors"/>
    <s v="MON-6341"/>
    <n v="1378.8"/>
    <n v="1952.04"/>
    <n v="1952.04"/>
    <n v="0.159"/>
    <n v="19"/>
    <n v="31191.64716"/>
    <n v="26197.200000000001"/>
    <n v="4994.4471599999997"/>
    <n v="0.16012130216723058"/>
    <d v="2024-01-10T00:00:00"/>
    <s v="Q3-2024"/>
    <s v="Americas → Brazil → São Paulo"/>
    <s v="High"/>
    <d v="2024-09-01T00:00:00"/>
    <d v="2023-01-01T00:00:00"/>
    <n v="20"/>
    <n v="0"/>
    <n v="0"/>
  </r>
  <r>
    <s v="ORD-2024-588972"/>
    <d v="2024-11-02T00:00:00"/>
    <d v="2024-11-29T00:00:00"/>
    <n v="27"/>
    <x v="0"/>
    <s v="Brazil"/>
    <s v="Brasília"/>
    <s v="Small Business"/>
    <s v="Direct"/>
    <x v="14"/>
    <s v="Networking"/>
    <s v="NET-8561"/>
    <n v="1363.51"/>
    <n v="1433.9"/>
    <n v="1433.9"/>
    <n v="5.7000000000000002E-2"/>
    <n v="8"/>
    <n v="10817.3416"/>
    <n v="10908.08"/>
    <n v="-90.738400000000183"/>
    <n v="-8.3882346842037592E-3"/>
    <d v="2023-12-02T00:00:00"/>
    <s v="Q4-2024"/>
    <s v="Americas → Brazil → Brasília"/>
    <s v="Medium"/>
    <d v="2024-11-01T00:00:00"/>
    <d v="2023-01-01T00:00:00"/>
    <n v="22"/>
    <n v="0"/>
    <n v="0"/>
  </r>
  <r>
    <s v="ORD-2024-225829"/>
    <d v="2024-11-07T00:00:00"/>
    <d v="2024-11-26T00:00:00"/>
    <n v="19"/>
    <x v="0"/>
    <s v="Brazil"/>
    <s v="Rio de Janeiro"/>
    <s v="Non-Profit"/>
    <s v="Distributor"/>
    <x v="9"/>
    <s v="Printers"/>
    <s v="PRN-9960"/>
    <n v="55.35"/>
    <n v="128.68"/>
    <n v="128.68"/>
    <n v="0.128"/>
    <n v="10"/>
    <n v="1122.0896000000002"/>
    <n v="553.5"/>
    <n v="568.58960000000025"/>
    <n v="0.50672388372550647"/>
    <d v="2023-11-28T00:00:00"/>
    <s v="Q4-2024"/>
    <s v="Americas → Brazil → Rio de Janeiro"/>
    <s v="Low"/>
    <d v="2024-11-01T00:00:00"/>
    <d v="2023-01-01T00:00:00"/>
    <n v="22"/>
    <n v="0"/>
    <n v="0"/>
  </r>
  <r>
    <s v="ORD-2025-149156"/>
    <d v="2025-01-10T00:00:00"/>
    <d v="2025-02-06T00:00:00"/>
    <n v="27"/>
    <x v="0"/>
    <s v="Brazil"/>
    <s v="Brasília"/>
    <s v="Non-Profit"/>
    <s v="Retail"/>
    <x v="7"/>
    <s v="Laptops"/>
    <s v="LAP-7353"/>
    <n v="725.62"/>
    <n v="1559.19"/>
    <n v="1559.19"/>
    <n v="0.19"/>
    <n v="12"/>
    <n v="15155.326800000001"/>
    <n v="8707.44"/>
    <n v="6447.8868000000002"/>
    <n v="0.42545349797405885"/>
    <d v="2023-09-14T00:00:00"/>
    <s v="Q1-2025"/>
    <s v="Americas → Brazil → Brasília"/>
    <s v="Medium"/>
    <d v="2025-01-01T00:00:00"/>
    <d v="2023-01-01T00:00:00"/>
    <n v="24"/>
    <n v="0"/>
    <n v="0"/>
  </r>
  <r>
    <s v="ORD-2025-909340"/>
    <d v="2025-01-20T00:00:00"/>
    <d v="2025-02-03T00:00:00"/>
    <n v="14"/>
    <x v="0"/>
    <s v="Brazil"/>
    <s v="Brasília"/>
    <s v="Enterprise"/>
    <s v="Marketplace"/>
    <x v="8"/>
    <s v="Components"/>
    <s v="CMP-8658"/>
    <n v="974.11"/>
    <n v="880.99"/>
    <n v="880.99"/>
    <n v="0.111"/>
    <n v="10"/>
    <n v="7832.0010999999995"/>
    <n v="9741.1"/>
    <n v="-1909.0989000000009"/>
    <n v="-0.2437562093805121"/>
    <d v="2023-08-19T00:00:00"/>
    <s v="Q1-2025"/>
    <s v="Americas → Brazil → Brasília"/>
    <s v="Medium"/>
    <d v="2025-01-01T00:00:00"/>
    <d v="2023-01-01T00:00:00"/>
    <n v="24"/>
    <n v="0"/>
    <n v="0"/>
  </r>
  <r>
    <s v="ORD-2025-915869"/>
    <d v="2025-02-06T00:00:00"/>
    <d v="2025-02-15T00:00:00"/>
    <n v="9"/>
    <x v="0"/>
    <s v="Brazil"/>
    <s v="São Paulo"/>
    <s v="Non-Profit"/>
    <s v="Distributor"/>
    <x v="8"/>
    <s v="Networking"/>
    <s v="NET-5482"/>
    <n v="837.39"/>
    <n v="1905.42"/>
    <n v="1905.42"/>
    <n v="3.2000000000000001E-2"/>
    <n v="18"/>
    <n v="33200.038079999998"/>
    <n v="15073.02"/>
    <n v="18127.018079999998"/>
    <n v="0.54599389423350919"/>
    <d v="2023-08-15T00:00:00"/>
    <s v="Q1-2025"/>
    <s v="Americas → Brazil → São Paulo"/>
    <s v="High"/>
    <d v="2025-02-01T00:00:00"/>
    <d v="2023-01-01T00:00:00"/>
    <n v="25"/>
    <n v="0"/>
    <n v="0"/>
  </r>
  <r>
    <s v="ORD-2025-931538"/>
    <d v="2025-02-09T00:00:00"/>
    <d v="2025-03-01T00:00:00"/>
    <n v="20"/>
    <x v="0"/>
    <s v="Brazil"/>
    <s v="São Paulo"/>
    <s v="Corporate"/>
    <s v="Distributor"/>
    <x v="7"/>
    <s v="Laptops"/>
    <s v="LAP-6989"/>
    <n v="1154.6400000000001"/>
    <n v="2794.13"/>
    <n v="2794.13"/>
    <n v="3.5000000000000003E-2"/>
    <n v="11"/>
    <n v="29659.68995"/>
    <n v="12701.04"/>
    <n v="16958.649949999999"/>
    <n v="0.57177435025749479"/>
    <d v="2023-08-04T00:00:00"/>
    <s v="Q1-2025"/>
    <s v="Americas → Brazil → São Paulo"/>
    <s v="High"/>
    <d v="2025-02-01T00:00:00"/>
    <d v="2023-01-01T00:00:00"/>
    <n v="25"/>
    <n v="0"/>
    <n v="0"/>
  </r>
  <r>
    <s v="ORD-2025-650719"/>
    <d v="2025-02-12T00:00:00"/>
    <d v="2025-02-28T00:00:00"/>
    <n v="16"/>
    <x v="0"/>
    <s v="Brazil"/>
    <s v="São Paulo"/>
    <s v="Non-Profit"/>
    <s v="Direct"/>
    <x v="7"/>
    <s v="Monitors"/>
    <s v="MON-5179"/>
    <n v="414.95"/>
    <n v="1027.73"/>
    <n v="1027.73"/>
    <n v="6.3E-2"/>
    <n v="8"/>
    <n v="7703.8640800000003"/>
    <n v="3319.6"/>
    <n v="4384.2640800000008"/>
    <n v="0.56909935513815568"/>
    <d v="2023-08-19T00:00:00"/>
    <s v="Q1-2025"/>
    <s v="Americas → Brazil → São Paulo"/>
    <s v="Medium"/>
    <d v="2025-02-01T00:00:00"/>
    <d v="2023-01-01T00:00:00"/>
    <n v="25"/>
    <n v="0"/>
    <n v="0"/>
  </r>
  <r>
    <s v="ORD-2025-487261"/>
    <d v="2025-03-06T00:00:00"/>
    <d v="2025-03-31T00:00:00"/>
    <n v="25"/>
    <x v="0"/>
    <s v="Brazil"/>
    <s v="Brasília"/>
    <s v="Non-Profit"/>
    <s v="Online"/>
    <x v="9"/>
    <s v="Components"/>
    <s v="CMP-3693"/>
    <n v="331.57"/>
    <n v="548.4"/>
    <n v="548.4"/>
    <n v="9.4E-2"/>
    <n v="10"/>
    <n v="4968.5039999999999"/>
    <n v="3315.7"/>
    <n v="1652.8040000000001"/>
    <n v="0.33265626836568918"/>
    <d v="2023-07-30T00:00:00"/>
    <s v="Q1-2025"/>
    <s v="Americas → Brazil → Brasília"/>
    <s v="Low"/>
    <d v="2025-03-01T00:00:00"/>
    <d v="2023-01-01T00:00:00"/>
    <n v="26"/>
    <n v="0"/>
    <n v="0"/>
  </r>
  <r>
    <s v="ORD-2025-680118"/>
    <d v="2025-03-10T00:00:00"/>
    <d v="2025-03-27T00:00:00"/>
    <n v="17"/>
    <x v="0"/>
    <s v="Brazil"/>
    <s v="Rio de Janeiro"/>
    <s v="Enterprise"/>
    <s v="Direct"/>
    <x v="8"/>
    <s v="Networking"/>
    <s v="NET-6269"/>
    <n v="996.73"/>
    <n v="1217.43"/>
    <n v="1217.43"/>
    <n v="7.0000000000000007E-2"/>
    <n v="9"/>
    <n v="10189.8891"/>
    <n v="8970.57"/>
    <n v="1219.3191000000006"/>
    <n v="0.11965970267527255"/>
    <d v="2023-07-02T00:00:00"/>
    <s v="Q1-2025"/>
    <s v="Americas → Brazil → Rio de Janeiro"/>
    <s v="Medium"/>
    <d v="2025-03-01T00:00:00"/>
    <d v="2023-01-01T00:00:00"/>
    <n v="26"/>
    <n v="0"/>
    <n v="0"/>
  </r>
  <r>
    <s v="ORD-2025-752845"/>
    <d v="2025-03-30T00:00:00"/>
    <d v="2025-04-07T00:00:00"/>
    <n v="8"/>
    <x v="0"/>
    <s v="Brazil"/>
    <s v="São Paulo"/>
    <s v="Non-Profit"/>
    <s v="Direct"/>
    <x v="11"/>
    <s v="Printers"/>
    <s v="PRN-8763"/>
    <n v="71.62"/>
    <n v="118.37"/>
    <n v="118.37"/>
    <n v="0.156"/>
    <n v="11"/>
    <n v="1098.9470800000001"/>
    <n v="787.82"/>
    <n v="311.12708000000009"/>
    <n v="0.28311379652603474"/>
    <d v="2023-07-01T00:00:00"/>
    <s v="Q1-2025"/>
    <s v="Americas → Brazil → São Paulo"/>
    <s v="Low"/>
    <d v="2025-03-01T00:00:00"/>
    <d v="2023-01-01T00:00:00"/>
    <n v="26"/>
    <n v="0"/>
    <n v="0"/>
  </r>
  <r>
    <s v="ORD-2025-765220"/>
    <d v="2025-04-06T00:00:00"/>
    <d v="2025-04-30T00:00:00"/>
    <n v="24"/>
    <x v="0"/>
    <s v="Brazil"/>
    <s v="Brasília"/>
    <s v="Education"/>
    <s v="Online"/>
    <x v="12"/>
    <s v="Monitors"/>
    <s v="MON-4925"/>
    <n v="855.78"/>
    <n v="977.38"/>
    <n v="977.38"/>
    <n v="0.14699999999999999"/>
    <n v="38"/>
    <n v="31680.795320000001"/>
    <n v="32519.64"/>
    <n v="-838.84467999999833"/>
    <n v="-2.6478018355506307E-2"/>
    <d v="2023-06-20T00:00:00"/>
    <s v="Q2-2025"/>
    <s v="Americas → Brazil → Brasília"/>
    <s v="Medium"/>
    <d v="2025-04-01T00:00:00"/>
    <d v="2023-01-01T00:00:00"/>
    <n v="27"/>
    <n v="0"/>
    <n v="0"/>
  </r>
  <r>
    <s v="ORD-2025-640677"/>
    <d v="2025-04-09T00:00:00"/>
    <d v="2025-05-06T00:00:00"/>
    <n v="27"/>
    <x v="0"/>
    <s v="Brazil"/>
    <s v="Brasília"/>
    <s v="Enterprise"/>
    <s v="Marketplace"/>
    <x v="8"/>
    <s v="Laptops"/>
    <s v="LAP-4517"/>
    <n v="264.19"/>
    <n v="620.92999999999995"/>
    <n v="620.92999999999995"/>
    <n v="0.14199999999999999"/>
    <n v="12"/>
    <n v="6393.0952799999995"/>
    <n v="3170.2799999999997"/>
    <n v="3222.8152799999998"/>
    <n v="0.50410875152794532"/>
    <d v="2023-06-29T00:00:00"/>
    <s v="Q2-2025"/>
    <s v="Americas → Brazil → Brasília"/>
    <s v="Low"/>
    <d v="2025-04-01T00:00:00"/>
    <d v="2023-01-01T00:00:00"/>
    <n v="27"/>
    <n v="0"/>
    <n v="0"/>
  </r>
  <r>
    <s v="ORD-2025-907040"/>
    <d v="2025-04-17T00:00:00"/>
    <d v="2025-05-03T00:00:00"/>
    <n v="16"/>
    <x v="0"/>
    <s v="Brazil"/>
    <s v="Rio de Janeiro"/>
    <s v="Consumer"/>
    <s v="Marketplace"/>
    <x v="9"/>
    <s v="Networking"/>
    <s v="NET-8610"/>
    <n v="168.68"/>
    <n v="413.34"/>
    <n v="413.34"/>
    <n v="0.186"/>
    <n v="7"/>
    <n v="2355.2113199999999"/>
    <n v="1180.76"/>
    <n v="1174.4513199999999"/>
    <n v="0.49866069767361682"/>
    <d v="2023-05-24T00:00:00"/>
    <s v="Q2-2025"/>
    <s v="Americas → Brazil → Rio de Janeiro"/>
    <s v="Low"/>
    <d v="2025-04-01T00:00:00"/>
    <d v="2023-01-01T00:00:00"/>
    <n v="27"/>
    <n v="0"/>
    <n v="0"/>
  </r>
  <r>
    <s v="ORD-2025-246692"/>
    <d v="2025-04-17T00:00:00"/>
    <d v="2025-04-17T00:00:00"/>
    <n v="0"/>
    <x v="0"/>
    <s v="Brazil"/>
    <s v="São Paulo"/>
    <s v="Corporate"/>
    <s v="Distributor"/>
    <x v="11"/>
    <s v="Phones"/>
    <s v="PHN-4566"/>
    <n v="719.41"/>
    <n v="1125.99"/>
    <n v="1125.99"/>
    <n v="4.1000000000000002E-2"/>
    <n v="21"/>
    <n v="22676.312610000001"/>
    <n v="15107.609999999999"/>
    <n v="7568.7026100000021"/>
    <n v="0.33377131194876403"/>
    <d v="2023-05-29T00:00:00"/>
    <s v="Q2-2025"/>
    <s v="Americas → Brazil → São Paulo"/>
    <s v="Medium"/>
    <d v="2025-04-01T00:00:00"/>
    <d v="2023-01-01T00:00:00"/>
    <n v="27"/>
    <n v="1"/>
    <n v="0"/>
  </r>
  <r>
    <s v="ORD-2025-757957"/>
    <d v="2025-04-24T00:00:00"/>
    <d v="2025-05-06T00:00:00"/>
    <n v="12"/>
    <x v="0"/>
    <s v="Brazil"/>
    <s v="Brasília"/>
    <s v="Consumer"/>
    <s v="Online"/>
    <x v="5"/>
    <s v="Phones"/>
    <s v="PHN-2787"/>
    <n v="394.13"/>
    <n v="932.29"/>
    <n v="932.29"/>
    <n v="0.109"/>
    <n v="7"/>
    <n v="5814.6927299999998"/>
    <n v="2758.91"/>
    <n v="3055.7827299999999"/>
    <n v="0.5255278089303268"/>
    <d v="2023-06-10T00:00:00"/>
    <s v="Q2-2025"/>
    <s v="Americas → Brazil → Brasília"/>
    <s v="Medium"/>
    <d v="2025-04-01T00:00:00"/>
    <d v="2023-01-01T00:00:00"/>
    <n v="27"/>
    <n v="0"/>
    <n v="0"/>
  </r>
  <r>
    <s v="ORD-2025-779530"/>
    <d v="2025-05-17T00:00:00"/>
    <d v="2025-05-19T00:00:00"/>
    <n v="2"/>
    <x v="0"/>
    <s v="Brazil"/>
    <s v="São Paulo"/>
    <s v="Small Business"/>
    <s v="Distributor"/>
    <x v="11"/>
    <s v="Monitors"/>
    <s v="MON-2993"/>
    <n v="383.77"/>
    <n v="952.56"/>
    <n v="952.56"/>
    <n v="0.34599999999999997"/>
    <n v="10"/>
    <n v="6229.7423999999992"/>
    <n v="3837.7"/>
    <n v="2392.0423999999994"/>
    <n v="0.38397131797937578"/>
    <d v="2023-05-18T00:00:00"/>
    <s v="Q2-2025"/>
    <s v="Americas → Brazil → São Paulo"/>
    <s v="Medium"/>
    <d v="2025-05-01T00:00:00"/>
    <d v="2023-01-01T00:00:00"/>
    <n v="28"/>
    <n v="1"/>
    <n v="1"/>
  </r>
  <r>
    <s v="ORD-2025-997421"/>
    <d v="2025-05-21T00:00:00"/>
    <d v="2025-06-09T00:00:00"/>
    <n v="19"/>
    <x v="0"/>
    <s v="Brazil"/>
    <s v="São Paulo"/>
    <s v="Non-Profit"/>
    <s v="Online"/>
    <x v="4"/>
    <s v="Components"/>
    <s v="CMP-3731"/>
    <n v="1331.38"/>
    <n v="2309.56"/>
    <n v="2309.56"/>
    <n v="0.14899999999999999"/>
    <n v="31"/>
    <n v="60928.502359999999"/>
    <n v="41272.780000000006"/>
    <n v="19655.722359999992"/>
    <n v="0.32260307735553528"/>
    <d v="2023-05-04T00:00:00"/>
    <s v="Q2-2025"/>
    <s v="Americas → Brazil → São Paulo"/>
    <s v="High"/>
    <d v="2025-05-01T00:00:00"/>
    <d v="2023-01-01T00:00:00"/>
    <n v="28"/>
    <n v="0"/>
    <n v="0"/>
  </r>
  <r>
    <s v="ORD-2025-843974"/>
    <d v="2025-07-20T00:00:00"/>
    <d v="2025-08-05T00:00:00"/>
    <n v="16"/>
    <x v="0"/>
    <s v="Brazil"/>
    <s v="Brasília"/>
    <s v="Enterprise"/>
    <s v="Marketplace"/>
    <x v="2"/>
    <s v="Accessories"/>
    <s v="ACC-8098"/>
    <n v="1068.17"/>
    <n v="2375.37"/>
    <n v="2375.37"/>
    <n v="0.109"/>
    <n v="18"/>
    <n v="38096.18406"/>
    <n v="19227.060000000001"/>
    <n v="18869.124059999998"/>
    <n v="0.49530220744108822"/>
    <d v="2023-03-06T00:00:00"/>
    <s v="Q3-2025"/>
    <s v="Americas → Brazil → Brasília"/>
    <s v="High"/>
    <d v="2025-07-01T00:00:00"/>
    <d v="2023-01-01T00:00:00"/>
    <n v="30"/>
    <n v="0"/>
    <n v="0"/>
  </r>
  <r>
    <s v="ORD-2025-419532"/>
    <d v="2025-08-06T00:00:00"/>
    <d v="2025-08-23T00:00:00"/>
    <n v="17"/>
    <x v="0"/>
    <s v="Brazil"/>
    <s v="Brasília"/>
    <s v="Consumer"/>
    <s v="Distributor"/>
    <x v="4"/>
    <s v="Monitors"/>
    <s v="MON-4317"/>
    <n v="86.64"/>
    <n v="213.06"/>
    <n v="213.06"/>
    <n v="0.21199999999999999"/>
    <n v="11"/>
    <n v="1846.8040799999999"/>
    <n v="953.04"/>
    <n v="893.76407999999992"/>
    <n v="0.48395175735154322"/>
    <d v="2023-02-24T00:00:00"/>
    <s v="Q3-2025"/>
    <s v="Americas → Brazil → Brasília"/>
    <s v="Low"/>
    <d v="2025-08-01T00:00:00"/>
    <d v="2023-01-01T00:00:00"/>
    <n v="31"/>
    <n v="0"/>
    <n v="1"/>
  </r>
  <r>
    <s v="ORD-2025-949776"/>
    <d v="2025-08-14T00:00:00"/>
    <d v="2025-09-11T00:00:00"/>
    <n v="28"/>
    <x v="0"/>
    <s v="Brazil"/>
    <s v="São Paulo"/>
    <s v="Non-Profit"/>
    <s v="Direct"/>
    <x v="8"/>
    <s v="Printers"/>
    <s v="PRN-9490"/>
    <n v="1203.02"/>
    <n v="2439.33"/>
    <n v="2439.33"/>
    <n v="0"/>
    <n v="18"/>
    <n v="43907.94"/>
    <n v="21654.36"/>
    <n v="22253.58"/>
    <n v="0.50682359500354612"/>
    <d v="2023-01-29T00:00:00"/>
    <s v="Q3-2025"/>
    <s v="Americas → Brazil → São Paulo"/>
    <s v="High"/>
    <d v="2025-08-01T00:00:00"/>
    <d v="2023-01-01T00:00:00"/>
    <n v="31"/>
    <n v="0"/>
    <n v="0"/>
  </r>
  <r>
    <s v="ORD-2025-840976"/>
    <d v="2025-09-01T00:00:00"/>
    <d v="2025-09-30T00:00:00"/>
    <n v="29"/>
    <x v="0"/>
    <s v="Brazil"/>
    <s v="Brasília"/>
    <s v="Education"/>
    <s v="Retail"/>
    <x v="12"/>
    <s v="Accessories"/>
    <s v="ACC-1663"/>
    <n v="780.59"/>
    <n v="631.57000000000005"/>
    <n v="631.57000000000005"/>
    <n v="0"/>
    <n v="12"/>
    <n v="7578.84"/>
    <n v="9367.08"/>
    <n v="-1788.2399999999998"/>
    <n v="-0.23595167598207639"/>
    <d v="2023-01-29T00:00:00"/>
    <s v="Q3-2025"/>
    <s v="Americas → Brazil → Brasília"/>
    <s v="Low"/>
    <d v="2025-09-01T00:00:00"/>
    <d v="2023-01-01T00:00:00"/>
    <n v="32"/>
    <n v="0"/>
    <n v="0"/>
  </r>
  <r>
    <s v="ORD-2025-823055"/>
    <d v="2025-09-08T00:00:00"/>
    <d v="2025-10-05T00:00:00"/>
    <n v="27"/>
    <x v="0"/>
    <s v="Brazil"/>
    <s v="Rio de Janeiro"/>
    <s v="Education"/>
    <s v="Online"/>
    <x v="5"/>
    <s v="Monitors"/>
    <s v="MON-9274"/>
    <n v="660.78"/>
    <n v="1630.39"/>
    <n v="1630.39"/>
    <n v="0.218"/>
    <n v="13"/>
    <n v="16574.544740000001"/>
    <n v="8590.14"/>
    <n v="7984.4047400000018"/>
    <n v="0.48172694123724097"/>
    <d v="2023-01-27T00:00:00"/>
    <s v="Q3-2025"/>
    <s v="Americas → Brazil → Rio de Janeiro"/>
    <s v="Medium"/>
    <d v="2025-09-01T00:00:00"/>
    <d v="2023-01-01T00:00:00"/>
    <n v="32"/>
    <n v="0"/>
    <n v="1"/>
  </r>
  <r>
    <s v="ORD-2025-667201"/>
    <d v="2025-09-15T00:00:00"/>
    <d v="2025-09-18T00:00:00"/>
    <n v="3"/>
    <x v="0"/>
    <s v="Brazil"/>
    <s v="Rio de Janeiro"/>
    <s v="Non-Profit"/>
    <s v="Direct"/>
    <x v="11"/>
    <s v="Accessories"/>
    <s v="ACC-6777"/>
    <n v="5.5"/>
    <n v="5.92"/>
    <n v="5.92"/>
    <n v="0.21199999999999999"/>
    <n v="4"/>
    <n v="18.659839999999999"/>
    <n v="22"/>
    <n v="-3.3401600000000009"/>
    <n v="-0.17900260666758133"/>
    <d v="2023-01-02T00:00:00"/>
    <s v="Q3-2025"/>
    <s v="Americas → Brazil → Rio de Janeiro"/>
    <s v="Low"/>
    <d v="2025-09-01T00:00:00"/>
    <d v="2023-01-01T00:00:00"/>
    <n v="32"/>
    <n v="1"/>
    <n v="1"/>
  </r>
  <r>
    <s v="ORD-2023-723587"/>
    <d v="2023-01-02T00:00:00"/>
    <d v="2023-01-05T00:00:00"/>
    <n v="3"/>
    <x v="0"/>
    <s v="Canada"/>
    <s v="Toronto"/>
    <s v="Corporate"/>
    <s v="Distributor"/>
    <x v="7"/>
    <s v="Laptops"/>
    <s v="LAP-8555"/>
    <n v="315.87"/>
    <n v="591.67999999999995"/>
    <n v="591.67999999999995"/>
    <n v="0"/>
    <n v="7"/>
    <n v="4141.7599999999993"/>
    <n v="2211.09"/>
    <n v="1930.6699999999992"/>
    <n v="0.46614724175229844"/>
    <d v="2025-09-08T00:00:00"/>
    <s v="Q1-2023"/>
    <s v="Americas → Canada → Toronto"/>
    <s v="Low"/>
    <d v="2023-01-01T00:00:00"/>
    <d v="2023-01-01T00:00:00"/>
    <n v="0"/>
    <n v="1"/>
    <n v="0"/>
  </r>
  <r>
    <s v="ORD-2023-562894"/>
    <d v="2023-02-23T00:00:00"/>
    <d v="2023-03-25T00:00:00"/>
    <n v="30"/>
    <x v="0"/>
    <s v="Canada"/>
    <s v="Montreal"/>
    <s v="Enterprise"/>
    <s v="Online"/>
    <x v="0"/>
    <s v="Phones"/>
    <s v="PHN-4854"/>
    <n v="1242.6600000000001"/>
    <n v="1794.07"/>
    <n v="1794.07"/>
    <n v="8.8999999999999996E-2"/>
    <n v="16"/>
    <n v="26150.364320000001"/>
    <n v="19882.560000000001"/>
    <n v="6267.8043199999993"/>
    <n v="0.23968325042440553"/>
    <d v="2025-08-05T00:00:00"/>
    <s v="Q1-2023"/>
    <s v="Americas → Canada → Montreal"/>
    <s v="High"/>
    <d v="2023-02-01T00:00:00"/>
    <d v="2023-01-01T00:00:00"/>
    <n v="1"/>
    <n v="0"/>
    <n v="0"/>
  </r>
  <r>
    <s v="ORD-2023-276806"/>
    <d v="2023-03-04T00:00:00"/>
    <d v="2023-03-24T00:00:00"/>
    <n v="20"/>
    <x v="0"/>
    <s v="Canada"/>
    <s v="Montreal"/>
    <s v="Consumer"/>
    <s v="Distributor"/>
    <x v="14"/>
    <s v="Laptops"/>
    <s v="LAP-6160"/>
    <n v="481.71"/>
    <n v="912.45"/>
    <n v="912.45"/>
    <n v="0.20300000000000001"/>
    <n v="24"/>
    <n v="17453.3436"/>
    <n v="11561.039999999999"/>
    <n v="5892.3036000000011"/>
    <n v="0.33760313983619739"/>
    <d v="2025-07-27T00:00:00"/>
    <s v="Q1-2023"/>
    <s v="Americas → Canada → Montreal"/>
    <s v="Medium"/>
    <d v="2023-03-01T00:00:00"/>
    <d v="2023-01-01T00:00:00"/>
    <n v="2"/>
    <n v="0"/>
    <n v="1"/>
  </r>
  <r>
    <s v="ORD-2023-987700"/>
    <d v="2023-04-05T00:00:00"/>
    <d v="2023-04-16T00:00:00"/>
    <n v="11"/>
    <x v="0"/>
    <s v="Canada"/>
    <s v="Vancouver"/>
    <s v="Non-Profit"/>
    <s v="Online"/>
    <x v="13"/>
    <s v="Monitors"/>
    <s v="MON-5259"/>
    <n v="213.1"/>
    <n v="501.31"/>
    <n v="501.31"/>
    <n v="5.6000000000000001E-2"/>
    <n v="15"/>
    <n v="7098.5495999999994"/>
    <n v="3196.5"/>
    <n v="3902.0495999999994"/>
    <n v="0.54969674368409005"/>
    <d v="2025-07-11T00:00:00"/>
    <s v="Q2-2023"/>
    <s v="Americas → Canada → Vancouver"/>
    <s v="Low"/>
    <d v="2023-04-01T00:00:00"/>
    <d v="2023-01-01T00:00:00"/>
    <n v="3"/>
    <n v="0"/>
    <n v="0"/>
  </r>
  <r>
    <s v="ORD-2023-356427"/>
    <d v="2023-04-13T00:00:00"/>
    <d v="2023-05-02T00:00:00"/>
    <n v="19"/>
    <x v="0"/>
    <s v="Canada"/>
    <s v="Montreal"/>
    <s v="Consumer"/>
    <s v="Distributor"/>
    <x v="6"/>
    <s v="Monitors"/>
    <s v="MON-6053"/>
    <n v="671.05"/>
    <n v="1645.48"/>
    <n v="1645.48"/>
    <n v="0.13700000000000001"/>
    <n v="6"/>
    <n v="8520.2954399999999"/>
    <n v="4026.2999999999997"/>
    <n v="4493.9954400000006"/>
    <n v="0.52744596377517172"/>
    <d v="2025-06-26T00:00:00"/>
    <s v="Q2-2023"/>
    <s v="Americas → Canada → Montreal"/>
    <s v="High"/>
    <d v="2023-04-01T00:00:00"/>
    <d v="2023-01-01T00:00:00"/>
    <n v="3"/>
    <n v="0"/>
    <n v="0"/>
  </r>
  <r>
    <s v="ORD-2023-769774"/>
    <d v="2023-06-13T00:00:00"/>
    <d v="2023-06-24T00:00:00"/>
    <n v="11"/>
    <x v="0"/>
    <s v="Canada"/>
    <s v="Toronto"/>
    <s v="Corporate"/>
    <s v="Online"/>
    <x v="5"/>
    <s v="Printers"/>
    <s v="PRN-8008"/>
    <n v="247.07"/>
    <n v="495.19"/>
    <n v="495.19"/>
    <n v="2.8000000000000001E-2"/>
    <n v="4"/>
    <n v="1925.29872"/>
    <n v="988.28"/>
    <n v="937.01872000000003"/>
    <n v="0.48668744764968214"/>
    <d v="2025-04-22T00:00:00"/>
    <s v="Q2-2023"/>
    <s v="Americas → Canada → Toronto"/>
    <s v="Low"/>
    <d v="2023-06-01T00:00:00"/>
    <d v="2023-01-01T00:00:00"/>
    <n v="5"/>
    <n v="0"/>
    <n v="0"/>
  </r>
  <r>
    <s v="ORD-2023-890605"/>
    <d v="2023-06-22T00:00:00"/>
    <d v="2023-06-24T00:00:00"/>
    <n v="2"/>
    <x v="0"/>
    <s v="Canada"/>
    <s v="Toronto"/>
    <s v="Non-Profit"/>
    <s v="Retail"/>
    <x v="3"/>
    <s v="Accessories"/>
    <s v="ACC-2903"/>
    <n v="471.42"/>
    <n v="824.81"/>
    <n v="824.81"/>
    <n v="8.7999999999999995E-2"/>
    <n v="15"/>
    <n v="11283.400799999999"/>
    <n v="7071.3"/>
    <n v="4212.1007999999993"/>
    <n v="0.37330064531608231"/>
    <d v="2025-03-25T00:00:00"/>
    <s v="Q2-2023"/>
    <s v="Americas → Canada → Toronto"/>
    <s v="Medium"/>
    <d v="2023-06-01T00:00:00"/>
    <d v="2023-01-01T00:00:00"/>
    <n v="5"/>
    <n v="1"/>
    <n v="0"/>
  </r>
  <r>
    <s v="ORD-2023-921939"/>
    <d v="2023-06-23T00:00:00"/>
    <d v="2023-07-18T00:00:00"/>
    <n v="25"/>
    <x v="0"/>
    <s v="Canada"/>
    <s v="Vancouver"/>
    <s v="Enterprise"/>
    <s v="Online"/>
    <x v="1"/>
    <s v="Phones"/>
    <s v="PHN-4677"/>
    <n v="807.02"/>
    <n v="1435.54"/>
    <n v="1435.54"/>
    <n v="0"/>
    <n v="23"/>
    <n v="33017.42"/>
    <n v="18561.46"/>
    <n v="14455.96"/>
    <n v="0.43782827368098415"/>
    <d v="2025-04-04T00:00:00"/>
    <s v="Q2-2023"/>
    <s v="Americas → Canada → Vancouver"/>
    <s v="Medium"/>
    <d v="2023-06-01T00:00:00"/>
    <d v="2023-01-01T00:00:00"/>
    <n v="5"/>
    <n v="0"/>
    <n v="0"/>
  </r>
  <r>
    <s v="ORD-2023-369160"/>
    <d v="2023-07-24T00:00:00"/>
    <d v="2023-08-13T00:00:00"/>
    <n v="20"/>
    <x v="0"/>
    <s v="Canada"/>
    <s v="Montreal"/>
    <s v="Education"/>
    <s v="Direct"/>
    <x v="5"/>
    <s v="Monitors"/>
    <s v="MON-3307"/>
    <n v="1082.3800000000001"/>
    <n v="1766.55"/>
    <n v="1766.55"/>
    <n v="0.16400000000000001"/>
    <n v="20"/>
    <n v="29536.716"/>
    <n v="21647.600000000002"/>
    <n v="7889.1159999999982"/>
    <n v="0.26709523157550752"/>
    <d v="2025-02-25T00:00:00"/>
    <s v="Q3-2023"/>
    <s v="Americas → Canada → Montreal"/>
    <s v="High"/>
    <d v="2023-07-01T00:00:00"/>
    <d v="2023-01-01T00:00:00"/>
    <n v="6"/>
    <n v="0"/>
    <n v="0"/>
  </r>
  <r>
    <s v="ORD-2023-713614"/>
    <d v="2023-08-02T00:00:00"/>
    <d v="2023-08-19T00:00:00"/>
    <n v="17"/>
    <x v="0"/>
    <s v="Canada"/>
    <s v="Vancouver"/>
    <s v="Corporate"/>
    <s v="Online"/>
    <x v="8"/>
    <s v="Networking"/>
    <s v="NET-3689"/>
    <n v="175.38"/>
    <n v="347.9"/>
    <n v="347.9"/>
    <n v="7.1999999999999995E-2"/>
    <n v="43"/>
    <n v="13882.6016"/>
    <n v="7541.34"/>
    <n v="6341.2615999999998"/>
    <n v="0.45677761148169804"/>
    <d v="2025-02-02T00:00:00"/>
    <s v="Q3-2023"/>
    <s v="Americas → Canada → Vancouver"/>
    <s v="Low"/>
    <d v="2023-08-01T00:00:00"/>
    <d v="2023-01-01T00:00:00"/>
    <n v="7"/>
    <n v="0"/>
    <n v="0"/>
  </r>
  <r>
    <s v="ORD-2023-343322"/>
    <d v="2023-08-19T00:00:00"/>
    <d v="2023-09-12T00:00:00"/>
    <n v="24"/>
    <x v="0"/>
    <s v="Canada"/>
    <s v="Vancouver"/>
    <s v="Enterprise"/>
    <s v="Retail"/>
    <x v="14"/>
    <s v="Printers"/>
    <s v="PRN-9669"/>
    <n v="1183.95"/>
    <n v="1503.53"/>
    <n v="1503.53"/>
    <n v="0.24099999999999999"/>
    <n v="16"/>
    <n v="18258.868320000001"/>
    <n v="18943.2"/>
    <n v="-684.33167999999932"/>
    <n v="-3.7479413729623705E-2"/>
    <d v="2025-02-06T00:00:00"/>
    <s v="Q3-2023"/>
    <s v="Americas → Canada → Vancouver"/>
    <s v="Medium"/>
    <d v="2023-08-01T00:00:00"/>
    <d v="2023-01-01T00:00:00"/>
    <n v="7"/>
    <n v="0"/>
    <n v="1"/>
  </r>
  <r>
    <s v="ORD-2023-603238"/>
    <d v="2023-08-21T00:00:00"/>
    <d v="2023-09-04T00:00:00"/>
    <n v="14"/>
    <x v="0"/>
    <s v="Canada"/>
    <s v="Montreal"/>
    <s v="Education"/>
    <s v="Distributor"/>
    <x v="8"/>
    <s v="Components"/>
    <s v="CMP-2136"/>
    <n v="178.19"/>
    <n v="284.43"/>
    <n v="284.43"/>
    <n v="8.8999999999999996E-2"/>
    <n v="8"/>
    <n v="2072.9258400000003"/>
    <n v="1425.52"/>
    <n v="647.40584000000035"/>
    <n v="0.31231500302972742"/>
    <d v="2025-02-04T00:00:00"/>
    <s v="Q3-2023"/>
    <s v="Americas → Canada → Montreal"/>
    <s v="Low"/>
    <d v="2023-08-01T00:00:00"/>
    <d v="2023-01-01T00:00:00"/>
    <n v="7"/>
    <n v="0"/>
    <n v="0"/>
  </r>
  <r>
    <s v="ORD-2023-987081"/>
    <d v="2023-08-29T00:00:00"/>
    <d v="2023-09-13T00:00:00"/>
    <n v="15"/>
    <x v="0"/>
    <s v="Canada"/>
    <s v="Vancouver"/>
    <s v="Small Business"/>
    <s v="Marketplace"/>
    <x v="13"/>
    <s v="Printers"/>
    <s v="PRN-9975"/>
    <n v="1287.6400000000001"/>
    <n v="2717.15"/>
    <n v="2717.15"/>
    <n v="3.2000000000000001E-2"/>
    <n v="7"/>
    <n v="18411.4084"/>
    <n v="9013.4800000000014"/>
    <n v="9397.9283999999989"/>
    <n v="0.51044049405802105"/>
    <d v="2025-01-11T00:00:00"/>
    <s v="Q3-2023"/>
    <s v="Americas → Canada → Vancouver"/>
    <s v="High"/>
    <d v="2023-08-01T00:00:00"/>
    <d v="2023-01-01T00:00:00"/>
    <n v="7"/>
    <n v="0"/>
    <n v="0"/>
  </r>
  <r>
    <s v="ORD-2023-488227"/>
    <d v="2023-09-08T00:00:00"/>
    <d v="2023-10-02T00:00:00"/>
    <n v="24"/>
    <x v="0"/>
    <s v="Canada"/>
    <s v="Toronto"/>
    <s v="Education"/>
    <s v="Direct"/>
    <x v="4"/>
    <s v="Accessories"/>
    <s v="ACC-3415"/>
    <n v="1299.03"/>
    <n v="2451.2199999999998"/>
    <n v="2451.2199999999998"/>
    <n v="0.20799999999999999"/>
    <n v="8"/>
    <n v="15530.929919999999"/>
    <n v="10392.24"/>
    <n v="5138.6899199999989"/>
    <n v="0.3308681416032041"/>
    <d v="2025-01-07T00:00:00"/>
    <s v="Q3-2023"/>
    <s v="Americas → Canada → Toronto"/>
    <s v="High"/>
    <d v="2023-09-01T00:00:00"/>
    <d v="2023-01-01T00:00:00"/>
    <n v="8"/>
    <n v="0"/>
    <n v="1"/>
  </r>
  <r>
    <s v="ORD-2023-163610"/>
    <d v="2023-10-22T00:00:00"/>
    <d v="2023-11-16T00:00:00"/>
    <n v="25"/>
    <x v="0"/>
    <s v="Canada"/>
    <s v="Toronto"/>
    <s v="Small Business"/>
    <s v="Marketplace"/>
    <x v="14"/>
    <s v="Laptops"/>
    <s v="LAP-9024"/>
    <n v="1373.31"/>
    <n v="3154.14"/>
    <n v="3154.14"/>
    <n v="0.2"/>
    <n v="11"/>
    <n v="27756.432000000001"/>
    <n v="15106.41"/>
    <n v="12650.022000000001"/>
    <n v="0.45575101295440279"/>
    <d v="2024-11-30T00:00:00"/>
    <s v="Q4-2023"/>
    <s v="Americas → Canada → Toronto"/>
    <s v="High"/>
    <d v="2023-10-01T00:00:00"/>
    <d v="2023-01-01T00:00:00"/>
    <n v="9"/>
    <n v="0"/>
    <n v="0"/>
  </r>
  <r>
    <s v="ORD-2023-126505"/>
    <d v="2023-12-19T00:00:00"/>
    <d v="2024-01-01T00:00:00"/>
    <n v="13"/>
    <x v="0"/>
    <s v="Canada"/>
    <s v="Toronto"/>
    <s v="Enterprise"/>
    <s v="Retail"/>
    <x v="12"/>
    <s v="Monitors"/>
    <s v="MON-6065"/>
    <n v="856.1"/>
    <n v="901.48"/>
    <n v="901.48"/>
    <n v="5.6000000000000001E-2"/>
    <n v="17"/>
    <n v="14466.95104"/>
    <n v="14553.7"/>
    <n v="-86.748960000000807"/>
    <n v="-5.9963540182134192E-3"/>
    <d v="2024-11-04T00:00:00"/>
    <s v="Q4-2023"/>
    <s v="Americas → Canada → Toronto"/>
    <s v="Medium"/>
    <d v="2023-12-01T00:00:00"/>
    <d v="2023-01-01T00:00:00"/>
    <n v="11"/>
    <n v="0"/>
    <n v="0"/>
  </r>
  <r>
    <s v="ORD-2024-355095"/>
    <d v="2024-01-02T00:00:00"/>
    <d v="2024-01-02T00:00:00"/>
    <n v="0"/>
    <x v="0"/>
    <s v="Canada"/>
    <s v="Vancouver"/>
    <s v="Education"/>
    <s v="Direct"/>
    <x v="4"/>
    <s v="Laptops"/>
    <s v="LAP-3581"/>
    <n v="444.41"/>
    <n v="754.24"/>
    <n v="754.24"/>
    <n v="0.20699999999999999"/>
    <n v="32"/>
    <n v="19139.594240000002"/>
    <n v="14221.12"/>
    <n v="4918.4742400000014"/>
    <n v="0.25697902360546598"/>
    <d v="2024-10-10T00:00:00"/>
    <s v="Q1-2024"/>
    <s v="Americas → Canada → Vancouver"/>
    <s v="Low"/>
    <d v="2024-01-01T00:00:00"/>
    <d v="2023-01-01T00:00:00"/>
    <n v="12"/>
    <n v="1"/>
    <n v="1"/>
  </r>
  <r>
    <s v="ORD-2024-544865"/>
    <d v="2024-02-16T00:00:00"/>
    <d v="2024-03-04T00:00:00"/>
    <n v="17"/>
    <x v="0"/>
    <s v="Canada"/>
    <s v="Montreal"/>
    <s v="Non-Profit"/>
    <s v="Retail"/>
    <x v="0"/>
    <s v="Laptops"/>
    <s v="LAP-2774"/>
    <n v="1350.98"/>
    <n v="2210.4"/>
    <n v="2210.4"/>
    <n v="0.26300000000000001"/>
    <n v="6"/>
    <n v="9774.3888000000006"/>
    <n v="8105.88"/>
    <n v="1668.5088000000005"/>
    <n v="0.17070211080615091"/>
    <d v="2024-08-14T00:00:00"/>
    <s v="Q1-2024"/>
    <s v="Americas → Canada → Montreal"/>
    <s v="High"/>
    <d v="2024-02-01T00:00:00"/>
    <d v="2023-01-01T00:00:00"/>
    <n v="13"/>
    <n v="0"/>
    <n v="1"/>
  </r>
  <r>
    <s v="ORD-2024-792137"/>
    <d v="2024-03-02T00:00:00"/>
    <d v="2024-03-16T00:00:00"/>
    <n v="14"/>
    <x v="0"/>
    <s v="Canada"/>
    <s v="Vancouver"/>
    <s v="Non-Profit"/>
    <s v="Direct"/>
    <x v="13"/>
    <s v="Printers"/>
    <s v="PRN-7976"/>
    <n v="248.24"/>
    <n v="464.05"/>
    <n v="464.05"/>
    <n v="0.16900000000000001"/>
    <n v="11"/>
    <n v="4241.88105"/>
    <n v="2730.6400000000003"/>
    <n v="1511.2410499999996"/>
    <n v="0.3562667203975462"/>
    <d v="2024-08-03T00:00:00"/>
    <s v="Q1-2024"/>
    <s v="Americas → Canada → Vancouver"/>
    <s v="Low"/>
    <d v="2024-03-01T00:00:00"/>
    <d v="2023-01-01T00:00:00"/>
    <n v="14"/>
    <n v="0"/>
    <n v="0"/>
  </r>
  <r>
    <s v="ORD-2024-220234"/>
    <d v="2024-03-15T00:00:00"/>
    <d v="2024-04-09T00:00:00"/>
    <n v="25"/>
    <x v="0"/>
    <s v="Canada"/>
    <s v="Vancouver"/>
    <s v="Consumer"/>
    <s v="Online"/>
    <x v="8"/>
    <s v="Monitors"/>
    <s v="MON-4361"/>
    <n v="648.64"/>
    <n v="815.19"/>
    <n v="815.19"/>
    <n v="0.22500000000000001"/>
    <n v="28"/>
    <n v="17689.623"/>
    <n v="18161.919999999998"/>
    <n v="-472.29699999999866"/>
    <n v="-2.6699099240272032E-2"/>
    <d v="2024-06-30T00:00:00"/>
    <s v="Q1-2024"/>
    <s v="Americas → Canada → Vancouver"/>
    <s v="Low"/>
    <d v="2024-03-01T00:00:00"/>
    <d v="2023-01-01T00:00:00"/>
    <n v="14"/>
    <n v="0"/>
    <n v="1"/>
  </r>
  <r>
    <s v="ORD-2024-389336"/>
    <d v="2024-05-20T00:00:00"/>
    <d v="2024-06-02T00:00:00"/>
    <n v="13"/>
    <x v="0"/>
    <s v="Canada"/>
    <s v="Vancouver"/>
    <s v="Enterprise"/>
    <s v="Marketplace"/>
    <x v="12"/>
    <s v="Components"/>
    <s v="CMP-5946"/>
    <n v="675.43"/>
    <n v="996.36"/>
    <n v="996.36"/>
    <n v="0.182"/>
    <n v="22"/>
    <n v="17930.494560000003"/>
    <n v="14859.46"/>
    <n v="3071.0345600000037"/>
    <n v="0.17127439233332575"/>
    <d v="2024-05-17T00:00:00"/>
    <s v="Q2-2024"/>
    <s v="Americas → Canada → Vancouver"/>
    <s v="Medium"/>
    <d v="2024-05-01T00:00:00"/>
    <d v="2023-01-01T00:00:00"/>
    <n v="16"/>
    <n v="0"/>
    <n v="0"/>
  </r>
  <r>
    <s v="ORD-2024-886939"/>
    <d v="2024-06-03T00:00:00"/>
    <d v="2024-06-24T00:00:00"/>
    <n v="21"/>
    <x v="0"/>
    <s v="Canada"/>
    <s v="Toronto"/>
    <s v="Small Business"/>
    <s v="Direct"/>
    <x v="2"/>
    <s v="Monitors"/>
    <s v="MON-5386"/>
    <n v="1205.5"/>
    <n v="2210.17"/>
    <n v="2210.17"/>
    <n v="0.104"/>
    <n v="23"/>
    <n v="45547.183360000003"/>
    <n v="27726.5"/>
    <n v="17820.683360000003"/>
    <n v="0.39125763758314652"/>
    <d v="2024-05-07T00:00:00"/>
    <s v="Q2-2024"/>
    <s v="Americas → Canada → Toronto"/>
    <s v="High"/>
    <d v="2024-06-01T00:00:00"/>
    <d v="2023-01-01T00:00:00"/>
    <n v="17"/>
    <n v="0"/>
    <n v="0"/>
  </r>
  <r>
    <s v="ORD-2024-389102"/>
    <d v="2024-06-15T00:00:00"/>
    <d v="2024-07-06T00:00:00"/>
    <n v="21"/>
    <x v="0"/>
    <s v="Canada"/>
    <s v="Toronto"/>
    <s v="Enterprise"/>
    <s v="Distributor"/>
    <x v="11"/>
    <s v="Printers"/>
    <s v="PRN-4453"/>
    <n v="817.23"/>
    <n v="1467.17"/>
    <n v="1467.17"/>
    <n v="0.245"/>
    <n v="9"/>
    <n v="9969.4201499999999"/>
    <n v="7355.07"/>
    <n v="2614.3501500000002"/>
    <n v="0.26223693160328893"/>
    <d v="2024-04-03T00:00:00"/>
    <s v="Q2-2024"/>
    <s v="Americas → Canada → Toronto"/>
    <s v="Medium"/>
    <d v="2024-06-01T00:00:00"/>
    <d v="2023-01-01T00:00:00"/>
    <n v="17"/>
    <n v="0"/>
    <n v="1"/>
  </r>
  <r>
    <s v="ORD-2024-901115"/>
    <d v="2024-07-25T00:00:00"/>
    <d v="2024-08-02T00:00:00"/>
    <n v="8"/>
    <x v="0"/>
    <s v="Canada"/>
    <s v="Montreal"/>
    <s v="Consumer"/>
    <s v="Direct"/>
    <x v="9"/>
    <s v="Accessories"/>
    <s v="ACC-6626"/>
    <n v="986.81"/>
    <n v="2050.31"/>
    <n v="2050.31"/>
    <n v="0.10299999999999999"/>
    <n v="43"/>
    <n v="79082.507010000001"/>
    <n v="42432.829999999994"/>
    <n v="36649.677010000007"/>
    <n v="0.46343595310358138"/>
    <d v="2024-03-02T00:00:00"/>
    <s v="Q3-2024"/>
    <s v="Americas → Canada → Montreal"/>
    <s v="High"/>
    <d v="2024-07-01T00:00:00"/>
    <d v="2023-01-01T00:00:00"/>
    <n v="18"/>
    <n v="0"/>
    <n v="0"/>
  </r>
  <r>
    <s v="ORD-2024-550400"/>
    <d v="2024-08-19T00:00:00"/>
    <d v="2024-09-02T00:00:00"/>
    <n v="14"/>
    <x v="0"/>
    <s v="Canada"/>
    <s v="Toronto"/>
    <s v="Consumer"/>
    <s v="Distributor"/>
    <x v="5"/>
    <s v="Printers"/>
    <s v="PRN-9793"/>
    <n v="1337.01"/>
    <n v="1269.78"/>
    <n v="1269.78"/>
    <n v="0.16"/>
    <n v="7"/>
    <n v="7466.3063999999986"/>
    <n v="9359.07"/>
    <n v="-1892.7636000000011"/>
    <n v="-0.25350735672996244"/>
    <d v="2024-02-03T00:00:00"/>
    <s v="Q3-2024"/>
    <s v="Americas → Canada → Toronto"/>
    <s v="Medium"/>
    <d v="2024-08-01T00:00:00"/>
    <d v="2023-01-01T00:00:00"/>
    <n v="19"/>
    <n v="0"/>
    <n v="0"/>
  </r>
  <r>
    <s v="ORD-2024-438404"/>
    <d v="2024-09-23T00:00:00"/>
    <d v="2024-10-18T00:00:00"/>
    <n v="25"/>
    <x v="0"/>
    <s v="Canada"/>
    <s v="Vancouver"/>
    <s v="Small Business"/>
    <s v="Online"/>
    <x v="1"/>
    <s v="Phones"/>
    <s v="PHN-4568"/>
    <n v="1297"/>
    <n v="2411.52"/>
    <n v="2411.52"/>
    <n v="2.1000000000000001E-2"/>
    <n v="18"/>
    <n v="42495.805439999996"/>
    <n v="23346"/>
    <n v="19149.805439999996"/>
    <n v="0.45062813239385913"/>
    <d v="2024-01-13T00:00:00"/>
    <s v="Q3-2024"/>
    <s v="Americas → Canada → Vancouver"/>
    <s v="High"/>
    <d v="2024-09-01T00:00:00"/>
    <d v="2023-01-01T00:00:00"/>
    <n v="20"/>
    <n v="0"/>
    <n v="0"/>
  </r>
  <r>
    <s v="ORD-2024-510520"/>
    <d v="2024-09-25T00:00:00"/>
    <d v="2024-10-03T00:00:00"/>
    <n v="8"/>
    <x v="0"/>
    <s v="Canada"/>
    <s v="Toronto"/>
    <s v="Consumer"/>
    <s v="Online"/>
    <x v="6"/>
    <s v="Printers"/>
    <s v="PRN-9557"/>
    <n v="558.19000000000005"/>
    <n v="1031.6400000000001"/>
    <n v="1031.6400000000001"/>
    <n v="0"/>
    <n v="21"/>
    <n v="21664.440000000002"/>
    <n v="11721.990000000002"/>
    <n v="9942.4500000000007"/>
    <n v="0.45892947152107322"/>
    <d v="2023-12-29T00:00:00"/>
    <s v="Q3-2024"/>
    <s v="Americas → Canada → Toronto"/>
    <s v="Medium"/>
    <d v="2024-09-01T00:00:00"/>
    <d v="2023-01-01T00:00:00"/>
    <n v="20"/>
    <n v="0"/>
    <n v="0"/>
  </r>
  <r>
    <s v="ORD-2024-170021"/>
    <d v="2024-11-05T00:00:00"/>
    <d v="2024-11-08T00:00:00"/>
    <n v="3"/>
    <x v="0"/>
    <s v="Canada"/>
    <s v="Toronto"/>
    <s v="Education"/>
    <s v="Marketplace"/>
    <x v="13"/>
    <s v="Components"/>
    <s v="CMP-2015"/>
    <n v="1020.4"/>
    <n v="1184.71"/>
    <n v="1184.71"/>
    <n v="0.106"/>
    <n v="16"/>
    <n v="16946.091840000001"/>
    <n v="16326.4"/>
    <n v="619.69184000000132"/>
    <n v="3.6568422138328345E-2"/>
    <d v="2023-11-19T00:00:00"/>
    <s v="Q4-2024"/>
    <s v="Americas → Canada → Toronto"/>
    <s v="Medium"/>
    <d v="2024-11-01T00:00:00"/>
    <d v="2023-01-01T00:00:00"/>
    <n v="22"/>
    <n v="1"/>
    <n v="0"/>
  </r>
  <r>
    <s v="ORD-2024-468501"/>
    <d v="2024-11-06T00:00:00"/>
    <d v="2024-11-22T00:00:00"/>
    <n v="16"/>
    <x v="0"/>
    <s v="Canada"/>
    <s v="Toronto"/>
    <s v="Non-Profit"/>
    <s v="Distributor"/>
    <x v="0"/>
    <s v="Accessories"/>
    <s v="ACC-6348"/>
    <n v="1454.11"/>
    <n v="2629.75"/>
    <n v="2629.75"/>
    <n v="0.29199999999999998"/>
    <n v="8"/>
    <n v="14894.903999999999"/>
    <n v="11632.88"/>
    <n v="3262.0239999999994"/>
    <n v="0.21900268709351867"/>
    <d v="2023-11-30T00:00:00"/>
    <s v="Q4-2024"/>
    <s v="Americas → Canada → Toronto"/>
    <s v="High"/>
    <d v="2024-11-01T00:00:00"/>
    <d v="2023-01-01T00:00:00"/>
    <n v="22"/>
    <n v="0"/>
    <n v="1"/>
  </r>
  <r>
    <s v="ORD-2024-371409"/>
    <d v="2024-11-17T00:00:00"/>
    <d v="2024-11-28T00:00:00"/>
    <n v="11"/>
    <x v="0"/>
    <s v="Canada"/>
    <s v="Vancouver"/>
    <s v="Consumer"/>
    <s v="Distributor"/>
    <x v="4"/>
    <s v="Printers"/>
    <s v="PRN-1371"/>
    <n v="1008.16"/>
    <n v="2077.5"/>
    <n v="2077.5"/>
    <n v="7.3999999999999996E-2"/>
    <n v="15"/>
    <n v="28856.475000000002"/>
    <n v="15122.4"/>
    <n v="13734.075000000003"/>
    <n v="0.47594430712691005"/>
    <d v="2023-11-14T00:00:00"/>
    <s v="Q4-2024"/>
    <s v="Americas → Canada → Vancouver"/>
    <s v="High"/>
    <d v="2024-11-01T00:00:00"/>
    <d v="2023-01-01T00:00:00"/>
    <n v="22"/>
    <n v="0"/>
    <n v="0"/>
  </r>
  <r>
    <s v="ORD-2024-478165"/>
    <d v="2024-12-05T00:00:00"/>
    <d v="2024-12-28T00:00:00"/>
    <n v="23"/>
    <x v="0"/>
    <s v="Canada"/>
    <s v="Vancouver"/>
    <s v="Corporate"/>
    <s v="Direct"/>
    <x v="8"/>
    <s v="Accessories"/>
    <s v="ACC-2386"/>
    <n v="107.03"/>
    <n v="242.29"/>
    <n v="242.29"/>
    <n v="0.18"/>
    <n v="30"/>
    <n v="5960.3340000000007"/>
    <n v="3210.9"/>
    <n v="2749.4340000000007"/>
    <n v="0.46128857879440988"/>
    <d v="2023-10-05T00:00:00"/>
    <s v="Q4-2024"/>
    <s v="Americas → Canada → Vancouver"/>
    <s v="Low"/>
    <d v="2024-12-01T00:00:00"/>
    <d v="2023-01-01T00:00:00"/>
    <n v="23"/>
    <n v="0"/>
    <n v="0"/>
  </r>
  <r>
    <s v="ORD-2024-257550"/>
    <d v="2024-12-27T00:00:00"/>
    <d v="2024-12-29T00:00:00"/>
    <n v="2"/>
    <x v="0"/>
    <s v="Canada"/>
    <s v="Vancouver"/>
    <s v="Enterprise"/>
    <s v="Marketplace"/>
    <x v="5"/>
    <s v="Accessories"/>
    <s v="ACC-8620"/>
    <n v="1146.72"/>
    <n v="2074.34"/>
    <n v="2074.34"/>
    <n v="0.111"/>
    <n v="8"/>
    <n v="14752.706080000002"/>
    <n v="9173.76"/>
    <n v="5578.9460800000015"/>
    <n v="0.37816425337472737"/>
    <d v="2023-09-25T00:00:00"/>
    <s v="Q4-2024"/>
    <s v="Americas → Canada → Vancouver"/>
    <s v="High"/>
    <d v="2024-12-01T00:00:00"/>
    <d v="2023-01-01T00:00:00"/>
    <n v="23"/>
    <n v="1"/>
    <n v="0"/>
  </r>
  <r>
    <s v="ORD-2025-705398"/>
    <d v="2025-02-15T00:00:00"/>
    <d v="2025-02-17T00:00:00"/>
    <n v="2"/>
    <x v="0"/>
    <s v="Canada"/>
    <s v="Toronto"/>
    <s v="Small Business"/>
    <s v="Retail"/>
    <x v="0"/>
    <s v="Components"/>
    <s v="CMP-5065"/>
    <n v="1133.47"/>
    <n v="1698.75"/>
    <n v="1698.75"/>
    <n v="4.2999999999999997E-2"/>
    <n v="5"/>
    <n v="8128.5187499999993"/>
    <n v="5667.35"/>
    <n v="2461.1687499999989"/>
    <n v="0.30278194904821976"/>
    <d v="2023-07-30T00:00:00"/>
    <s v="Q1-2025"/>
    <s v="Americas → Canada → Toronto"/>
    <s v="High"/>
    <d v="2025-02-01T00:00:00"/>
    <d v="2023-01-01T00:00:00"/>
    <n v="25"/>
    <n v="1"/>
    <n v="0"/>
  </r>
  <r>
    <s v="ORD-2025-246470"/>
    <d v="2025-04-16T00:00:00"/>
    <d v="2025-05-16T00:00:00"/>
    <n v="30"/>
    <x v="0"/>
    <s v="Canada"/>
    <s v="Montreal"/>
    <s v="Enterprise"/>
    <s v="Distributor"/>
    <x v="12"/>
    <s v="Printers"/>
    <s v="PRN-6178"/>
    <n v="763.32"/>
    <n v="568.29"/>
    <n v="568.29"/>
    <n v="0.13100000000000001"/>
    <n v="16"/>
    <n v="7901.5041599999995"/>
    <n v="12213.12"/>
    <n v="-4311.6158400000013"/>
    <n v="-0.54567026134426555"/>
    <d v="2023-06-15T00:00:00"/>
    <s v="Q2-2025"/>
    <s v="Americas → Canada → Montreal"/>
    <s v="Low"/>
    <d v="2025-04-01T00:00:00"/>
    <d v="2023-01-01T00:00:00"/>
    <n v="27"/>
    <n v="0"/>
    <n v="0"/>
  </r>
  <r>
    <s v="ORD-2025-191328"/>
    <d v="2025-05-10T00:00:00"/>
    <d v="2025-05-27T00:00:00"/>
    <n v="17"/>
    <x v="0"/>
    <s v="Canada"/>
    <s v="Vancouver"/>
    <s v="Education"/>
    <s v="Direct"/>
    <x v="5"/>
    <s v="Components"/>
    <s v="CMP-9307"/>
    <n v="862.89"/>
    <n v="1426.03"/>
    <n v="1426.03"/>
    <n v="5.6000000000000001E-2"/>
    <n v="19"/>
    <n v="25577.274079999999"/>
    <n v="16394.91"/>
    <n v="9182.3640799999994"/>
    <n v="0.35900479665188778"/>
    <d v="2023-06-01T00:00:00"/>
    <s v="Q2-2025"/>
    <s v="Americas → Canada → Vancouver"/>
    <s v="Medium"/>
    <d v="2025-05-01T00:00:00"/>
    <d v="2023-01-01T00:00:00"/>
    <n v="28"/>
    <n v="0"/>
    <n v="0"/>
  </r>
  <r>
    <s v="ORD-2025-874124"/>
    <d v="2025-05-12T00:00:00"/>
    <d v="2025-05-14T00:00:00"/>
    <n v="2"/>
    <x v="0"/>
    <s v="Canada"/>
    <s v="Vancouver"/>
    <s v="Non-Profit"/>
    <s v="Distributor"/>
    <x v="8"/>
    <s v="Printers"/>
    <s v="PRN-2407"/>
    <n v="883.5"/>
    <n v="1978.91"/>
    <n v="1978.91"/>
    <n v="5.3999999999999999E-2"/>
    <n v="27"/>
    <n v="50545.319219999998"/>
    <n v="23854.5"/>
    <n v="26690.819219999998"/>
    <n v="0.52805718970390547"/>
    <d v="2023-05-11T00:00:00"/>
    <s v="Q2-2025"/>
    <s v="Americas → Canada → Vancouver"/>
    <s v="High"/>
    <d v="2025-05-01T00:00:00"/>
    <d v="2023-01-01T00:00:00"/>
    <n v="28"/>
    <n v="1"/>
    <n v="0"/>
  </r>
  <r>
    <s v="ORD-2025-698069"/>
    <d v="2025-06-03T00:00:00"/>
    <d v="2025-06-10T00:00:00"/>
    <n v="7"/>
    <x v="0"/>
    <s v="Canada"/>
    <s v="Toronto"/>
    <s v="Consumer"/>
    <s v="Distributor"/>
    <x v="13"/>
    <s v="Printers"/>
    <s v="PRN-6429"/>
    <n v="75.180000000000007"/>
    <n v="53.45"/>
    <n v="53.45"/>
    <n v="0.157"/>
    <n v="17"/>
    <n v="765.99195000000009"/>
    <n v="1278.0600000000002"/>
    <n v="-512.06805000000008"/>
    <n v="-0.66850317421743144"/>
    <d v="2023-04-14T00:00:00"/>
    <s v="Q2-2025"/>
    <s v="Americas → Canada → Toronto"/>
    <s v="Low"/>
    <d v="2025-06-01T00:00:00"/>
    <d v="2023-01-01T00:00:00"/>
    <n v="29"/>
    <n v="1"/>
    <n v="0"/>
  </r>
  <r>
    <s v="ORD-2025-306903"/>
    <d v="2025-06-24T00:00:00"/>
    <d v="2025-07-23T00:00:00"/>
    <n v="29"/>
    <x v="0"/>
    <s v="Canada"/>
    <s v="Vancouver"/>
    <s v="Non-Profit"/>
    <s v="Marketplace"/>
    <x v="14"/>
    <s v="Printers"/>
    <s v="PRN-3775"/>
    <n v="255.4"/>
    <n v="322.70999999999998"/>
    <n v="322.70999999999998"/>
    <n v="0.115"/>
    <n v="16"/>
    <n v="4569.5735999999997"/>
    <n v="4086.4"/>
    <n v="483.17359999999962"/>
    <n v="0.10573713048412212"/>
    <d v="2023-04-16T00:00:00"/>
    <s v="Q2-2025"/>
    <s v="Americas → Canada → Vancouver"/>
    <s v="Low"/>
    <d v="2025-06-01T00:00:00"/>
    <d v="2023-01-01T00:00:00"/>
    <n v="29"/>
    <n v="0"/>
    <n v="0"/>
  </r>
  <r>
    <s v="ORD-2025-956101"/>
    <d v="2025-07-09T00:00:00"/>
    <d v="2025-07-18T00:00:00"/>
    <n v="9"/>
    <x v="0"/>
    <s v="Canada"/>
    <s v="Vancouver"/>
    <s v="Education"/>
    <s v="Distributor"/>
    <x v="14"/>
    <s v="Laptops"/>
    <s v="LAP-2218"/>
    <n v="57.96"/>
    <n v="88.51"/>
    <n v="88.51"/>
    <n v="4.2999999999999997E-2"/>
    <n v="7"/>
    <n v="592.92849000000001"/>
    <n v="405.72"/>
    <n v="187.20848999999998"/>
    <n v="0.3157353595877978"/>
    <d v="2023-03-31T00:00:00"/>
    <s v="Q3-2025"/>
    <s v="Americas → Canada → Vancouver"/>
    <s v="Low"/>
    <d v="2025-07-01T00:00:00"/>
    <d v="2023-01-01T00:00:00"/>
    <n v="30"/>
    <n v="0"/>
    <n v="0"/>
  </r>
  <r>
    <s v="ORD-2025-586799"/>
    <d v="2025-07-14T00:00:00"/>
    <d v="2025-08-04T00:00:00"/>
    <n v="21"/>
    <x v="0"/>
    <s v="Canada"/>
    <s v="Montreal"/>
    <s v="Consumer"/>
    <s v="Online"/>
    <x v="15"/>
    <s v="Monitors"/>
    <s v="MON-7868"/>
    <n v="90.3"/>
    <n v="131.76"/>
    <n v="131.76"/>
    <n v="0.10199999999999999"/>
    <n v="15"/>
    <n v="1774.8072"/>
    <n v="1354.5"/>
    <n v="420.30719999999997"/>
    <n v="0.23681851189244668"/>
    <d v="2023-04-06T00:00:00"/>
    <s v="Q3-2025"/>
    <s v="Americas → Canada → Montreal"/>
    <s v="Low"/>
    <d v="2025-07-01T00:00:00"/>
    <d v="2023-01-01T00:00:00"/>
    <n v="30"/>
    <n v="0"/>
    <n v="0"/>
  </r>
  <r>
    <s v="ORD-2025-132174"/>
    <d v="2025-07-17T00:00:00"/>
    <d v="2025-07-23T00:00:00"/>
    <n v="6"/>
    <x v="0"/>
    <s v="Canada"/>
    <s v="Vancouver"/>
    <s v="Consumer"/>
    <s v="Online"/>
    <x v="15"/>
    <s v="Components"/>
    <s v="CMP-8851"/>
    <n v="1364.89"/>
    <n v="2757.54"/>
    <n v="2757.54"/>
    <n v="0.17199999999999999"/>
    <n v="61"/>
    <n v="139277.83032000001"/>
    <n v="83258.290000000008"/>
    <n v="56019.54032"/>
    <n v="0.4022143379983118"/>
    <d v="2023-03-31T00:00:00"/>
    <s v="Q3-2025"/>
    <s v="Americas → Canada → Vancouver"/>
    <s v="High"/>
    <d v="2025-07-01T00:00:00"/>
    <d v="2023-01-01T00:00:00"/>
    <n v="30"/>
    <n v="1"/>
    <n v="0"/>
  </r>
  <r>
    <s v="ORD-2025-281413"/>
    <d v="2025-08-03T00:00:00"/>
    <d v="2025-08-16T00:00:00"/>
    <n v="13"/>
    <x v="0"/>
    <s v="Canada"/>
    <s v="Montreal"/>
    <s v="Enterprise"/>
    <s v="Distributor"/>
    <x v="13"/>
    <s v="Networking"/>
    <s v="NET-3785"/>
    <n v="698.66"/>
    <n v="868.62"/>
    <n v="868.62"/>
    <n v="7.1999999999999995E-2"/>
    <n v="15"/>
    <n v="12091.190399999999"/>
    <n v="10479.9"/>
    <n v="1611.2903999999999"/>
    <n v="0.13326151906432637"/>
    <d v="2023-02-23T00:00:00"/>
    <s v="Q3-2025"/>
    <s v="Americas → Canada → Montreal"/>
    <s v="Medium"/>
    <d v="2025-08-01T00:00:00"/>
    <d v="2023-01-01T00:00:00"/>
    <n v="31"/>
    <n v="0"/>
    <n v="0"/>
  </r>
  <r>
    <s v="ORD-2025-822030"/>
    <d v="2025-08-07T00:00:00"/>
    <d v="2025-09-06T00:00:00"/>
    <n v="30"/>
    <x v="0"/>
    <s v="Canada"/>
    <s v="Montreal"/>
    <s v="Education"/>
    <s v="Direct"/>
    <x v="3"/>
    <s v="Networking"/>
    <s v="NET-1336"/>
    <n v="833.73"/>
    <n v="1116.5999999999999"/>
    <n v="1116.5999999999999"/>
    <n v="0.17599999999999999"/>
    <n v="14"/>
    <n v="12881.097599999999"/>
    <n v="11672.220000000001"/>
    <n v="1208.877599999998"/>
    <n v="9.3848958958279924E-2"/>
    <d v="2023-02-23T00:00:00"/>
    <s v="Q3-2025"/>
    <s v="Americas → Canada → Montreal"/>
    <s v="Medium"/>
    <d v="2025-08-01T00:00:00"/>
    <d v="2023-01-01T00:00:00"/>
    <n v="31"/>
    <n v="0"/>
    <n v="0"/>
  </r>
  <r>
    <s v="ORD-2025-898022"/>
    <d v="2025-09-02T00:00:00"/>
    <d v="2025-09-11T00:00:00"/>
    <n v="9"/>
    <x v="0"/>
    <s v="Canada"/>
    <s v="Toronto"/>
    <s v="Corporate"/>
    <s v="Distributor"/>
    <x v="3"/>
    <s v="Printers"/>
    <s v="PRN-1276"/>
    <n v="1207.6300000000001"/>
    <n v="921.68"/>
    <n v="921.68"/>
    <n v="0.19600000000000001"/>
    <n v="17"/>
    <n v="12597.52224"/>
    <n v="20529.710000000003"/>
    <n v="-7932.1877600000025"/>
    <n v="-0.62966253274897988"/>
    <d v="2023-01-20T00:00:00"/>
    <s v="Q3-2025"/>
    <s v="Americas → Canada → Toronto"/>
    <s v="Medium"/>
    <d v="2025-09-01T00:00:00"/>
    <d v="2023-01-01T00:00:00"/>
    <n v="32"/>
    <n v="0"/>
    <n v="0"/>
  </r>
  <r>
    <s v="ORD-2023-700699"/>
    <d v="2023-01-12T00:00:00"/>
    <d v="2023-01-26T00:00:00"/>
    <n v="14"/>
    <x v="1"/>
    <s v="China"/>
    <s v="Shenzhen"/>
    <s v="Non-Profit"/>
    <s v="Retail"/>
    <x v="3"/>
    <s v="Printers"/>
    <s v="PRN-1641"/>
    <n v="1083.0899999999999"/>
    <n v="1425.87"/>
    <n v="1425.87"/>
    <n v="0"/>
    <n v="8"/>
    <n v="11406.96"/>
    <n v="8664.7199999999993"/>
    <n v="2742.24"/>
    <n v="0.24040059752992909"/>
    <d v="2025-09-01T00:00:00"/>
    <s v="Q1-2023"/>
    <s v="Asia → China → Shenzhen"/>
    <s v="Medium"/>
    <d v="2023-01-01T00:00:00"/>
    <d v="2023-01-01T00:00:00"/>
    <n v="0"/>
    <n v="0"/>
    <n v="0"/>
  </r>
  <r>
    <s v="ORD-2023-744942"/>
    <d v="2023-02-23T00:00:00"/>
    <d v="2023-03-18T00:00:00"/>
    <n v="23"/>
    <x v="1"/>
    <s v="China"/>
    <s v="Beijing"/>
    <s v="Education"/>
    <s v="Distributor"/>
    <x v="12"/>
    <s v="Printers"/>
    <s v="PRN-1060"/>
    <n v="770.11"/>
    <n v="1667.82"/>
    <n v="1667.82"/>
    <n v="6.9000000000000006E-2"/>
    <n v="7"/>
    <n v="10869.182940000001"/>
    <n v="5390.77"/>
    <n v="5478.4129400000002"/>
    <n v="0.50403171703355287"/>
    <d v="2025-08-26T00:00:00"/>
    <s v="Q1-2023"/>
    <s v="Asia → China → Beijing"/>
    <s v="High"/>
    <d v="2023-02-01T00:00:00"/>
    <d v="2023-01-01T00:00:00"/>
    <n v="1"/>
    <n v="0"/>
    <n v="0"/>
  </r>
  <r>
    <s v="ORD-2023-854471"/>
    <d v="2023-03-06T00:00:00"/>
    <d v="2023-04-04T00:00:00"/>
    <n v="29"/>
    <x v="1"/>
    <s v="China"/>
    <s v="Beijing"/>
    <s v="Small Business"/>
    <s v="Direct"/>
    <x v="5"/>
    <s v="Monitors"/>
    <s v="MON-2073"/>
    <n v="1126.29"/>
    <n v="2050.87"/>
    <n v="2050.87"/>
    <n v="6.4000000000000001E-2"/>
    <n v="7"/>
    <n v="13437.300239999999"/>
    <n v="7884.03"/>
    <n v="5553.2702399999989"/>
    <n v="0.41327276616690373"/>
    <d v="2025-08-05T00:00:00"/>
    <s v="Q1-2023"/>
    <s v="Asia → China → Beijing"/>
    <s v="High"/>
    <d v="2023-03-01T00:00:00"/>
    <d v="2023-01-01T00:00:00"/>
    <n v="2"/>
    <n v="0"/>
    <n v="0"/>
  </r>
  <r>
    <s v="ORD-2023-157993"/>
    <d v="2023-04-18T00:00:00"/>
    <d v="2023-05-18T00:00:00"/>
    <n v="30"/>
    <x v="1"/>
    <s v="China"/>
    <s v="Shenzhen"/>
    <s v="Non-Profit"/>
    <s v="Retail"/>
    <x v="15"/>
    <s v="Laptops"/>
    <s v="LAP-1482"/>
    <n v="329.03"/>
    <n v="391.15"/>
    <n v="391.15"/>
    <n v="0.19700000000000001"/>
    <n v="46"/>
    <n v="14448.298699999998"/>
    <n v="15135.38"/>
    <n v="-687.08130000000165"/>
    <n v="-4.7554477815440081E-2"/>
    <d v="2025-06-17T00:00:00"/>
    <s v="Q2-2023"/>
    <s v="Asia → China → Shenzhen"/>
    <s v="Low"/>
    <d v="2023-04-01T00:00:00"/>
    <d v="2023-01-01T00:00:00"/>
    <n v="3"/>
    <n v="0"/>
    <n v="0"/>
  </r>
  <r>
    <s v="ORD-2023-809913"/>
    <d v="2023-04-21T00:00:00"/>
    <d v="2023-05-10T00:00:00"/>
    <n v="19"/>
    <x v="1"/>
    <s v="China"/>
    <s v="Shanghai"/>
    <s v="Corporate"/>
    <s v="Retail"/>
    <x v="4"/>
    <s v="Components"/>
    <s v="CMP-7371"/>
    <n v="882.33"/>
    <n v="1880.15"/>
    <n v="1880.15"/>
    <n v="0.05"/>
    <n v="5"/>
    <n v="8930.7124999999996"/>
    <n v="4411.6500000000005"/>
    <n v="4519.0624999999991"/>
    <n v="0.50601365792482955"/>
    <d v="2025-06-19T00:00:00"/>
    <s v="Q2-2023"/>
    <s v="Asia → China → Shanghai"/>
    <s v="High"/>
    <d v="2023-04-01T00:00:00"/>
    <d v="2023-01-01T00:00:00"/>
    <n v="3"/>
    <n v="0"/>
    <n v="0"/>
  </r>
  <r>
    <s v="ORD-2023-880296"/>
    <d v="2023-05-02T00:00:00"/>
    <d v="2023-05-19T00:00:00"/>
    <n v="17"/>
    <x v="1"/>
    <s v="China"/>
    <s v="Shanghai"/>
    <s v="Non-Profit"/>
    <s v="Direct"/>
    <x v="9"/>
    <s v="Monitors"/>
    <s v="MON-5086"/>
    <n v="714.28"/>
    <n v="757.59"/>
    <n v="757.59"/>
    <n v="0.13600000000000001"/>
    <n v="12"/>
    <n v="7854.6931199999999"/>
    <n v="8571.36"/>
    <n v="-716.66688000000067"/>
    <n v="-9.1240595787910383E-2"/>
    <d v="2025-05-21T00:00:00"/>
    <s v="Q2-2023"/>
    <s v="Asia → China → Shanghai"/>
    <s v="Low"/>
    <d v="2023-05-01T00:00:00"/>
    <d v="2023-01-01T00:00:00"/>
    <n v="4"/>
    <n v="0"/>
    <n v="0"/>
  </r>
  <r>
    <s v="ORD-2023-867836"/>
    <d v="2023-05-11T00:00:00"/>
    <d v="2023-05-28T00:00:00"/>
    <n v="17"/>
    <x v="1"/>
    <s v="China"/>
    <s v="Shenzhen"/>
    <s v="Enterprise"/>
    <s v="Marketplace"/>
    <x v="6"/>
    <s v="Networking"/>
    <s v="NET-3255"/>
    <n v="1331.19"/>
    <n v="2903.09"/>
    <n v="2903.09"/>
    <n v="0.14299999999999999"/>
    <n v="8"/>
    <n v="19903.585040000002"/>
    <n v="10649.52"/>
    <n v="9254.0650400000013"/>
    <n v="0.46494463290920784"/>
    <d v="2025-05-14T00:00:00"/>
    <s v="Q2-2023"/>
    <s v="Asia → China → Shenzhen"/>
    <s v="High"/>
    <d v="2023-05-01T00:00:00"/>
    <d v="2023-01-01T00:00:00"/>
    <n v="4"/>
    <n v="0"/>
    <n v="0"/>
  </r>
  <r>
    <s v="ORD-2023-184577"/>
    <d v="2023-05-17T00:00:00"/>
    <d v="2023-06-03T00:00:00"/>
    <n v="17"/>
    <x v="1"/>
    <s v="China"/>
    <s v="Beijing"/>
    <s v="Non-Profit"/>
    <s v="Distributor"/>
    <x v="3"/>
    <s v="Printers"/>
    <s v="PRN-1923"/>
    <n v="979.59"/>
    <n v="2210.94"/>
    <n v="2210.94"/>
    <n v="0.15"/>
    <n v="11"/>
    <n v="20672.289000000001"/>
    <n v="10775.49"/>
    <n v="9896.7990000000009"/>
    <n v="0.47874712858358359"/>
    <d v="2025-04-28T00:00:00"/>
    <s v="Q2-2023"/>
    <s v="Asia → China → Beijing"/>
    <s v="High"/>
    <d v="2023-05-01T00:00:00"/>
    <d v="2023-01-01T00:00:00"/>
    <n v="4"/>
    <n v="0"/>
    <n v="0"/>
  </r>
  <r>
    <s v="ORD-2023-603650"/>
    <d v="2023-05-23T00:00:00"/>
    <d v="2023-06-10T00:00:00"/>
    <n v="18"/>
    <x v="1"/>
    <s v="China"/>
    <s v="Shanghai"/>
    <s v="Corporate"/>
    <s v="Distributor"/>
    <x v="6"/>
    <s v="Components"/>
    <s v="CMP-6925"/>
    <n v="54.62"/>
    <n v="48.94"/>
    <n v="48.94"/>
    <n v="0.14799999999999999"/>
    <n v="16"/>
    <n v="667.15008"/>
    <n v="873.92"/>
    <n v="-206.76991999999996"/>
    <n v="-0.3099301434543783"/>
    <d v="2025-04-28T00:00:00"/>
    <s v="Q2-2023"/>
    <s v="Asia → China → Shanghai"/>
    <s v="Low"/>
    <d v="2023-05-01T00:00:00"/>
    <d v="2023-01-01T00:00:00"/>
    <n v="4"/>
    <n v="0"/>
    <n v="0"/>
  </r>
  <r>
    <s v="ORD-2023-427304"/>
    <d v="2023-06-09T00:00:00"/>
    <d v="2023-06-19T00:00:00"/>
    <n v="10"/>
    <x v="1"/>
    <s v="China"/>
    <s v="Beijing"/>
    <s v="Enterprise"/>
    <s v="Retail"/>
    <x v="8"/>
    <s v="Monitors"/>
    <s v="MON-9194"/>
    <n v="339.61"/>
    <n v="621.02"/>
    <n v="621.02"/>
    <n v="7.0999999999999994E-2"/>
    <n v="10"/>
    <n v="5769.2758000000003"/>
    <n v="3396.1000000000004"/>
    <n v="2373.1758"/>
    <n v="0.41134726129750981"/>
    <d v="2025-04-11T00:00:00"/>
    <s v="Q2-2023"/>
    <s v="Asia → China → Beijing"/>
    <s v="Low"/>
    <d v="2023-06-01T00:00:00"/>
    <d v="2023-01-01T00:00:00"/>
    <n v="5"/>
    <n v="0"/>
    <n v="0"/>
  </r>
  <r>
    <s v="ORD-2023-885216"/>
    <d v="2023-08-02T00:00:00"/>
    <d v="2023-08-03T00:00:00"/>
    <n v="1"/>
    <x v="1"/>
    <s v="China"/>
    <s v="Shanghai"/>
    <s v="Non-Profit"/>
    <s v="Direct"/>
    <x v="9"/>
    <s v="Networking"/>
    <s v="NET-4735"/>
    <n v="1021.97"/>
    <n v="2296.25"/>
    <n v="2296.25"/>
    <n v="0.161"/>
    <n v="26"/>
    <n v="50090.397499999999"/>
    <n v="26571.22"/>
    <n v="23519.177499999998"/>
    <n v="0.46953465482081669"/>
    <d v="2025-02-15T00:00:00"/>
    <s v="Q3-2023"/>
    <s v="Asia → China → Shanghai"/>
    <s v="High"/>
    <d v="2023-08-01T00:00:00"/>
    <d v="2023-01-01T00:00:00"/>
    <n v="7"/>
    <n v="1"/>
    <n v="0"/>
  </r>
  <r>
    <s v="ORD-2023-548934"/>
    <d v="2023-08-03T00:00:00"/>
    <d v="2023-08-30T00:00:00"/>
    <n v="27"/>
    <x v="1"/>
    <s v="China"/>
    <s v="Shanghai"/>
    <s v="Consumer"/>
    <s v="Distributor"/>
    <x v="1"/>
    <s v="Monitors"/>
    <s v="MON-3773"/>
    <n v="226.04"/>
    <n v="545.72"/>
    <n v="545.72"/>
    <n v="0.151"/>
    <n v="11"/>
    <n v="5096.4790800000001"/>
    <n v="2486.44"/>
    <n v="2610.03908"/>
    <n v="0.51212592831834014"/>
    <d v="2025-02-12T00:00:00"/>
    <s v="Q3-2023"/>
    <s v="Asia → China → Shanghai"/>
    <s v="Low"/>
    <d v="2023-08-01T00:00:00"/>
    <d v="2023-01-01T00:00:00"/>
    <n v="7"/>
    <n v="0"/>
    <n v="0"/>
  </r>
  <r>
    <s v="ORD-2023-883066"/>
    <d v="2023-08-12T00:00:00"/>
    <d v="2023-09-06T00:00:00"/>
    <n v="25"/>
    <x v="1"/>
    <s v="China"/>
    <s v="Shanghai"/>
    <s v="Small Business"/>
    <s v="Retail"/>
    <x v="7"/>
    <s v="Components"/>
    <s v="CMP-6352"/>
    <n v="950.77"/>
    <n v="694.78"/>
    <n v="694.78"/>
    <n v="8.4000000000000005E-2"/>
    <n v="14"/>
    <n v="8909.8587200000002"/>
    <n v="13310.779999999999"/>
    <n v="-4400.9212799999987"/>
    <n v="-0.49393839097821279"/>
    <d v="2025-02-07T00:00:00"/>
    <s v="Q3-2023"/>
    <s v="Asia → China → Shanghai"/>
    <s v="Low"/>
    <d v="2023-08-01T00:00:00"/>
    <d v="2023-01-01T00:00:00"/>
    <n v="7"/>
    <n v="0"/>
    <n v="0"/>
  </r>
  <r>
    <s v="ORD-2023-619385"/>
    <d v="2023-09-30T00:00:00"/>
    <d v="2023-10-03T00:00:00"/>
    <n v="3"/>
    <x v="1"/>
    <s v="China"/>
    <s v="Beijing"/>
    <s v="Non-Profit"/>
    <s v="Retail"/>
    <x v="9"/>
    <s v="Laptops"/>
    <s v="LAP-5763"/>
    <n v="1019.36"/>
    <n v="972.91"/>
    <n v="972.91"/>
    <n v="0.14699999999999999"/>
    <n v="17"/>
    <n v="14108.16791"/>
    <n v="17329.12"/>
    <n v="-3220.9520899999989"/>
    <n v="-0.22830406545678819"/>
    <d v="2024-12-10T00:00:00"/>
    <s v="Q3-2023"/>
    <s v="Asia → China → Beijing"/>
    <s v="Medium"/>
    <d v="2023-09-01T00:00:00"/>
    <d v="2023-01-01T00:00:00"/>
    <n v="8"/>
    <n v="1"/>
    <n v="0"/>
  </r>
  <r>
    <s v="ORD-2023-166668"/>
    <d v="2023-10-05T00:00:00"/>
    <d v="2023-10-31T00:00:00"/>
    <n v="26"/>
    <x v="1"/>
    <s v="China"/>
    <s v="Shanghai"/>
    <s v="Consumer"/>
    <m/>
    <x v="9"/>
    <s v="Printers"/>
    <s v="PRN-6520"/>
    <n v="649.91"/>
    <n v="1360.12"/>
    <n v="1360.12"/>
    <n v="0.19400000000000001"/>
    <n v="9"/>
    <n v="9866.3104799999983"/>
    <n v="5849.19"/>
    <n v="4017.1204799999987"/>
    <n v="0.40715528749506769"/>
    <d v="2024-12-27T00:00:00"/>
    <s v="Q4-2023"/>
    <s v="Asia → China → Shanghai"/>
    <s v="Medium"/>
    <d v="2023-10-01T00:00:00"/>
    <d v="2023-01-01T00:00:00"/>
    <n v="9"/>
    <n v="0"/>
    <n v="0"/>
  </r>
  <r>
    <s v="ORD-2023-368449"/>
    <d v="2023-10-09T00:00:00"/>
    <d v="2023-10-26T00:00:00"/>
    <n v="17"/>
    <x v="1"/>
    <s v="China"/>
    <s v="Shanghai"/>
    <s v="Consumer"/>
    <s v="Marketplace"/>
    <x v="5"/>
    <s v="Components"/>
    <s v="CMP-2096"/>
    <n v="1132.03"/>
    <n v="2137.21"/>
    <n v="2137.21"/>
    <n v="0.35699999999999998"/>
    <n v="35"/>
    <n v="48097.911050000002"/>
    <n v="39621.049999999996"/>
    <n v="8476.8610500000068"/>
    <n v="0.17624177152284051"/>
    <d v="2024-12-05T00:00:00"/>
    <s v="Q4-2023"/>
    <s v="Asia → China → Shanghai"/>
    <s v="High"/>
    <d v="2023-10-01T00:00:00"/>
    <d v="2023-01-01T00:00:00"/>
    <n v="9"/>
    <n v="0"/>
    <n v="1"/>
  </r>
  <r>
    <s v="ORD-2023-925146"/>
    <d v="2023-10-15T00:00:00"/>
    <d v="2023-11-13T00:00:00"/>
    <n v="29"/>
    <x v="1"/>
    <s v="China"/>
    <s v="Shenzhen"/>
    <s v="Non-Profit"/>
    <s v="Distributor"/>
    <x v="9"/>
    <s v="Printers"/>
    <s v="PRN-4983"/>
    <n v="986.44"/>
    <n v="790.61"/>
    <n v="790.61"/>
    <n v="7.1999999999999995E-2"/>
    <n v="6"/>
    <n v="4402.1164799999997"/>
    <n v="5918.64"/>
    <n v="-1516.5235200000006"/>
    <n v="-0.34449872621271499"/>
    <d v="2024-11-21T00:00:00"/>
    <s v="Q4-2023"/>
    <s v="Asia → China → Shenzhen"/>
    <s v="Low"/>
    <d v="2023-10-01T00:00:00"/>
    <d v="2023-01-01T00:00:00"/>
    <n v="9"/>
    <n v="0"/>
    <n v="0"/>
  </r>
  <r>
    <s v="ORD-2023-674887"/>
    <d v="2023-12-16T00:00:00"/>
    <d v="2023-12-19T00:00:00"/>
    <n v="3"/>
    <x v="1"/>
    <s v="China"/>
    <s v="Beijing"/>
    <s v="Education"/>
    <s v="Retail"/>
    <x v="4"/>
    <s v="Accessories"/>
    <s v="ACC-9644"/>
    <n v="1415.05"/>
    <n v="1972.38"/>
    <n v="1972.38"/>
    <n v="0"/>
    <n v="12"/>
    <n v="23668.560000000001"/>
    <n v="16980.599999999999"/>
    <n v="6687.9600000000028"/>
    <n v="0.28256725377462771"/>
    <d v="2024-10-16T00:00:00"/>
    <s v="Q4-2023"/>
    <s v="Asia → China → Beijing"/>
    <s v="High"/>
    <d v="2023-12-01T00:00:00"/>
    <d v="2023-01-01T00:00:00"/>
    <n v="11"/>
    <n v="1"/>
    <n v="0"/>
  </r>
  <r>
    <s v="ORD-2024-760799"/>
    <d v="2024-02-03T00:00:00"/>
    <d v="2024-02-19T00:00:00"/>
    <n v="16"/>
    <x v="1"/>
    <s v="China"/>
    <s v="Shenzhen"/>
    <s v="Small Business"/>
    <s v="Online"/>
    <x v="15"/>
    <s v="Laptops"/>
    <s v="LAP-5531"/>
    <n v="993.75"/>
    <n v="1310.29"/>
    <n v="1310.29"/>
    <n v="0.215"/>
    <n v="19"/>
    <n v="19542.975350000001"/>
    <n v="18881.25"/>
    <n v="661.72535000000062"/>
    <n v="3.3860010471742245E-2"/>
    <d v="2024-08-19T00:00:00"/>
    <s v="Q1-2024"/>
    <s v="Asia → China → Shenzhen"/>
    <s v="Medium"/>
    <d v="2024-02-01T00:00:00"/>
    <d v="2023-01-01T00:00:00"/>
    <n v="13"/>
    <n v="0"/>
    <n v="1"/>
  </r>
  <r>
    <s v="ORD-2024-232632"/>
    <d v="2024-02-14T00:00:00"/>
    <d v="2024-02-14T00:00:00"/>
    <n v="0"/>
    <x v="1"/>
    <s v="China"/>
    <s v="Beijing"/>
    <s v="Corporate"/>
    <s v="Distributor"/>
    <x v="11"/>
    <s v="Accessories"/>
    <s v="ACC-1021"/>
    <n v="65.930000000000007"/>
    <n v="84.9"/>
    <n v="84.9"/>
    <n v="0.25900000000000001"/>
    <n v="23"/>
    <n v="1446.9507000000001"/>
    <n v="1516.39"/>
    <n v="-69.439300000000003"/>
    <n v="-4.7990093926489688E-2"/>
    <d v="2024-08-22T00:00:00"/>
    <s v="Q1-2024"/>
    <s v="Asia → China → Beijing"/>
    <s v="Low"/>
    <d v="2024-02-01T00:00:00"/>
    <d v="2023-01-01T00:00:00"/>
    <n v="13"/>
    <n v="1"/>
    <n v="1"/>
  </r>
  <r>
    <s v="ORD-2024-468655"/>
    <d v="2024-02-19T00:00:00"/>
    <d v="2024-03-06T00:00:00"/>
    <n v="16"/>
    <x v="1"/>
    <s v="China"/>
    <s v="Beijing"/>
    <s v="Education"/>
    <s v="Marketplace"/>
    <x v="13"/>
    <s v="Printers"/>
    <s v="PRN-6308"/>
    <n v="1477.84"/>
    <n v="3197.47"/>
    <n v="3197.47"/>
    <n v="0.24299999999999999"/>
    <n v="24"/>
    <n v="58091.634960000003"/>
    <n v="35468.159999999996"/>
    <n v="22623.474960000007"/>
    <n v="0.38944462443823091"/>
    <d v="2024-08-21T00:00:00"/>
    <s v="Q1-2024"/>
    <s v="Asia → China → Beijing"/>
    <s v="High"/>
    <d v="2024-02-01T00:00:00"/>
    <d v="2023-01-01T00:00:00"/>
    <n v="13"/>
    <n v="0"/>
    <n v="1"/>
  </r>
  <r>
    <s v="ORD-2024-868223"/>
    <d v="2024-03-03T00:00:00"/>
    <d v="2024-03-19T00:00:00"/>
    <n v="16"/>
    <x v="1"/>
    <s v="China"/>
    <s v="Beijing"/>
    <s v="Consumer"/>
    <s v="Distributor"/>
    <x v="2"/>
    <s v="Phones"/>
    <s v="PHN-4915"/>
    <n v="988.83"/>
    <n v="1206.04"/>
    <n v="1206.04"/>
    <n v="6.3E-2"/>
    <n v="34"/>
    <n v="38422.022320000004"/>
    <n v="33620.22"/>
    <n v="4801.8023200000025"/>
    <n v="0.12497526236406606"/>
    <d v="2024-07-24T00:00:00"/>
    <s v="Q1-2024"/>
    <s v="Asia → China → Beijing"/>
    <s v="Medium"/>
    <d v="2024-03-01T00:00:00"/>
    <d v="2023-01-01T00:00:00"/>
    <n v="14"/>
    <n v="0"/>
    <n v="0"/>
  </r>
  <r>
    <s v="ORD-2024-343877"/>
    <d v="2024-03-09T00:00:00"/>
    <d v="2024-03-26T00:00:00"/>
    <n v="17"/>
    <x v="1"/>
    <s v="China"/>
    <s v="Shenzhen"/>
    <s v="Enterprise"/>
    <s v="Online"/>
    <x v="12"/>
    <s v="Monitors"/>
    <s v="MON-5749"/>
    <n v="1029.67"/>
    <n v="1118.43"/>
    <n v="1118.43"/>
    <n v="0.27200000000000002"/>
    <n v="9"/>
    <n v="7327.9533600000004"/>
    <n v="9267.0300000000007"/>
    <n v="-1939.0766400000002"/>
    <n v="-0.26461367106736061"/>
    <d v="2024-07-29T00:00:00"/>
    <s v="Q1-2024"/>
    <s v="Asia → China → Shenzhen"/>
    <s v="Medium"/>
    <d v="2024-03-01T00:00:00"/>
    <d v="2023-01-01T00:00:00"/>
    <n v="14"/>
    <n v="0"/>
    <n v="1"/>
  </r>
  <r>
    <s v="ORD-2024-594592"/>
    <d v="2024-04-06T00:00:00"/>
    <d v="2024-04-25T00:00:00"/>
    <n v="19"/>
    <x v="1"/>
    <s v="China"/>
    <s v="Shanghai"/>
    <s v="Corporate"/>
    <s v="Retail"/>
    <x v="12"/>
    <s v="Components"/>
    <s v="CMP-8196"/>
    <n v="1366.48"/>
    <n v="1678.14"/>
    <n v="1678.14"/>
    <n v="0.154"/>
    <n v="10"/>
    <n v="14197.064400000001"/>
    <n v="13664.8"/>
    <n v="532.26440000000184"/>
    <n v="3.7491159087790132E-2"/>
    <d v="2024-06-08T00:00:00"/>
    <s v="Q2-2024"/>
    <s v="Asia → China → Shanghai"/>
    <s v="High"/>
    <d v="2024-04-01T00:00:00"/>
    <d v="2023-01-01T00:00:00"/>
    <n v="15"/>
    <n v="0"/>
    <n v="0"/>
  </r>
  <r>
    <s v="ORD-2024-134084"/>
    <d v="2024-06-04T00:00:00"/>
    <d v="2024-06-16T00:00:00"/>
    <n v="12"/>
    <x v="1"/>
    <s v="China"/>
    <s v="Shanghai"/>
    <s v="Corporate"/>
    <s v="Retail"/>
    <x v="9"/>
    <s v="Printers"/>
    <s v="PRN-4097"/>
    <n v="918.42"/>
    <n v="1511.71"/>
    <n v="1511.71"/>
    <n v="0.02"/>
    <n v="8"/>
    <n v="11851.806399999999"/>
    <n v="7347.36"/>
    <n v="4504.4463999999998"/>
    <n v="0.38006412254590999"/>
    <d v="2024-04-24T00:00:00"/>
    <s v="Q2-2024"/>
    <s v="Asia → China → Shanghai"/>
    <s v="Medium"/>
    <d v="2024-06-01T00:00:00"/>
    <d v="2023-01-01T00:00:00"/>
    <n v="17"/>
    <n v="0"/>
    <n v="0"/>
  </r>
  <r>
    <s v="ORD-2024-626925"/>
    <d v="2024-06-07T00:00:00"/>
    <d v="2024-06-09T00:00:00"/>
    <n v="2"/>
    <x v="1"/>
    <s v="China"/>
    <s v="Shanghai"/>
    <s v="Corporate"/>
    <s v="Retail"/>
    <x v="13"/>
    <s v="Monitors"/>
    <s v="MON-8688"/>
    <n v="1370.28"/>
    <n v="2209.66"/>
    <n v="2209.66"/>
    <n v="0.13300000000000001"/>
    <n v="16"/>
    <n v="30652.403519999996"/>
    <n v="21924.48"/>
    <n v="8727.9235199999966"/>
    <n v="0.28473863442079589"/>
    <d v="2024-04-16T00:00:00"/>
    <s v="Q2-2024"/>
    <s v="Asia → China → Shanghai"/>
    <s v="High"/>
    <d v="2024-06-01T00:00:00"/>
    <d v="2023-01-01T00:00:00"/>
    <n v="17"/>
    <n v="1"/>
    <n v="0"/>
  </r>
  <r>
    <s v="ORD-2024-909942"/>
    <d v="2024-06-09T00:00:00"/>
    <d v="2024-07-07T00:00:00"/>
    <n v="28"/>
    <x v="1"/>
    <s v="China"/>
    <s v="Shenzhen"/>
    <s v="Corporate"/>
    <s v="Online"/>
    <x v="9"/>
    <s v="Components"/>
    <s v="CMP-6392"/>
    <n v="550.22"/>
    <n v="1025.05"/>
    <n v="1025.05"/>
    <n v="0"/>
    <n v="27"/>
    <n v="27676.35"/>
    <n v="14855.94"/>
    <n v="12820.409999999998"/>
    <n v="0.46322618408858102"/>
    <d v="2024-04-24T00:00:00"/>
    <s v="Q2-2024"/>
    <s v="Asia → China → Shenzhen"/>
    <s v="Medium"/>
    <d v="2024-06-01T00:00:00"/>
    <d v="2023-01-01T00:00:00"/>
    <n v="17"/>
    <n v="0"/>
    <n v="0"/>
  </r>
  <r>
    <s v="ORD-2024-468615"/>
    <d v="2024-07-09T00:00:00"/>
    <d v="2024-07-12T00:00:00"/>
    <n v="3"/>
    <x v="1"/>
    <s v="China"/>
    <s v="Shanghai"/>
    <s v="Small Business"/>
    <s v="Retail"/>
    <x v="0"/>
    <s v="Accessories"/>
    <s v="ACC-3721"/>
    <n v="748.39"/>
    <n v="979.42"/>
    <n v="979.42"/>
    <n v="0"/>
    <n v="23"/>
    <n v="22526.66"/>
    <n v="17212.97"/>
    <n v="5313.6899999999987"/>
    <n v="0.23588450307324738"/>
    <d v="2024-03-07T00:00:00"/>
    <s v="Q3-2024"/>
    <s v="Asia → China → Shanghai"/>
    <s v="Medium"/>
    <d v="2024-07-01T00:00:00"/>
    <d v="2023-01-01T00:00:00"/>
    <n v="18"/>
    <n v="1"/>
    <n v="0"/>
  </r>
  <r>
    <s v="ORD-2024-571797"/>
    <d v="2024-07-11T00:00:00"/>
    <d v="2024-07-31T00:00:00"/>
    <n v="20"/>
    <x v="1"/>
    <s v="China"/>
    <s v="Shenzhen"/>
    <s v="Consumer"/>
    <s v="Online"/>
    <x v="2"/>
    <s v="Phones"/>
    <s v="PHN-7815"/>
    <n v="647.26"/>
    <n v="1374.72"/>
    <n v="1374.72"/>
    <n v="6.6000000000000003E-2"/>
    <n v="22"/>
    <n v="28247.74656"/>
    <n v="14239.72"/>
    <n v="14008.02656"/>
    <n v="0.49589890401508901"/>
    <d v="2024-02-29T00:00:00"/>
    <s v="Q3-2024"/>
    <s v="Asia → China → Shenzhen"/>
    <s v="Medium"/>
    <d v="2024-07-01T00:00:00"/>
    <d v="2023-01-01T00:00:00"/>
    <n v="18"/>
    <n v="0"/>
    <n v="0"/>
  </r>
  <r>
    <s v="ORD-2024-581530"/>
    <d v="2024-09-07T00:00:00"/>
    <d v="2024-09-18T00:00:00"/>
    <n v="11"/>
    <x v="1"/>
    <s v="China"/>
    <s v="Beijing"/>
    <s v="Consumer"/>
    <s v="Distributor"/>
    <x v="13"/>
    <s v="Networking"/>
    <s v="NET-7998"/>
    <n v="181.74"/>
    <n v="190.84"/>
    <n v="190.84"/>
    <n v="0.214"/>
    <n v="13"/>
    <n v="1950.0031200000001"/>
    <n v="2362.62"/>
    <n v="-412.61687999999981"/>
    <n v="-0.21159806144310159"/>
    <d v="2024-01-11T00:00:00"/>
    <s v="Q3-2024"/>
    <s v="Asia → China → Beijing"/>
    <s v="Low"/>
    <d v="2024-09-01T00:00:00"/>
    <d v="2023-01-01T00:00:00"/>
    <n v="20"/>
    <n v="0"/>
    <n v="1"/>
  </r>
  <r>
    <s v="ORD-2024-988736"/>
    <d v="2024-09-09T00:00:00"/>
    <d v="2024-10-01T00:00:00"/>
    <n v="22"/>
    <x v="1"/>
    <s v="China"/>
    <s v="Shenzhen"/>
    <s v="Consumer"/>
    <s v="Direct"/>
    <x v="11"/>
    <s v="Printers"/>
    <s v="PRN-3014"/>
    <n v="1166.18"/>
    <n v="1335.02"/>
    <n v="1335.02"/>
    <n v="0.128"/>
    <n v="6"/>
    <n v="6984.8246399999998"/>
    <n v="6997.08"/>
    <n v="-12.25536000000011"/>
    <n v="-1.7545694604582242E-3"/>
    <d v="2024-01-28T00:00:00"/>
    <s v="Q3-2024"/>
    <s v="Asia → China → Shenzhen"/>
    <s v="Medium"/>
    <d v="2024-09-01T00:00:00"/>
    <d v="2023-01-01T00:00:00"/>
    <n v="20"/>
    <n v="0"/>
    <n v="0"/>
  </r>
  <r>
    <s v="ORD-2024-771210"/>
    <d v="2024-09-14T00:00:00"/>
    <d v="2024-10-05T00:00:00"/>
    <n v="21"/>
    <x v="1"/>
    <s v="China"/>
    <s v="Shanghai"/>
    <s v="Small Business"/>
    <s v="Online"/>
    <x v="15"/>
    <s v="Laptops"/>
    <s v="LAP-5150"/>
    <n v="1405.56"/>
    <n v="2968.87"/>
    <n v="2968.87"/>
    <n v="0.16900000000000001"/>
    <n v="5"/>
    <n v="12335.654849999999"/>
    <n v="7027.7999999999993"/>
    <n v="5307.8548499999997"/>
    <n v="0.4302856163327235"/>
    <d v="2024-01-01T00:00:00"/>
    <s v="Q3-2024"/>
    <s v="Asia → China → Shanghai"/>
    <s v="High"/>
    <d v="2024-09-01T00:00:00"/>
    <d v="2023-01-01T00:00:00"/>
    <n v="20"/>
    <n v="0"/>
    <n v="0"/>
  </r>
  <r>
    <s v="ORD-2024-237478"/>
    <d v="2024-10-03T00:00:00"/>
    <d v="2024-10-11T00:00:00"/>
    <n v="8"/>
    <x v="1"/>
    <s v="China"/>
    <s v="Beijing"/>
    <s v="Enterprise"/>
    <s v="Direct"/>
    <x v="7"/>
    <s v="Phones"/>
    <s v="PHN-7488"/>
    <n v="1132.6099999999999"/>
    <n v="2206.63"/>
    <n v="2206.63"/>
    <n v="6.3E-2"/>
    <n v="20"/>
    <n v="41352.246200000009"/>
    <n v="22652.199999999997"/>
    <n v="18700.046200000012"/>
    <n v="0.45221355351671338"/>
    <d v="2024-01-13T00:00:00"/>
    <s v="Q4-2024"/>
    <s v="Asia → China → Beijing"/>
    <s v="High"/>
    <d v="2024-10-01T00:00:00"/>
    <d v="2023-01-01T00:00:00"/>
    <n v="21"/>
    <n v="0"/>
    <n v="0"/>
  </r>
  <r>
    <s v="ORD-2024-720756"/>
    <d v="2024-10-11T00:00:00"/>
    <d v="2024-11-09T00:00:00"/>
    <n v="29"/>
    <x v="1"/>
    <s v="China"/>
    <s v="Shanghai"/>
    <s v="Non-Profit"/>
    <s v="Online"/>
    <x v="8"/>
    <s v="Printers"/>
    <s v="PRN-5666"/>
    <n v="391.64"/>
    <n v="504.76"/>
    <n v="504.76"/>
    <n v="4.0000000000000001E-3"/>
    <n v="13"/>
    <n v="6535.6324800000002"/>
    <n v="5091.32"/>
    <n v="1444.3124800000005"/>
    <n v="0.22099046793402319"/>
    <d v="2024-01-08T00:00:00"/>
    <s v="Q4-2024"/>
    <s v="Asia → China → Shanghai"/>
    <s v="Low"/>
    <d v="2024-10-01T00:00:00"/>
    <d v="2023-01-01T00:00:00"/>
    <n v="21"/>
    <n v="0"/>
    <n v="0"/>
  </r>
  <r>
    <s v="ORD-2024-732543"/>
    <d v="2024-10-24T00:00:00"/>
    <d v="2024-10-28T00:00:00"/>
    <n v="4"/>
    <x v="1"/>
    <s v="China"/>
    <s v="Shanghai"/>
    <s v="Small Business"/>
    <s v="Distributor"/>
    <x v="14"/>
    <s v="Networking"/>
    <s v="NET-3728"/>
    <n v="1331.77"/>
    <n v="2606.11"/>
    <n v="2606.11"/>
    <n v="0.02"/>
    <n v="6"/>
    <n v="15323.926799999999"/>
    <n v="7990.62"/>
    <n v="7333.3067999999994"/>
    <n v="0.47855271665745619"/>
    <d v="2023-12-19T00:00:00"/>
    <s v="Q4-2024"/>
    <s v="Asia → China → Shanghai"/>
    <s v="High"/>
    <d v="2024-10-01T00:00:00"/>
    <d v="2023-01-01T00:00:00"/>
    <n v="21"/>
    <n v="1"/>
    <n v="0"/>
  </r>
  <r>
    <s v="ORD-2024-357368"/>
    <d v="2024-10-30T00:00:00"/>
    <d v="2024-11-24T00:00:00"/>
    <n v="25"/>
    <x v="1"/>
    <s v="China"/>
    <s v="Shenzhen"/>
    <s v="Small Business"/>
    <s v="Online"/>
    <x v="6"/>
    <s v="Components"/>
    <s v="CMP-4610"/>
    <n v="811.05"/>
    <n v="1217.71"/>
    <n v="1217.71"/>
    <n v="7.1999999999999995E-2"/>
    <n v="5"/>
    <n v="5650.1744000000008"/>
    <n v="4055.25"/>
    <n v="1594.9244000000008"/>
    <n v="0.28227879125288602"/>
    <d v="2023-12-16T00:00:00"/>
    <s v="Q4-2024"/>
    <s v="Asia → China → Shenzhen"/>
    <s v="Medium"/>
    <d v="2024-10-01T00:00:00"/>
    <d v="2023-01-01T00:00:00"/>
    <n v="21"/>
    <n v="0"/>
    <n v="0"/>
  </r>
  <r>
    <s v="ORD-2024-961756"/>
    <d v="2024-11-25T00:00:00"/>
    <d v="2024-12-07T00:00:00"/>
    <n v="12"/>
    <x v="1"/>
    <s v="China"/>
    <s v="Shanghai"/>
    <s v="Corporate"/>
    <s v="Distributor"/>
    <x v="4"/>
    <s v="Accessories"/>
    <s v="ACC-7047"/>
    <n v="769.9"/>
    <n v="814.36"/>
    <n v="814.36"/>
    <n v="0"/>
    <n v="5"/>
    <n v="4071.8"/>
    <n v="3849.5"/>
    <n v="222.30000000000018"/>
    <n v="5.4595019401738831E-2"/>
    <d v="2023-10-22T00:00:00"/>
    <s v="Q4-2024"/>
    <s v="Asia → China → Shanghai"/>
    <s v="Low"/>
    <d v="2024-11-01T00:00:00"/>
    <d v="2023-01-01T00:00:00"/>
    <n v="22"/>
    <n v="0"/>
    <n v="0"/>
  </r>
  <r>
    <s v="ORD-2024-836421"/>
    <d v="2024-12-14T00:00:00"/>
    <d v="2025-01-12T00:00:00"/>
    <n v="29"/>
    <x v="1"/>
    <s v="China"/>
    <s v="Shenzhen"/>
    <s v="Education"/>
    <s v="Online"/>
    <x v="9"/>
    <s v="Components"/>
    <s v="CMP-3720"/>
    <n v="1412.15"/>
    <n v="1631.04"/>
    <n v="1631.04"/>
    <n v="8.9999999999999993E-3"/>
    <n v="6"/>
    <n v="9698.1638399999993"/>
    <n v="8472.9000000000015"/>
    <n v="1225.2638399999978"/>
    <n v="0.12633977526203535"/>
    <d v="2023-10-07T00:00:00"/>
    <s v="Q4-2024"/>
    <s v="Asia → China → Shenzhen"/>
    <s v="Medium"/>
    <d v="2024-12-01T00:00:00"/>
    <d v="2023-01-01T00:00:00"/>
    <n v="23"/>
    <n v="0"/>
    <n v="0"/>
  </r>
  <r>
    <s v="ORD-2024-800947"/>
    <d v="2024-12-15T00:00:00"/>
    <d v="2024-12-20T00:00:00"/>
    <n v="5"/>
    <x v="1"/>
    <s v="China"/>
    <s v="Shenzhen"/>
    <s v="Small Business"/>
    <s v="Direct"/>
    <x v="9"/>
    <s v="Networking"/>
    <s v="NET-1846"/>
    <n v="717.55"/>
    <n v="546.42999999999995"/>
    <n v="546.42999999999995"/>
    <n v="4.7E-2"/>
    <n v="18"/>
    <n v="9373.460219999999"/>
    <n v="12915.9"/>
    <n v="-3542.4397800000006"/>
    <n v="-0.37792231437026369"/>
    <d v="2023-10-21T00:00:00"/>
    <s v="Q4-2024"/>
    <s v="Asia → China → Shenzhen"/>
    <s v="Low"/>
    <d v="2024-12-01T00:00:00"/>
    <d v="2023-01-01T00:00:00"/>
    <n v="23"/>
    <n v="1"/>
    <n v="0"/>
  </r>
  <r>
    <s v="ORD-2024-651852"/>
    <d v="2024-12-28T00:00:00"/>
    <d v="2025-01-08T00:00:00"/>
    <n v="11"/>
    <x v="1"/>
    <s v="China"/>
    <s v="Shenzhen"/>
    <s v="Enterprise"/>
    <s v="Online"/>
    <x v="12"/>
    <s v="Laptops"/>
    <s v="LAP-8825"/>
    <n v="1201.31"/>
    <n v="2764.65"/>
    <n v="2764.65"/>
    <n v="0"/>
    <n v="21"/>
    <n v="58057.65"/>
    <n v="25227.51"/>
    <n v="32830.14"/>
    <n v="0.56547483406579491"/>
    <d v="2023-09-17T00:00:00"/>
    <s v="Q4-2024"/>
    <s v="Asia → China → Shenzhen"/>
    <s v="High"/>
    <d v="2024-12-01T00:00:00"/>
    <d v="2023-01-01T00:00:00"/>
    <n v="23"/>
    <n v="0"/>
    <n v="0"/>
  </r>
  <r>
    <s v="ORD-2025-354346"/>
    <d v="2025-01-09T00:00:00"/>
    <d v="2025-01-15T00:00:00"/>
    <n v="6"/>
    <x v="1"/>
    <s v="China"/>
    <s v="Beijing"/>
    <s v="Education"/>
    <s v="Online"/>
    <x v="5"/>
    <s v="Phones"/>
    <s v="PHN-2875"/>
    <n v="304.77999999999997"/>
    <n v="537.27"/>
    <n v="537.27"/>
    <n v="0.187"/>
    <n v="8"/>
    <n v="3494.4040799999998"/>
    <n v="2438.2399999999998"/>
    <n v="1056.16408"/>
    <n v="0.3022444044307549"/>
    <d v="2023-08-29T00:00:00"/>
    <s v="Q1-2025"/>
    <s v="Asia → China → Beijing"/>
    <s v="Low"/>
    <d v="2025-01-01T00:00:00"/>
    <d v="2023-01-01T00:00:00"/>
    <n v="24"/>
    <n v="1"/>
    <n v="0"/>
  </r>
  <r>
    <s v="ORD-2025-328504"/>
    <d v="2025-01-27T00:00:00"/>
    <d v="2025-02-15T00:00:00"/>
    <n v="19"/>
    <x v="1"/>
    <s v="China"/>
    <s v="Shenzhen"/>
    <s v="Non-Profit"/>
    <s v="Direct"/>
    <x v="11"/>
    <s v="Phones"/>
    <s v="PHN-8368"/>
    <n v="1253.22"/>
    <n v="3104.71"/>
    <n v="3104.71"/>
    <n v="0"/>
    <n v="17"/>
    <n v="52780.07"/>
    <n v="21304.74"/>
    <n v="31475.329999999998"/>
    <n v="0.59634877331538205"/>
    <d v="2023-08-12T00:00:00"/>
    <s v="Q1-2025"/>
    <s v="Asia → China → Shenzhen"/>
    <s v="High"/>
    <d v="2025-01-01T00:00:00"/>
    <d v="2023-01-01T00:00:00"/>
    <n v="24"/>
    <n v="0"/>
    <n v="0"/>
  </r>
  <r>
    <s v="ORD-2025-222035"/>
    <d v="2025-03-14T00:00:00"/>
    <d v="2025-04-08T00:00:00"/>
    <n v="25"/>
    <x v="1"/>
    <s v="China"/>
    <s v="Shanghai"/>
    <s v="Corporate"/>
    <s v="Distributor"/>
    <x v="0"/>
    <s v="Printers"/>
    <s v="PRN-5815"/>
    <n v="80.59"/>
    <n v="157.82"/>
    <n v="157.82"/>
    <n v="0.217"/>
    <n v="6"/>
    <n v="741.43835999999999"/>
    <n v="483.54"/>
    <n v="257.89835999999997"/>
    <n v="0.34783519967863541"/>
    <d v="2023-07-18T00:00:00"/>
    <s v="Q1-2025"/>
    <s v="Asia → China → Shanghai"/>
    <s v="Low"/>
    <d v="2025-03-01T00:00:00"/>
    <d v="2023-01-01T00:00:00"/>
    <n v="26"/>
    <n v="0"/>
    <n v="1"/>
  </r>
  <r>
    <s v="ORD-2025-331237"/>
    <d v="2025-03-24T00:00:00"/>
    <d v="2025-03-25T00:00:00"/>
    <n v="1"/>
    <x v="1"/>
    <s v="China"/>
    <s v="Beijing"/>
    <s v="Non-Profit"/>
    <s v="Online"/>
    <x v="2"/>
    <s v="Networking"/>
    <s v="NET-8329"/>
    <n v="1133.03"/>
    <n v="1921.51"/>
    <n v="1921.51"/>
    <n v="0.10100000000000001"/>
    <n v="5"/>
    <n v="8637.1874499999994"/>
    <n v="5665.15"/>
    <n v="2972.0374499999998"/>
    <n v="0.3440978289755654"/>
    <d v="2023-06-23T00:00:00"/>
    <s v="Q1-2025"/>
    <s v="Asia → China → Beijing"/>
    <s v="High"/>
    <d v="2025-03-01T00:00:00"/>
    <d v="2023-01-01T00:00:00"/>
    <n v="26"/>
    <n v="1"/>
    <n v="0"/>
  </r>
  <r>
    <s v="ORD-2025-509940"/>
    <d v="2025-05-16T00:00:00"/>
    <d v="2025-05-27T00:00:00"/>
    <n v="11"/>
    <x v="1"/>
    <s v="China"/>
    <s v="Beijing"/>
    <s v="Enterprise"/>
    <s v="Online"/>
    <x v="8"/>
    <s v="Phones"/>
    <s v="PHN-3800"/>
    <n v="918.12"/>
    <n v="1337.69"/>
    <n v="1337.69"/>
    <n v="9.5000000000000001E-2"/>
    <n v="8"/>
    <n v="9684.8756000000012"/>
    <n v="7344.96"/>
    <n v="2339.9156000000012"/>
    <n v="0.24160512707050164"/>
    <d v="2023-05-23T00:00:00"/>
    <s v="Q2-2025"/>
    <s v="Asia → China → Beijing"/>
    <s v="Medium"/>
    <d v="2025-05-01T00:00:00"/>
    <d v="2023-01-01T00:00:00"/>
    <n v="28"/>
    <n v="0"/>
    <n v="0"/>
  </r>
  <r>
    <s v="ORD-2025-718992"/>
    <d v="2025-06-24T00:00:00"/>
    <d v="2025-07-10T00:00:00"/>
    <n v="16"/>
    <x v="1"/>
    <s v="China"/>
    <s v="Shanghai"/>
    <s v="Enterprise"/>
    <s v="Direct"/>
    <x v="1"/>
    <s v="Components"/>
    <s v="CMP-8390"/>
    <n v="757.19"/>
    <n v="1735.41"/>
    <n v="1735.41"/>
    <n v="0.13600000000000001"/>
    <n v="8"/>
    <n v="11995.153920000001"/>
    <n v="6057.52"/>
    <n v="5937.6339200000002"/>
    <n v="0.4950027285685718"/>
    <d v="2023-04-13T00:00:00"/>
    <s v="Q2-2025"/>
    <s v="Asia → China → Shanghai"/>
    <s v="High"/>
    <d v="2025-06-01T00:00:00"/>
    <d v="2023-01-01T00:00:00"/>
    <n v="29"/>
    <n v="0"/>
    <n v="0"/>
  </r>
  <r>
    <s v="ORD-2025-188059"/>
    <d v="2025-06-27T00:00:00"/>
    <d v="2025-07-11T00:00:00"/>
    <n v="14"/>
    <x v="1"/>
    <s v="China"/>
    <s v="Shanghai"/>
    <s v="Small Business"/>
    <s v="Marketplace"/>
    <x v="11"/>
    <s v="Networking"/>
    <s v="NET-3535"/>
    <n v="1227.7"/>
    <n v="2197.23"/>
    <n v="2197.23"/>
    <n v="9.9000000000000005E-2"/>
    <n v="22"/>
    <n v="43553.493060000001"/>
    <n v="27009.4"/>
    <n v="16544.093059999999"/>
    <n v="0.37985685871873898"/>
    <d v="2023-04-12T00:00:00"/>
    <s v="Q2-2025"/>
    <s v="Asia → China → Shanghai"/>
    <s v="High"/>
    <d v="2025-06-01T00:00:00"/>
    <d v="2023-01-01T00:00:00"/>
    <n v="29"/>
    <n v="0"/>
    <n v="0"/>
  </r>
  <r>
    <s v="ORD-2025-779659"/>
    <d v="2025-07-03T00:00:00"/>
    <d v="2025-07-23T00:00:00"/>
    <n v="20"/>
    <x v="1"/>
    <s v="China"/>
    <s v="Beijing"/>
    <s v="Small Business"/>
    <s v="Online"/>
    <x v="3"/>
    <s v="Components"/>
    <s v="CMP-1220"/>
    <n v="647.36"/>
    <n v="1383.6"/>
    <n v="1383.6"/>
    <n v="7.3999999999999996E-2"/>
    <n v="12"/>
    <n v="15374.563199999999"/>
    <n v="7768.32"/>
    <n v="7606.243199999999"/>
    <n v="0.49472906000997802"/>
    <d v="2023-04-03T00:00:00"/>
    <s v="Q3-2025"/>
    <s v="Asia → China → Beijing"/>
    <s v="Medium"/>
    <d v="2025-07-01T00:00:00"/>
    <d v="2023-01-01T00:00:00"/>
    <n v="30"/>
    <n v="0"/>
    <n v="0"/>
  </r>
  <r>
    <s v="ORD-2025-541501"/>
    <d v="2025-07-22T00:00:00"/>
    <d v="2025-08-18T00:00:00"/>
    <n v="27"/>
    <x v="1"/>
    <s v="China"/>
    <s v="Shenzhen"/>
    <s v="Non-Profit"/>
    <s v="Marketplace"/>
    <x v="3"/>
    <s v="Networking"/>
    <s v="NET-1804"/>
    <n v="547.32000000000005"/>
    <n v="419.17"/>
    <n v="419.17"/>
    <n v="9.1999999999999998E-2"/>
    <n v="14"/>
    <n v="5328.4890400000004"/>
    <n v="7662.4800000000005"/>
    <n v="-2333.9909600000001"/>
    <n v="-0.43802116181137907"/>
    <d v="2023-03-14T00:00:00"/>
    <s v="Q3-2025"/>
    <s v="Asia → China → Shenzhen"/>
    <s v="Low"/>
    <d v="2025-07-01T00:00:00"/>
    <d v="2023-01-01T00:00:00"/>
    <n v="30"/>
    <n v="0"/>
    <n v="0"/>
  </r>
  <r>
    <s v="ORD-2025-418232"/>
    <d v="2025-08-01T00:00:00"/>
    <d v="2025-08-21T00:00:00"/>
    <n v="20"/>
    <x v="1"/>
    <s v="China"/>
    <s v="Shanghai"/>
    <s v="Corporate"/>
    <s v="Direct"/>
    <x v="14"/>
    <s v="Phones"/>
    <s v="PHN-9234"/>
    <n v="1220.4100000000001"/>
    <n v="2552.2199999999998"/>
    <n v="2552.2199999999998"/>
    <n v="0.18099999999999999"/>
    <n v="14"/>
    <n v="29263.754519999995"/>
    <n v="17085.740000000002"/>
    <n v="12178.014519999993"/>
    <n v="0.41614668793360271"/>
    <d v="2023-03-03T00:00:00"/>
    <s v="Q3-2025"/>
    <s v="Asia → China → Shanghai"/>
    <s v="High"/>
    <d v="2025-08-01T00:00:00"/>
    <d v="2023-01-01T00:00:00"/>
    <n v="31"/>
    <n v="0"/>
    <n v="0"/>
  </r>
  <r>
    <s v="ORD-2025-652467"/>
    <d v="2025-08-21T00:00:00"/>
    <d v="2025-09-12T00:00:00"/>
    <n v="22"/>
    <x v="1"/>
    <s v="China"/>
    <s v="Shenzhen"/>
    <s v="Education"/>
    <s v="Retail"/>
    <x v="7"/>
    <s v="Printers"/>
    <s v="PRN-8137"/>
    <n v="352.66"/>
    <n v="411.18"/>
    <n v="411.18"/>
    <n v="0.17299999999999999"/>
    <n v="13"/>
    <n v="4420.5961799999995"/>
    <n v="4584.58"/>
    <n v="-163.98382000000038"/>
    <n v="-3.7095408248758066E-2"/>
    <d v="2023-02-15T00:00:00"/>
    <s v="Q3-2025"/>
    <s v="Asia → China → Shenzhen"/>
    <s v="Low"/>
    <d v="2025-08-01T00:00:00"/>
    <d v="2023-01-01T00:00:00"/>
    <n v="31"/>
    <n v="0"/>
    <n v="0"/>
  </r>
  <r>
    <s v="ORD-2023-884192"/>
    <d v="2023-01-10T00:00:00"/>
    <d v="2023-01-29T00:00:00"/>
    <n v="19"/>
    <x v="2"/>
    <s v="France"/>
    <s v="Lyon"/>
    <s v="Non-Profit"/>
    <s v="Direct"/>
    <x v="0"/>
    <s v="Laptops"/>
    <s v="LAP-4551"/>
    <n v="401.66"/>
    <n v="772.09"/>
    <n v="772.09"/>
    <n v="8.8999999999999996E-2"/>
    <n v="14"/>
    <n v="9847.2358600000007"/>
    <n v="5623.2400000000007"/>
    <n v="4223.99586"/>
    <n v="0.42895244107619046"/>
    <d v="2025-09-10T00:00:00"/>
    <s v="Q1-2023"/>
    <s v="Europe → France → Lyon"/>
    <s v="Low"/>
    <d v="2023-01-01T00:00:00"/>
    <d v="2023-01-01T00:00:00"/>
    <n v="0"/>
    <n v="0"/>
    <n v="0"/>
  </r>
  <r>
    <s v="ORD-2023-888245"/>
    <d v="2023-02-27T00:00:00"/>
    <d v="2023-02-28T00:00:00"/>
    <n v="1"/>
    <x v="2"/>
    <s v="France"/>
    <s v="Marseille"/>
    <s v="Corporate"/>
    <s v="Retail"/>
    <x v="12"/>
    <s v="Networking"/>
    <s v="NET-5195"/>
    <n v="1299.81"/>
    <n v="3149.13"/>
    <n v="3149.13"/>
    <n v="0.10299999999999999"/>
    <n v="14"/>
    <n v="39546.774539999999"/>
    <n v="18197.34"/>
    <n v="21349.434539999998"/>
    <n v="0.53985273864511729"/>
    <d v="2025-08-07T00:00:00"/>
    <s v="Q1-2023"/>
    <s v="Europe → France → Marseille"/>
    <s v="High"/>
    <d v="2023-02-01T00:00:00"/>
    <d v="2023-01-01T00:00:00"/>
    <n v="1"/>
    <n v="1"/>
    <n v="0"/>
  </r>
  <r>
    <s v="ORD-2023-727290"/>
    <d v="2023-04-03T00:00:00"/>
    <d v="2023-04-16T00:00:00"/>
    <n v="13"/>
    <x v="2"/>
    <s v="France"/>
    <s v="Marseille"/>
    <s v="Non-Profit"/>
    <s v="Marketplace"/>
    <x v="3"/>
    <s v="Accessories"/>
    <s v="ACC-4815"/>
    <n v="790.54"/>
    <n v="601.49"/>
    <n v="601.49"/>
    <n v="0"/>
    <n v="15"/>
    <n v="9022.35"/>
    <n v="11858.099999999999"/>
    <n v="-2835.7499999999982"/>
    <n v="-0.31430281467688553"/>
    <d v="2025-07-16T00:00:00"/>
    <s v="Q2-2023"/>
    <s v="Europe → France → Marseille"/>
    <s v="Low"/>
    <d v="2023-04-01T00:00:00"/>
    <d v="2023-01-01T00:00:00"/>
    <n v="3"/>
    <n v="0"/>
    <n v="0"/>
  </r>
  <r>
    <s v="ORD-2023-867285"/>
    <d v="2023-04-12T00:00:00"/>
    <d v="2023-04-17T00:00:00"/>
    <n v="5"/>
    <x v="2"/>
    <s v="France"/>
    <s v="Lyon"/>
    <s v="Enterprise"/>
    <s v="Direct"/>
    <x v="6"/>
    <s v="Monitors"/>
    <s v="MON-3043"/>
    <n v="1087.81"/>
    <n v="2323.87"/>
    <n v="2323.87"/>
    <n v="9.4E-2"/>
    <n v="13"/>
    <n v="27370.540859999997"/>
    <n v="14141.529999999999"/>
    <n v="13229.010859999999"/>
    <n v="0.48333026839572651"/>
    <d v="2025-06-27T00:00:00"/>
    <s v="Q2-2023"/>
    <s v="Europe → France → Lyon"/>
    <s v="High"/>
    <d v="2023-04-01T00:00:00"/>
    <d v="2023-01-01T00:00:00"/>
    <n v="3"/>
    <n v="1"/>
    <n v="0"/>
  </r>
  <r>
    <s v="ORD-2023-867166"/>
    <d v="2023-04-13T00:00:00"/>
    <d v="2023-04-20T00:00:00"/>
    <n v="7"/>
    <x v="2"/>
    <s v="France"/>
    <s v="Lyon"/>
    <s v="Small Business"/>
    <s v="Online"/>
    <x v="4"/>
    <s v="Laptops"/>
    <s v="LAP-3565"/>
    <n v="227.02"/>
    <n v="434.72"/>
    <n v="434.72"/>
    <n v="9.8000000000000004E-2"/>
    <n v="10"/>
    <n v="3921.1744000000008"/>
    <n v="2270.2000000000003"/>
    <n v="1650.9744000000005"/>
    <n v="0.42104079838938052"/>
    <d v="2025-06-25T00:00:00"/>
    <s v="Q2-2023"/>
    <s v="Europe → France → Lyon"/>
    <s v="Low"/>
    <d v="2023-04-01T00:00:00"/>
    <d v="2023-01-01T00:00:00"/>
    <n v="3"/>
    <n v="1"/>
    <n v="0"/>
  </r>
  <r>
    <s v="ORD-2023-340056"/>
    <d v="2023-04-26T00:00:00"/>
    <d v="2023-04-26T00:00:00"/>
    <n v="0"/>
    <x v="2"/>
    <s v="France"/>
    <s v="Marseille"/>
    <s v="Consumer"/>
    <s v="Direct"/>
    <x v="3"/>
    <s v="Components"/>
    <s v="CMP-4945"/>
    <n v="81.489999999999995"/>
    <n v="113.08"/>
    <n v="113.08"/>
    <n v="0.121"/>
    <n v="5"/>
    <n v="496.98660000000001"/>
    <n v="407.45"/>
    <n v="89.536600000000021"/>
    <n v="0.18015898215364362"/>
    <d v="2025-06-05T00:00:00"/>
    <s v="Q2-2023"/>
    <s v="Europe → France → Marseille"/>
    <s v="Low"/>
    <d v="2023-04-01T00:00:00"/>
    <d v="2023-01-01T00:00:00"/>
    <n v="3"/>
    <n v="1"/>
    <n v="0"/>
  </r>
  <r>
    <s v="ORD-2023-399631"/>
    <d v="2023-06-22T00:00:00"/>
    <d v="2023-07-21T00:00:00"/>
    <n v="29"/>
    <x v="2"/>
    <s v="France"/>
    <s v="Lyon"/>
    <s v="Corporate"/>
    <s v="Retail"/>
    <x v="9"/>
    <s v="Accessories"/>
    <s v="ACC-3385"/>
    <n v="734.34"/>
    <n v="887.9"/>
    <n v="887.9"/>
    <n v="2.5000000000000001E-2"/>
    <n v="12"/>
    <n v="10388.429999999998"/>
    <n v="8812.08"/>
    <n v="1576.3499999999985"/>
    <n v="0.15174092716608753"/>
    <d v="2025-04-17T00:00:00"/>
    <s v="Q2-2023"/>
    <s v="Europe → France → Lyon"/>
    <s v="Medium"/>
    <d v="2023-06-01T00:00:00"/>
    <d v="2023-01-01T00:00:00"/>
    <n v="5"/>
    <n v="0"/>
    <n v="0"/>
  </r>
  <r>
    <s v="ORD-2023-215819"/>
    <d v="2023-07-01T00:00:00"/>
    <d v="2023-07-11T00:00:00"/>
    <n v="10"/>
    <x v="2"/>
    <s v="France"/>
    <s v="Paris"/>
    <s v="Corporate"/>
    <s v="Direct"/>
    <x v="8"/>
    <s v="Networking"/>
    <s v="NET-6533"/>
    <n v="479.5"/>
    <n v="656.66"/>
    <n v="656.66"/>
    <n v="0.14899999999999999"/>
    <n v="14"/>
    <n v="7823.4472399999995"/>
    <n v="6713"/>
    <n v="1110.4472399999995"/>
    <n v="0.14193835606412289"/>
    <d v="2025-03-21T00:00:00"/>
    <s v="Q3-2023"/>
    <s v="Europe → France → Paris"/>
    <s v="Low"/>
    <d v="2023-07-01T00:00:00"/>
    <d v="2023-01-01T00:00:00"/>
    <n v="6"/>
    <n v="0"/>
    <n v="0"/>
  </r>
  <r>
    <s v="ORD-2023-292714"/>
    <d v="2023-07-10T00:00:00"/>
    <d v="2023-08-01T00:00:00"/>
    <n v="22"/>
    <x v="2"/>
    <s v="France"/>
    <s v="Marseille"/>
    <s v="Consumer"/>
    <s v="Marketplace"/>
    <x v="7"/>
    <s v="Printers"/>
    <s v="PRN-1504"/>
    <n v="1303.56"/>
    <n v="1791.37"/>
    <n v="1791.37"/>
    <n v="0.126"/>
    <n v="22"/>
    <n v="34444.462359999998"/>
    <n v="28678.32"/>
    <n v="5766.142359999998"/>
    <n v="0.16740404596055358"/>
    <d v="2025-03-15T00:00:00"/>
    <s v="Q3-2023"/>
    <s v="Europe → France → Marseille"/>
    <s v="High"/>
    <d v="2023-07-01T00:00:00"/>
    <d v="2023-01-01T00:00:00"/>
    <n v="6"/>
    <n v="0"/>
    <n v="0"/>
  </r>
  <r>
    <s v="ORD-2023-451931"/>
    <d v="2023-07-30T00:00:00"/>
    <d v="2023-08-19T00:00:00"/>
    <n v="20"/>
    <x v="2"/>
    <s v="France"/>
    <s v="Paris"/>
    <s v="Enterprise"/>
    <s v="Marketplace"/>
    <x v="2"/>
    <s v="Networking"/>
    <s v="NET-5423"/>
    <n v="1418.51"/>
    <n v="2789.61"/>
    <n v="2789.61"/>
    <n v="0.17100000000000001"/>
    <n v="8"/>
    <n v="18500.693520000001"/>
    <n v="11348.08"/>
    <n v="7152.6135200000008"/>
    <n v="0.38661326464695689"/>
    <d v="2025-02-28T00:00:00"/>
    <s v="Q3-2023"/>
    <s v="Europe → France → Paris"/>
    <s v="High"/>
    <d v="2023-07-01T00:00:00"/>
    <d v="2023-01-01T00:00:00"/>
    <n v="6"/>
    <n v="0"/>
    <n v="0"/>
  </r>
  <r>
    <s v="ORD-2023-243704"/>
    <d v="2023-08-29T00:00:00"/>
    <d v="2023-09-19T00:00:00"/>
    <n v="21"/>
    <x v="2"/>
    <s v="France"/>
    <s v="Lyon"/>
    <s v="Small Business"/>
    <s v="Direct"/>
    <x v="7"/>
    <s v="Printers"/>
    <s v="PRN-7079"/>
    <n v="784.46"/>
    <n v="1843.51"/>
    <n v="1843.51"/>
    <n v="0.13800000000000001"/>
    <n v="23"/>
    <n v="36549.429260000004"/>
    <n v="18042.580000000002"/>
    <n v="18506.849260000003"/>
    <n v="0.50635125184441798"/>
    <d v="2025-01-17T00:00:00"/>
    <s v="Q3-2023"/>
    <s v="Europe → France → Lyon"/>
    <s v="High"/>
    <d v="2023-08-01T00:00:00"/>
    <d v="2023-01-01T00:00:00"/>
    <n v="7"/>
    <n v="0"/>
    <n v="0"/>
  </r>
  <r>
    <s v="ORD-2023-192324"/>
    <d v="2023-09-14T00:00:00"/>
    <d v="2023-09-16T00:00:00"/>
    <n v="2"/>
    <x v="2"/>
    <s v="France"/>
    <s v="Lyon"/>
    <s v="Non-Profit"/>
    <s v="Direct"/>
    <x v="7"/>
    <s v="Printers"/>
    <s v="PRN-4432"/>
    <n v="376.83"/>
    <n v="732.88"/>
    <n v="732.88"/>
    <n v="0.188"/>
    <n v="25"/>
    <n v="14877.464000000002"/>
    <n v="9420.75"/>
    <n v="5456.7140000000018"/>
    <n v="0.36677716040852132"/>
    <d v="2025-01-09T00:00:00"/>
    <s v="Q3-2023"/>
    <s v="Europe → France → Lyon"/>
    <s v="Low"/>
    <d v="2023-09-01T00:00:00"/>
    <d v="2023-01-01T00:00:00"/>
    <n v="8"/>
    <n v="1"/>
    <n v="0"/>
  </r>
  <r>
    <s v="ORD-2023-597666"/>
    <d v="2023-10-25T00:00:00"/>
    <d v="2023-11-24T00:00:00"/>
    <n v="30"/>
    <x v="2"/>
    <s v="France"/>
    <s v="Paris"/>
    <s v="Enterprise"/>
    <s v="Distributor"/>
    <x v="5"/>
    <s v="Phones"/>
    <s v="PHN-5938"/>
    <n v="287.85000000000002"/>
    <n v="602.91999999999996"/>
    <n v="602.91999999999996"/>
    <n v="0.222"/>
    <n v="11"/>
    <n v="5159.7893599999998"/>
    <n v="3166.3500000000004"/>
    <n v="1993.4393599999994"/>
    <n v="0.38634122847216373"/>
    <d v="2024-11-22T00:00:00"/>
    <s v="Q4-2023"/>
    <s v="Europe → France → Paris"/>
    <s v="Low"/>
    <d v="2023-10-01T00:00:00"/>
    <d v="2023-01-01T00:00:00"/>
    <n v="9"/>
    <n v="0"/>
    <n v="1"/>
  </r>
  <r>
    <s v="ORD-2023-576840"/>
    <d v="2023-11-19T00:00:00"/>
    <d v="2023-12-13T00:00:00"/>
    <n v="24"/>
    <x v="2"/>
    <s v="France"/>
    <s v="Lyon"/>
    <s v="Non-Profit"/>
    <s v="Direct"/>
    <x v="15"/>
    <s v="Monitors"/>
    <s v="MON-3745"/>
    <n v="1297.42"/>
    <n v="2742.97"/>
    <n v="2742.97"/>
    <n v="6.9000000000000006E-2"/>
    <n v="9"/>
    <n v="22983.34563"/>
    <n v="11676.78"/>
    <n v="11306.565629999999"/>
    <n v="0.49194602961727291"/>
    <d v="2024-11-07T00:00:00"/>
    <s v="Q4-2023"/>
    <s v="Europe → France → Lyon"/>
    <s v="High"/>
    <d v="2023-11-01T00:00:00"/>
    <d v="2023-01-01T00:00:00"/>
    <n v="10"/>
    <n v="0"/>
    <n v="0"/>
  </r>
  <r>
    <s v="ORD-2023-813340"/>
    <d v="2023-12-26T00:00:00"/>
    <d v="2024-01-03T00:00:00"/>
    <n v="8"/>
    <x v="2"/>
    <s v="France"/>
    <s v="Lyon"/>
    <s v="Small Business"/>
    <s v="Retail"/>
    <x v="3"/>
    <s v="Laptops"/>
    <s v="LAP-2942"/>
    <n v="492.75"/>
    <n v="731.29"/>
    <n v="731.29"/>
    <n v="5.8000000000000003E-2"/>
    <n v="6"/>
    <n v="4133.25108"/>
    <n v="2956.5"/>
    <n v="1176.75108"/>
    <n v="0.28470350753528384"/>
    <d v="2024-10-22T00:00:00"/>
    <s v="Q4-2023"/>
    <s v="Europe → France → Lyon"/>
    <s v="Low"/>
    <d v="2023-12-01T00:00:00"/>
    <d v="2023-01-01T00:00:00"/>
    <n v="11"/>
    <n v="0"/>
    <n v="0"/>
  </r>
  <r>
    <s v="ORD-2023-808024"/>
    <d v="2023-12-30T00:00:00"/>
    <d v="2024-01-08T00:00:00"/>
    <n v="9"/>
    <x v="2"/>
    <s v="France"/>
    <s v="Marseille"/>
    <s v="Consumer"/>
    <s v="Marketplace"/>
    <x v="11"/>
    <s v="Accessories"/>
    <s v="ACC-6594"/>
    <n v="861.1"/>
    <n v="1224.72"/>
    <n v="1224.72"/>
    <n v="0.17399999999999999"/>
    <n v="24"/>
    <n v="24278.849280000002"/>
    <n v="20666.400000000001"/>
    <n v="3612.4492800000007"/>
    <n v="0.14878997098827909"/>
    <d v="2024-10-02T00:00:00"/>
    <s v="Q4-2023"/>
    <s v="Europe → France → Marseille"/>
    <s v="Medium"/>
    <d v="2023-12-01T00:00:00"/>
    <d v="2023-01-01T00:00:00"/>
    <n v="11"/>
    <n v="0"/>
    <n v="0"/>
  </r>
  <r>
    <s v="ORD-2024-885858"/>
    <d v="2024-01-10T00:00:00"/>
    <d v="2024-01-23T00:00:00"/>
    <n v="13"/>
    <x v="2"/>
    <s v="France"/>
    <s v="Marseille"/>
    <s v="Corporate"/>
    <s v="Direct"/>
    <x v="4"/>
    <s v="Printers"/>
    <s v="PRN-6776"/>
    <n v="720"/>
    <n v="907.59"/>
    <n v="907.59"/>
    <n v="0.154"/>
    <n v="10"/>
    <n v="7678.2113999999992"/>
    <n v="7200"/>
    <n v="478.21139999999923"/>
    <n v="6.2281614179052078E-2"/>
    <d v="2024-10-08T00:00:00"/>
    <s v="Q1-2024"/>
    <s v="Europe → France → Marseille"/>
    <s v="Medium"/>
    <d v="2024-01-01T00:00:00"/>
    <d v="2023-01-01T00:00:00"/>
    <n v="12"/>
    <n v="0"/>
    <n v="0"/>
  </r>
  <r>
    <s v="ORD-2024-890180"/>
    <d v="2024-01-20T00:00:00"/>
    <d v="2024-02-13T00:00:00"/>
    <n v="24"/>
    <x v="2"/>
    <s v="France"/>
    <s v="Marseille"/>
    <s v="Corporate"/>
    <s v="Retail"/>
    <x v="15"/>
    <s v="Printers"/>
    <s v="PRN-8392"/>
    <n v="643.53"/>
    <n v="1439.01"/>
    <n v="1439.01"/>
    <n v="0"/>
    <n v="15"/>
    <n v="21585.15"/>
    <n v="9652.9499999999989"/>
    <n v="11932.200000000003"/>
    <n v="0.55279671440782208"/>
    <d v="2024-09-05T00:00:00"/>
    <s v="Q1-2024"/>
    <s v="Europe → France → Marseille"/>
    <s v="Medium"/>
    <d v="2024-01-01T00:00:00"/>
    <d v="2023-01-01T00:00:00"/>
    <n v="12"/>
    <n v="0"/>
    <n v="0"/>
  </r>
  <r>
    <s v="ORD-2024-764468"/>
    <d v="2024-02-01T00:00:00"/>
    <d v="2024-02-21T00:00:00"/>
    <n v="20"/>
    <x v="2"/>
    <s v="France"/>
    <s v="Paris"/>
    <s v="Small Business"/>
    <s v="Marketplace"/>
    <x v="4"/>
    <s v="Networking"/>
    <s v="NET-8761"/>
    <n v="656.2"/>
    <n v="1467.17"/>
    <n v="1467.17"/>
    <n v="1.7999999999999999E-2"/>
    <n v="5"/>
    <n v="7203.8047000000006"/>
    <n v="3281"/>
    <n v="3922.8047000000006"/>
    <n v="0.54454623124360946"/>
    <d v="2024-09-02T00:00:00"/>
    <s v="Q1-2024"/>
    <s v="Europe → France → Paris"/>
    <s v="Medium"/>
    <d v="2024-02-01T00:00:00"/>
    <d v="2023-01-01T00:00:00"/>
    <n v="13"/>
    <n v="0"/>
    <n v="0"/>
  </r>
  <r>
    <s v="ORD-2024-811752"/>
    <d v="2024-02-25T00:00:00"/>
    <d v="2024-03-09T00:00:00"/>
    <n v="13"/>
    <x v="2"/>
    <s v="France"/>
    <s v="Marseille"/>
    <s v="Small Business"/>
    <s v="Distributor"/>
    <x v="6"/>
    <s v="Monitors"/>
    <s v="MON-3350"/>
    <n v="322.44"/>
    <n v="395.61"/>
    <n v="395.61"/>
    <n v="0"/>
    <n v="34"/>
    <n v="13450.74"/>
    <n v="10962.96"/>
    <n v="2487.7800000000007"/>
    <n v="0.18495487980586947"/>
    <d v="2024-08-07T00:00:00"/>
    <s v="Q1-2024"/>
    <s v="Europe → France → Marseille"/>
    <s v="Low"/>
    <d v="2024-02-01T00:00:00"/>
    <d v="2023-01-01T00:00:00"/>
    <n v="13"/>
    <n v="0"/>
    <n v="0"/>
  </r>
  <r>
    <s v="ORD-2024-906395"/>
    <d v="2024-03-10T00:00:00"/>
    <d v="2024-04-09T00:00:00"/>
    <n v="30"/>
    <x v="2"/>
    <s v="France"/>
    <s v="Lyon"/>
    <s v="Corporate"/>
    <s v="Direct"/>
    <x v="14"/>
    <s v="Components"/>
    <s v="CMP-8002"/>
    <n v="1176.56"/>
    <n v="1911.89"/>
    <n v="1911.89"/>
    <n v="0.11899999999999999"/>
    <n v="20"/>
    <n v="33687.501800000005"/>
    <n v="23531.199999999997"/>
    <n v="10156.301800000008"/>
    <n v="0.30148575160892477"/>
    <d v="2024-07-24T00:00:00"/>
    <s v="Q1-2024"/>
    <s v="Europe → France → Lyon"/>
    <s v="High"/>
    <d v="2024-03-01T00:00:00"/>
    <d v="2023-01-01T00:00:00"/>
    <n v="14"/>
    <n v="0"/>
    <n v="0"/>
  </r>
  <r>
    <s v="ORD-2024-834983"/>
    <d v="2024-03-16T00:00:00"/>
    <d v="2024-04-13T00:00:00"/>
    <n v="28"/>
    <x v="2"/>
    <s v="France"/>
    <s v="Paris"/>
    <s v="Small Business"/>
    <s v="Online"/>
    <x v="12"/>
    <s v="Printers"/>
    <s v="PRN-8758"/>
    <n v="287.61"/>
    <n v="628.54"/>
    <n v="628.54"/>
    <n v="0.13500000000000001"/>
    <n v="21"/>
    <n v="11417.429099999999"/>
    <n v="6039.81"/>
    <n v="5377.619099999999"/>
    <n v="0.47100087531964613"/>
    <d v="2024-07-12T00:00:00"/>
    <s v="Q1-2024"/>
    <s v="Europe → France → Paris"/>
    <s v="Low"/>
    <d v="2024-03-01T00:00:00"/>
    <d v="2023-01-01T00:00:00"/>
    <n v="14"/>
    <n v="0"/>
    <n v="0"/>
  </r>
  <r>
    <s v="ORD-2024-332076"/>
    <d v="2024-04-09T00:00:00"/>
    <d v="2024-04-18T00:00:00"/>
    <n v="9"/>
    <x v="2"/>
    <s v="France"/>
    <s v="Lyon"/>
    <s v="Consumer"/>
    <s v="Online"/>
    <x v="6"/>
    <s v="Printers"/>
    <s v="PRN-1086"/>
    <n v="1288.8499999999999"/>
    <n v="2751.84"/>
    <n v="2751.84"/>
    <n v="0.158"/>
    <n v="7"/>
    <n v="16219.34496"/>
    <n v="9021.9499999999989"/>
    <n v="7197.3949600000014"/>
    <n v="0.44375373837538756"/>
    <d v="2024-06-06T00:00:00"/>
    <s v="Q2-2024"/>
    <s v="Europe → France → Lyon"/>
    <s v="High"/>
    <d v="2024-04-01T00:00:00"/>
    <d v="2023-01-01T00:00:00"/>
    <n v="15"/>
    <n v="0"/>
    <n v="0"/>
  </r>
  <r>
    <s v="ORD-2024-202166"/>
    <d v="2024-05-05T00:00:00"/>
    <d v="2024-05-18T00:00:00"/>
    <n v="13"/>
    <x v="2"/>
    <s v="France"/>
    <s v="Marseille"/>
    <s v="Corporate"/>
    <s v="Marketplace"/>
    <x v="4"/>
    <s v="Components"/>
    <s v="CMP-3313"/>
    <n v="1264.04"/>
    <n v="1870.89"/>
    <n v="1870.89"/>
    <n v="0"/>
    <n v="13"/>
    <n v="24321.57"/>
    <n v="16432.52"/>
    <n v="7889.0499999999993"/>
    <n v="0.32436433996653996"/>
    <d v="2024-06-07T00:00:00"/>
    <s v="Q2-2024"/>
    <s v="Europe → France → Marseille"/>
    <s v="High"/>
    <d v="2024-05-01T00:00:00"/>
    <d v="2023-01-01T00:00:00"/>
    <n v="16"/>
    <n v="0"/>
    <n v="0"/>
  </r>
  <r>
    <s v="ORD-2024-375848"/>
    <d v="2024-05-18T00:00:00"/>
    <d v="2024-05-21T00:00:00"/>
    <n v="3"/>
    <x v="2"/>
    <s v="France"/>
    <s v="Marseille"/>
    <s v="Non-Profit"/>
    <s v="Marketplace"/>
    <x v="0"/>
    <s v="Printers"/>
    <s v="PRN-1725"/>
    <n v="663.66"/>
    <n v="824.26"/>
    <n v="824.26"/>
    <n v="0.23899999999999999"/>
    <n v="11"/>
    <n v="6899.8804600000003"/>
    <n v="7300.2599999999993"/>
    <n v="-400.379539999999"/>
    <n v="-5.8027025587048933E-2"/>
    <d v="2024-05-14T00:00:00"/>
    <s v="Q2-2024"/>
    <s v="Europe → France → Marseille"/>
    <s v="Medium"/>
    <d v="2024-05-01T00:00:00"/>
    <d v="2023-01-01T00:00:00"/>
    <n v="16"/>
    <n v="1"/>
    <n v="1"/>
  </r>
  <r>
    <s v="ORD-2024-329104"/>
    <d v="2024-05-23T00:00:00"/>
    <d v="2024-06-14T00:00:00"/>
    <n v="22"/>
    <x v="2"/>
    <s v="France"/>
    <s v="Marseille"/>
    <s v="Small Business"/>
    <s v="Online"/>
    <x v="1"/>
    <s v="Monitors"/>
    <s v="MON-2100"/>
    <n v="1481.74"/>
    <n v="1848.97"/>
    <n v="1848.97"/>
    <n v="0.254"/>
    <n v="9"/>
    <n v="12413.98458"/>
    <n v="13335.66"/>
    <n v="-921.67541999999958"/>
    <n v="-7.4244930309072407E-2"/>
    <d v="2024-05-18T00:00:00"/>
    <s v="Q2-2024"/>
    <s v="Europe → France → Marseille"/>
    <s v="High"/>
    <d v="2024-05-01T00:00:00"/>
    <d v="2023-01-01T00:00:00"/>
    <n v="16"/>
    <n v="0"/>
    <n v="1"/>
  </r>
  <r>
    <s v="ORD-2024-892879"/>
    <d v="2024-07-09T00:00:00"/>
    <d v="2024-08-08T00:00:00"/>
    <n v="30"/>
    <x v="2"/>
    <s v="France"/>
    <s v="Marseille"/>
    <s v="Corporate"/>
    <s v="Direct"/>
    <x v="9"/>
    <s v="Components"/>
    <s v="CMP-5825"/>
    <n v="1062.3800000000001"/>
    <n v="1503.96"/>
    <n v="1503.96"/>
    <n v="0.18"/>
    <n v="6"/>
    <n v="7399.4832000000006"/>
    <n v="6374.2800000000007"/>
    <n v="1025.2031999999999"/>
    <n v="0.13855064905073369"/>
    <d v="2024-03-26T00:00:00"/>
    <s v="Q3-2024"/>
    <s v="Europe → France → Marseille"/>
    <s v="Medium"/>
    <d v="2024-07-01T00:00:00"/>
    <d v="2023-01-01T00:00:00"/>
    <n v="18"/>
    <n v="0"/>
    <n v="0"/>
  </r>
  <r>
    <s v="ORD-2024-398783"/>
    <d v="2024-07-18T00:00:00"/>
    <d v="2024-08-07T00:00:00"/>
    <n v="20"/>
    <x v="2"/>
    <s v="France"/>
    <s v="Marseille"/>
    <s v="Corporate"/>
    <s v="Retail"/>
    <x v="8"/>
    <s v="Monitors"/>
    <s v="MON-7622"/>
    <n v="941.35"/>
    <n v="899.83"/>
    <n v="899.83"/>
    <n v="5.8000000000000003E-2"/>
    <n v="18"/>
    <n v="15257.51748"/>
    <n v="16944.3"/>
    <n v="-1686.7825199999988"/>
    <n v="-0.11055419220139073"/>
    <d v="2024-03-09T00:00:00"/>
    <s v="Q3-2024"/>
    <s v="Europe → France → Marseille"/>
    <s v="Medium"/>
    <d v="2024-07-01T00:00:00"/>
    <d v="2023-01-01T00:00:00"/>
    <n v="18"/>
    <n v="0"/>
    <n v="0"/>
  </r>
  <r>
    <s v="ORD-2024-678110"/>
    <d v="2024-07-24T00:00:00"/>
    <d v="2024-08-08T00:00:00"/>
    <n v="15"/>
    <x v="2"/>
    <s v="France"/>
    <s v="Marseille"/>
    <s v="Enterprise"/>
    <s v="Marketplace"/>
    <x v="15"/>
    <s v="Laptops"/>
    <s v="LAP-9901"/>
    <n v="501.5"/>
    <n v="1201.47"/>
    <n v="1201.47"/>
    <n v="0.126"/>
    <n v="5"/>
    <n v="5250.4239000000007"/>
    <n v="2507.5"/>
    <n v="2742.9239000000007"/>
    <n v="0.52241951359394057"/>
    <d v="2024-02-27T00:00:00"/>
    <s v="Q3-2024"/>
    <s v="Europe → France → Marseille"/>
    <s v="Medium"/>
    <d v="2024-07-01T00:00:00"/>
    <d v="2023-01-01T00:00:00"/>
    <n v="18"/>
    <n v="0"/>
    <n v="0"/>
  </r>
  <r>
    <s v="ORD-2024-307849"/>
    <d v="2024-08-10T00:00:00"/>
    <d v="2024-09-07T00:00:00"/>
    <n v="28"/>
    <x v="2"/>
    <s v="France"/>
    <s v="Marseille"/>
    <s v="Non-Profit"/>
    <s v="Direct"/>
    <x v="8"/>
    <s v="Printers"/>
    <s v="PRN-1183"/>
    <n v="229.96"/>
    <n v="564.26"/>
    <n v="564.26"/>
    <n v="0.105"/>
    <n v="5"/>
    <n v="2525.0635000000002"/>
    <n v="1149.8"/>
    <n v="1375.2635000000002"/>
    <n v="0.54464511486542821"/>
    <d v="2024-02-19T00:00:00"/>
    <s v="Q3-2024"/>
    <s v="Europe → France → Marseille"/>
    <s v="Low"/>
    <d v="2024-08-01T00:00:00"/>
    <d v="2023-01-01T00:00:00"/>
    <n v="19"/>
    <n v="0"/>
    <n v="0"/>
  </r>
  <r>
    <s v="ORD-2024-792353"/>
    <d v="2024-08-19T00:00:00"/>
    <d v="2024-09-07T00:00:00"/>
    <n v="19"/>
    <x v="2"/>
    <s v="France"/>
    <s v="Lyon"/>
    <s v="Corporate"/>
    <s v="Direct"/>
    <x v="9"/>
    <s v="Components"/>
    <s v="CMP-5435"/>
    <n v="297.58999999999997"/>
    <n v="666.41"/>
    <n v="666.41"/>
    <n v="0"/>
    <n v="10"/>
    <n v="6664.0999999999995"/>
    <n v="2975.8999999999996"/>
    <n v="3688.2"/>
    <n v="0.55344307558409989"/>
    <d v="2024-02-06T00:00:00"/>
    <s v="Q3-2024"/>
    <s v="Europe → France → Lyon"/>
    <s v="Low"/>
    <d v="2024-08-01T00:00:00"/>
    <d v="2023-01-01T00:00:00"/>
    <n v="19"/>
    <n v="0"/>
    <n v="0"/>
  </r>
  <r>
    <s v="ORD-2024-756884"/>
    <d v="2024-10-13T00:00:00"/>
    <d v="2024-10-24T00:00:00"/>
    <n v="11"/>
    <x v="2"/>
    <s v="France"/>
    <s v="Paris"/>
    <s v="Education"/>
    <s v="Distributor"/>
    <x v="8"/>
    <s v="Components"/>
    <s v="CMP-5006"/>
    <n v="816.7"/>
    <n v="1010.75"/>
    <n v="1010.75"/>
    <n v="4.7E-2"/>
    <n v="43"/>
    <n v="41419.524249999995"/>
    <n v="35118.1"/>
    <n v="6301.4242499999964"/>
    <n v="0.15213656757537472"/>
    <d v="2023-12-30T00:00:00"/>
    <s v="Q4-2024"/>
    <s v="Europe → France → Paris"/>
    <s v="Medium"/>
    <d v="2024-10-01T00:00:00"/>
    <d v="2023-01-01T00:00:00"/>
    <n v="21"/>
    <n v="0"/>
    <n v="0"/>
  </r>
  <r>
    <s v="ORD-2024-766980"/>
    <d v="2024-11-04T00:00:00"/>
    <d v="2024-11-07T00:00:00"/>
    <n v="3"/>
    <x v="2"/>
    <s v="France"/>
    <s v="Lyon"/>
    <s v="Corporate"/>
    <s v="Online"/>
    <x v="13"/>
    <s v="Monitors"/>
    <s v="MON-1118"/>
    <n v="740.68"/>
    <n v="1837.19"/>
    <n v="1837.19"/>
    <n v="0.19700000000000001"/>
    <n v="17"/>
    <n v="25079.480689999997"/>
    <n v="12591.56"/>
    <n v="12487.920689999997"/>
    <n v="0.4979337827748298"/>
    <d v="2023-11-19T00:00:00"/>
    <s v="Q4-2024"/>
    <s v="Europe → France → Lyon"/>
    <s v="High"/>
    <d v="2024-11-01T00:00:00"/>
    <d v="2023-01-01T00:00:00"/>
    <n v="22"/>
    <n v="1"/>
    <n v="0"/>
  </r>
  <r>
    <s v="ORD-2024-783321"/>
    <d v="2024-11-20T00:00:00"/>
    <d v="2024-12-15T00:00:00"/>
    <n v="25"/>
    <x v="2"/>
    <s v="France"/>
    <s v="Paris"/>
    <s v="Corporate"/>
    <s v="Online"/>
    <x v="2"/>
    <s v="Printers"/>
    <s v="PRN-4911"/>
    <n v="1203.58"/>
    <n v="1856.16"/>
    <n v="1856.16"/>
    <n v="0.129"/>
    <n v="22"/>
    <n v="35567.737920000007"/>
    <n v="26478.76"/>
    <n v="9088.9779200000085"/>
    <n v="0.25553994860295032"/>
    <d v="2023-11-29T00:00:00"/>
    <s v="Q4-2024"/>
    <s v="Europe → France → Paris"/>
    <s v="High"/>
    <d v="2024-11-01T00:00:00"/>
    <d v="2023-01-01T00:00:00"/>
    <n v="22"/>
    <n v="0"/>
    <n v="0"/>
  </r>
  <r>
    <s v="ORD-2024-192263"/>
    <d v="2024-11-21T00:00:00"/>
    <d v="2024-12-21T00:00:00"/>
    <n v="30"/>
    <x v="2"/>
    <s v="France"/>
    <s v="Marseille"/>
    <s v="Small Business"/>
    <s v="Direct"/>
    <x v="14"/>
    <s v="Monitors"/>
    <s v="MON-7943"/>
    <n v="1122.68"/>
    <n v="1997.19"/>
    <n v="1997.19"/>
    <n v="0.186"/>
    <n v="3"/>
    <n v="4877.1379800000004"/>
    <n v="3368.04"/>
    <n v="1509.0979800000005"/>
    <n v="0.30942285951073306"/>
    <d v="2023-11-10T00:00:00"/>
    <s v="Q4-2024"/>
    <s v="Europe → France → Marseille"/>
    <s v="High"/>
    <d v="2024-11-01T00:00:00"/>
    <d v="2023-01-01T00:00:00"/>
    <n v="22"/>
    <n v="0"/>
    <n v="0"/>
  </r>
  <r>
    <s v="ORD-2024-788105"/>
    <d v="2024-11-30T00:00:00"/>
    <d v="2024-12-30T00:00:00"/>
    <n v="30"/>
    <x v="2"/>
    <s v="France"/>
    <s v="Marseille"/>
    <s v="Consumer"/>
    <s v="Marketplace"/>
    <x v="8"/>
    <s v="Printers"/>
    <s v="PRN-4170"/>
    <n v="117.64"/>
    <n v="175.67"/>
    <n v="175.67"/>
    <n v="0"/>
    <n v="10"/>
    <n v="1756.6999999999998"/>
    <n v="1176.4000000000001"/>
    <n v="580.29999999999973"/>
    <n v="0.33033528775545046"/>
    <d v="2023-10-15T00:00:00"/>
    <s v="Q4-2024"/>
    <s v="Europe → France → Marseille"/>
    <s v="Low"/>
    <d v="2024-11-01T00:00:00"/>
    <d v="2023-01-01T00:00:00"/>
    <n v="22"/>
    <n v="0"/>
    <n v="0"/>
  </r>
  <r>
    <s v="ORD-2024-382152"/>
    <d v="2024-12-08T00:00:00"/>
    <d v="2024-12-08T00:00:00"/>
    <n v="0"/>
    <x v="2"/>
    <s v="France"/>
    <s v="Lyon"/>
    <s v="Enterprise"/>
    <s v="Retail"/>
    <x v="15"/>
    <s v="Components"/>
    <s v="CMP-2335"/>
    <n v="257.44"/>
    <n v="290.33"/>
    <n v="290.33"/>
    <n v="9.1999999999999998E-2"/>
    <n v="23"/>
    <n v="6063.2517199999993"/>
    <n v="5921.12"/>
    <n v="142.1317199999994"/>
    <n v="2.3441500792581216E-2"/>
    <d v="2023-10-12T00:00:00"/>
    <s v="Q4-2024"/>
    <s v="Europe → France → Lyon"/>
    <s v="Low"/>
    <d v="2024-12-01T00:00:00"/>
    <d v="2023-01-01T00:00:00"/>
    <n v="23"/>
    <n v="1"/>
    <n v="0"/>
  </r>
  <r>
    <s v="ORD-2024-206081"/>
    <d v="2024-12-10T00:00:00"/>
    <d v="2025-01-08T00:00:00"/>
    <n v="29"/>
    <x v="2"/>
    <s v="France"/>
    <s v="Marseille"/>
    <s v="Small Business"/>
    <s v="Retail"/>
    <x v="12"/>
    <s v="Printers"/>
    <s v="PRN-6791"/>
    <n v="891.08"/>
    <n v="1040.0999999999999"/>
    <n v="1040.0999999999999"/>
    <n v="0.109"/>
    <n v="28"/>
    <n v="25948.414799999995"/>
    <n v="24950.240000000002"/>
    <n v="998.17479999999341"/>
    <n v="3.8467660074556598E-2"/>
    <d v="2023-10-04T00:00:00"/>
    <s v="Q4-2024"/>
    <s v="Europe → France → Marseille"/>
    <s v="Medium"/>
    <d v="2024-12-01T00:00:00"/>
    <d v="2023-01-01T00:00:00"/>
    <n v="23"/>
    <n v="0"/>
    <n v="0"/>
  </r>
  <r>
    <s v="ORD-2025-542939"/>
    <d v="2025-01-13T00:00:00"/>
    <d v="2025-02-08T00:00:00"/>
    <n v="26"/>
    <x v="2"/>
    <s v="France"/>
    <s v="Paris"/>
    <s v="Non-Profit"/>
    <m/>
    <x v="6"/>
    <s v="Monitors"/>
    <s v="MON-1593"/>
    <n v="594.74"/>
    <n v="1020.69"/>
    <n v="1020.69"/>
    <n v="0.21099999999999999"/>
    <n v="6"/>
    <n v="4831.9464600000001"/>
    <n v="3568.44"/>
    <n v="1263.5064600000001"/>
    <n v="0.26149016146176424"/>
    <d v="2023-09-08T00:00:00"/>
    <s v="Q1-2025"/>
    <s v="Europe → France → Paris"/>
    <s v="Medium"/>
    <d v="2025-01-01T00:00:00"/>
    <d v="2023-01-01T00:00:00"/>
    <n v="24"/>
    <n v="0"/>
    <n v="1"/>
  </r>
  <r>
    <s v="ORD-2025-578007"/>
    <d v="2025-01-21T00:00:00"/>
    <d v="2025-02-16T00:00:00"/>
    <n v="26"/>
    <x v="2"/>
    <s v="France"/>
    <s v="Lyon"/>
    <s v="Corporate"/>
    <s v="Distributor"/>
    <x v="13"/>
    <s v="Laptops"/>
    <s v="LAP-3779"/>
    <n v="204.11"/>
    <n v="236.87"/>
    <n v="236.87"/>
    <n v="0.182"/>
    <n v="13"/>
    <n v="2518.8755800000004"/>
    <n v="2653.4300000000003"/>
    <n v="-134.55441999999994"/>
    <n v="-5.3418446337075494E-2"/>
    <d v="2023-08-27T00:00:00"/>
    <s v="Q1-2025"/>
    <s v="Europe → France → Lyon"/>
    <s v="Low"/>
    <d v="2025-01-01T00:00:00"/>
    <d v="2023-01-01T00:00:00"/>
    <n v="24"/>
    <n v="0"/>
    <n v="0"/>
  </r>
  <r>
    <s v="ORD-2025-939953"/>
    <d v="2025-01-22T00:00:00"/>
    <d v="2025-01-22T00:00:00"/>
    <n v="0"/>
    <x v="2"/>
    <s v="France"/>
    <s v="Lyon"/>
    <s v="Small Business"/>
    <s v="Online"/>
    <x v="7"/>
    <s v="Accessories"/>
    <s v="ACC-5422"/>
    <n v="591.72"/>
    <n v="577.24"/>
    <n v="577.24"/>
    <n v="0"/>
    <n v="22"/>
    <n v="12699.28"/>
    <n v="13017.84"/>
    <n v="-318.55999999999949"/>
    <n v="-2.5084886702238195E-2"/>
    <d v="2023-08-15T00:00:00"/>
    <s v="Q1-2025"/>
    <s v="Europe → France → Lyon"/>
    <s v="Low"/>
    <d v="2025-01-01T00:00:00"/>
    <d v="2023-01-01T00:00:00"/>
    <n v="24"/>
    <n v="1"/>
    <n v="0"/>
  </r>
  <r>
    <s v="ORD-2025-281062"/>
    <d v="2025-02-15T00:00:00"/>
    <d v="2025-02-27T00:00:00"/>
    <n v="12"/>
    <x v="2"/>
    <s v="France"/>
    <s v="Lyon"/>
    <s v="Non-Profit"/>
    <s v="Direct"/>
    <x v="12"/>
    <s v="Accessories"/>
    <s v="ACC-1604"/>
    <n v="1027.26"/>
    <n v="2200.41"/>
    <n v="2200.41"/>
    <n v="8.7999999999999995E-2"/>
    <n v="6"/>
    <n v="12040.64352"/>
    <n v="6163.5599999999995"/>
    <n v="5877.0835200000001"/>
    <n v="0.48810377204822358"/>
    <d v="2023-08-02T00:00:00"/>
    <s v="Q1-2025"/>
    <s v="Europe → France → Lyon"/>
    <s v="High"/>
    <d v="2025-02-01T00:00:00"/>
    <d v="2023-01-01T00:00:00"/>
    <n v="25"/>
    <n v="0"/>
    <n v="0"/>
  </r>
  <r>
    <s v="ORD-2025-548982"/>
    <d v="2025-04-07T00:00:00"/>
    <d v="2025-04-11T00:00:00"/>
    <n v="4"/>
    <x v="2"/>
    <s v="France"/>
    <s v="Lyon"/>
    <s v="Education"/>
    <s v="Retail"/>
    <x v="6"/>
    <s v="Networking"/>
    <s v="NET-9716"/>
    <n v="754.77"/>
    <n v="1666.18"/>
    <n v="1666.18"/>
    <n v="0.13900000000000001"/>
    <n v="14"/>
    <n v="20084.133720000002"/>
    <n v="10566.779999999999"/>
    <n v="9517.3537200000028"/>
    <n v="0.47387424584424653"/>
    <d v="2023-06-20T00:00:00"/>
    <s v="Q2-2025"/>
    <s v="Europe → France → Lyon"/>
    <s v="High"/>
    <d v="2025-04-01T00:00:00"/>
    <d v="2023-01-01T00:00:00"/>
    <n v="27"/>
    <n v="1"/>
    <n v="0"/>
  </r>
  <r>
    <s v="ORD-2025-138578"/>
    <d v="2025-04-09T00:00:00"/>
    <d v="2025-04-12T00:00:00"/>
    <n v="3"/>
    <x v="2"/>
    <s v="France"/>
    <s v="Lyon"/>
    <s v="Small Business"/>
    <s v="Distributor"/>
    <x v="15"/>
    <s v="Monitors"/>
    <s v="MON-5276"/>
    <n v="86.68"/>
    <n v="213.32"/>
    <n v="213.32"/>
    <n v="3.7999999999999999E-2"/>
    <n v="8"/>
    <n v="1641.7107199999998"/>
    <n v="693.44"/>
    <n v="948.27071999999976"/>
    <n v="0.57761133459614611"/>
    <d v="2023-06-23T00:00:00"/>
    <s v="Q2-2025"/>
    <s v="Europe → France → Lyon"/>
    <s v="Low"/>
    <d v="2025-04-01T00:00:00"/>
    <d v="2023-01-01T00:00:00"/>
    <n v="27"/>
    <n v="1"/>
    <n v="0"/>
  </r>
  <r>
    <s v="ORD-2025-778145"/>
    <d v="2025-04-22T00:00:00"/>
    <d v="2025-05-12T00:00:00"/>
    <n v="20"/>
    <x v="2"/>
    <s v="France"/>
    <s v="Lyon"/>
    <s v="Enterprise"/>
    <s v="Marketplace"/>
    <x v="12"/>
    <s v="Monitors"/>
    <s v="MON-9216"/>
    <n v="59.51"/>
    <n v="67.040000000000006"/>
    <n v="67.040000000000006"/>
    <n v="0.114"/>
    <n v="9"/>
    <n v="534.57695999999999"/>
    <n v="535.59"/>
    <n v="-1.0130400000000463"/>
    <n v="-1.8950311663264469E-3"/>
    <d v="2023-06-09T00:00:00"/>
    <s v="Q2-2025"/>
    <s v="Europe → France → Lyon"/>
    <s v="Low"/>
    <d v="2025-04-01T00:00:00"/>
    <d v="2023-01-01T00:00:00"/>
    <n v="27"/>
    <n v="0"/>
    <n v="0"/>
  </r>
  <r>
    <s v="ORD-2025-526650"/>
    <d v="2025-04-27T00:00:00"/>
    <d v="2025-05-25T00:00:00"/>
    <n v="28"/>
    <x v="2"/>
    <s v="France"/>
    <s v="Paris"/>
    <s v="Small Business"/>
    <s v="Marketplace"/>
    <x v="14"/>
    <s v="Phones"/>
    <s v="PHN-8350"/>
    <n v="603.45000000000005"/>
    <n v="1244.08"/>
    <n v="1244.08"/>
    <n v="0.2"/>
    <n v="11"/>
    <n v="10947.904"/>
    <n v="6637.9500000000007"/>
    <n v="4309.9539999999997"/>
    <n v="0.39367846119220623"/>
    <d v="2023-05-17T00:00:00"/>
    <s v="Q2-2025"/>
    <s v="Europe → France → Paris"/>
    <s v="Medium"/>
    <d v="2025-04-01T00:00:00"/>
    <d v="2023-01-01T00:00:00"/>
    <n v="27"/>
    <n v="0"/>
    <n v="0"/>
  </r>
  <r>
    <s v="ORD-2025-114382"/>
    <d v="2025-05-14T00:00:00"/>
    <d v="2025-05-24T00:00:00"/>
    <n v="10"/>
    <x v="2"/>
    <s v="France"/>
    <s v="Paris"/>
    <s v="Small Business"/>
    <s v="Marketplace"/>
    <x v="12"/>
    <s v="Components"/>
    <s v="CMP-2865"/>
    <n v="170.39"/>
    <n v="388.04"/>
    <n v="388.04"/>
    <n v="8.4000000000000005E-2"/>
    <n v="15"/>
    <n v="5331.6696000000002"/>
    <n v="2555.85"/>
    <n v="2775.8196000000003"/>
    <n v="0.52062858508711796"/>
    <d v="2023-05-10T00:00:00"/>
    <s v="Q2-2025"/>
    <s v="Europe → France → Paris"/>
    <s v="Low"/>
    <d v="2025-05-01T00:00:00"/>
    <d v="2023-01-01T00:00:00"/>
    <n v="28"/>
    <n v="0"/>
    <n v="0"/>
  </r>
  <r>
    <s v="ORD-2025-231184"/>
    <d v="2025-06-01T00:00:00"/>
    <d v="2025-06-06T00:00:00"/>
    <n v="5"/>
    <x v="2"/>
    <s v="France"/>
    <s v="Paris"/>
    <s v="Consumer"/>
    <s v="Distributor"/>
    <x v="2"/>
    <s v="Components"/>
    <s v="CMP-4093"/>
    <n v="379.45"/>
    <n v="742.23"/>
    <n v="742.23"/>
    <n v="0.09"/>
    <n v="13"/>
    <n v="8780.5809000000008"/>
    <n v="4932.8499999999995"/>
    <n v="3847.7309000000014"/>
    <n v="0.43820915083192286"/>
    <d v="2023-05-06T00:00:00"/>
    <s v="Q2-2025"/>
    <s v="Europe → France → Paris"/>
    <s v="Low"/>
    <d v="2025-06-01T00:00:00"/>
    <d v="2023-01-01T00:00:00"/>
    <n v="29"/>
    <n v="1"/>
    <n v="0"/>
  </r>
  <r>
    <s v="ORD-2025-639542"/>
    <d v="2025-06-09T00:00:00"/>
    <d v="2025-06-18T00:00:00"/>
    <n v="9"/>
    <x v="2"/>
    <s v="France"/>
    <s v="Marseille"/>
    <s v="Small Business"/>
    <s v="Marketplace"/>
    <x v="15"/>
    <s v="Accessories"/>
    <s v="ACC-1770"/>
    <n v="1225.5"/>
    <n v="-5.27"/>
    <n v="5.27"/>
    <n v="7.4999999999999997E-2"/>
    <n v="56"/>
    <n v="272.98599999999999"/>
    <n v="68628"/>
    <n v="-68355.013999999996"/>
    <n v="-250.39750756449047"/>
    <d v="2023-04-19T00:00:00"/>
    <s v="Q2-2025"/>
    <s v="Europe → France → Marseille"/>
    <s v="Low"/>
    <d v="2025-06-01T00:00:00"/>
    <d v="2023-01-01T00:00:00"/>
    <n v="29"/>
    <n v="0"/>
    <n v="0"/>
  </r>
  <r>
    <s v="ORD-2025-856556"/>
    <d v="2025-06-15T00:00:00"/>
    <d v="2025-07-12T00:00:00"/>
    <n v="27"/>
    <x v="2"/>
    <s v="France"/>
    <s v="Marseille"/>
    <s v="Consumer"/>
    <s v="Direct"/>
    <x v="5"/>
    <s v="Accessories"/>
    <s v="ACC-7906"/>
    <n v="318.83"/>
    <n v="699.5"/>
    <n v="699.5"/>
    <n v="0.08"/>
    <n v="13"/>
    <n v="8366.02"/>
    <n v="4144.79"/>
    <n v="4221.2300000000005"/>
    <n v="0.50456848059172699"/>
    <d v="2023-04-13T00:00:00"/>
    <s v="Q2-2025"/>
    <s v="Europe → France → Marseille"/>
    <s v="Low"/>
    <d v="2025-06-01T00:00:00"/>
    <d v="2023-01-01T00:00:00"/>
    <n v="29"/>
    <n v="0"/>
    <n v="0"/>
  </r>
  <r>
    <s v="ORD-2025-189846"/>
    <d v="2025-08-11T00:00:00"/>
    <d v="2025-08-28T00:00:00"/>
    <n v="17"/>
    <x v="2"/>
    <s v="France"/>
    <s v="Paris"/>
    <s v="Education"/>
    <s v="Online"/>
    <x v="8"/>
    <s v="Networking"/>
    <s v="NET-6218"/>
    <n v="416.16"/>
    <n v="571.9"/>
    <n v="571.9"/>
    <n v="7.0999999999999994E-2"/>
    <n v="2"/>
    <n v="1062.5902000000001"/>
    <n v="832.32"/>
    <n v="230.27020000000005"/>
    <n v="0.21670649701079497"/>
    <d v="2023-02-20T00:00:00"/>
    <s v="Q3-2025"/>
    <s v="Europe → France → Paris"/>
    <s v="Low"/>
    <d v="2025-08-01T00:00:00"/>
    <d v="2023-01-01T00:00:00"/>
    <n v="31"/>
    <n v="0"/>
    <n v="0"/>
  </r>
  <r>
    <s v="ORD-2025-683043"/>
    <d v="2025-08-13T00:00:00"/>
    <d v="2025-09-03T00:00:00"/>
    <n v="21"/>
    <x v="2"/>
    <s v="France"/>
    <s v="Paris"/>
    <s v="Education"/>
    <s v="Retail"/>
    <x v="14"/>
    <s v="Phones"/>
    <s v="PHN-9465"/>
    <n v="603.47"/>
    <n v="1344.05"/>
    <n v="1344.05"/>
    <n v="0.20499999999999999"/>
    <n v="18"/>
    <n v="19233.355499999998"/>
    <n v="10862.460000000001"/>
    <n v="8370.8954999999969"/>
    <n v="0.43522803392262976"/>
    <d v="2023-02-05T00:00:00"/>
    <s v="Q3-2025"/>
    <s v="Europe → France → Paris"/>
    <s v="Medium"/>
    <d v="2025-08-01T00:00:00"/>
    <d v="2023-01-01T00:00:00"/>
    <n v="31"/>
    <n v="0"/>
    <n v="1"/>
  </r>
  <r>
    <s v="ORD-2025-993993"/>
    <d v="2025-08-30T00:00:00"/>
    <d v="2025-09-22T00:00:00"/>
    <n v="23"/>
    <x v="2"/>
    <s v="France"/>
    <s v="Marseille"/>
    <s v="Corporate"/>
    <s v="Direct"/>
    <x v="6"/>
    <s v="Components"/>
    <s v="CMP-5311"/>
    <n v="663.9"/>
    <n v="947.77"/>
    <n v="947.77"/>
    <n v="0.17399999999999999"/>
    <n v="15"/>
    <n v="11742.8703"/>
    <n v="9958.5"/>
    <n v="1784.3703000000005"/>
    <n v="0.1519535049280073"/>
    <d v="2023-02-07T00:00:00"/>
    <s v="Q3-2025"/>
    <s v="Europe → France → Marseille"/>
    <s v="Medium"/>
    <d v="2025-08-01T00:00:00"/>
    <d v="2023-01-01T00:00:00"/>
    <n v="31"/>
    <n v="0"/>
    <n v="0"/>
  </r>
  <r>
    <s v="ORD-2025-417336"/>
    <d v="2025-08-30T00:00:00"/>
    <d v="2025-09-03T00:00:00"/>
    <n v="4"/>
    <x v="2"/>
    <s v="France"/>
    <s v="Marseille"/>
    <s v="Small Business"/>
    <s v="Marketplace"/>
    <x v="9"/>
    <s v="Laptops"/>
    <s v="LAP-3220"/>
    <n v="1286.56"/>
    <n v="2777.35"/>
    <n v="2777.35"/>
    <n v="0.13200000000000001"/>
    <n v="15"/>
    <n v="36161.097000000002"/>
    <n v="19298.399999999998"/>
    <n v="16862.697000000004"/>
    <n v="0.46632150014696744"/>
    <d v="2023-02-08T00:00:00"/>
    <s v="Q3-2025"/>
    <s v="Europe → France → Marseille"/>
    <s v="High"/>
    <d v="2025-08-01T00:00:00"/>
    <d v="2023-01-01T00:00:00"/>
    <n v="31"/>
    <n v="1"/>
    <n v="0"/>
  </r>
  <r>
    <s v="ORD-2023-613317"/>
    <d v="2023-01-21T00:00:00"/>
    <d v="2023-01-22T00:00:00"/>
    <n v="1"/>
    <x v="2"/>
    <s v="Germany"/>
    <s v="Munich"/>
    <s v="Corporate"/>
    <s v="Direct"/>
    <x v="8"/>
    <s v="Monitors"/>
    <s v="MON-2537"/>
    <n v="150.86000000000001"/>
    <n v="346.96"/>
    <n v="346.96"/>
    <n v="0.19600000000000001"/>
    <n v="8"/>
    <n v="2231.6467200000002"/>
    <n v="1206.8800000000001"/>
    <n v="1024.7667200000001"/>
    <n v="0.45919755614365343"/>
    <d v="2025-09-14T00:00:00"/>
    <s v="Q1-2023"/>
    <s v="Europe → Germany → Munich"/>
    <s v="Low"/>
    <d v="2023-01-01T00:00:00"/>
    <d v="2023-01-01T00:00:00"/>
    <n v="0"/>
    <n v="1"/>
    <n v="0"/>
  </r>
  <r>
    <s v="ORD-2023-811823"/>
    <d v="2023-01-26T00:00:00"/>
    <d v="2023-02-15T00:00:00"/>
    <n v="20"/>
    <x v="2"/>
    <s v="Germany"/>
    <s v="Berlin"/>
    <s v="Small Business"/>
    <s v="Online"/>
    <x v="13"/>
    <s v="Networking"/>
    <s v="NET-8787"/>
    <n v="492.62"/>
    <n v="366.7"/>
    <n v="366.7"/>
    <n v="8.8999999999999996E-2"/>
    <n v="10"/>
    <n v="3340.6370000000002"/>
    <n v="4926.2"/>
    <n v="-1585.5629999999996"/>
    <n v="-0.47462894052840809"/>
    <d v="2025-09-15T00:00:00"/>
    <s v="Q1-2023"/>
    <s v="Europe → Germany → Berlin"/>
    <s v="Low"/>
    <d v="2023-01-01T00:00:00"/>
    <d v="2023-01-01T00:00:00"/>
    <n v="0"/>
    <n v="0"/>
    <n v="0"/>
  </r>
  <r>
    <s v="ORD-2023-575584"/>
    <d v="2023-01-30T00:00:00"/>
    <d v="2023-02-21T00:00:00"/>
    <n v="22"/>
    <x v="2"/>
    <s v="Germany"/>
    <s v="Munich"/>
    <s v="Small Business"/>
    <s v="Marketplace"/>
    <x v="2"/>
    <s v="Networking"/>
    <s v="NET-3460"/>
    <n v="1142.8800000000001"/>
    <n v="1465.29"/>
    <n v="1465.29"/>
    <n v="0.186"/>
    <n v="7"/>
    <n v="8349.2224200000001"/>
    <n v="8000.1600000000008"/>
    <n v="349.06241999999929"/>
    <n v="4.1807775915017401E-2"/>
    <d v="2025-08-21T00:00:00"/>
    <s v="Q1-2023"/>
    <s v="Europe → Germany → Munich"/>
    <s v="Medium"/>
    <d v="2023-01-01T00:00:00"/>
    <d v="2023-01-01T00:00:00"/>
    <n v="0"/>
    <n v="0"/>
    <n v="0"/>
  </r>
  <r>
    <s v="ORD-2023-884625"/>
    <d v="2023-02-19T00:00:00"/>
    <d v="2023-03-12T00:00:00"/>
    <n v="21"/>
    <x v="2"/>
    <s v="Germany"/>
    <s v="Berlin"/>
    <s v="Small Business"/>
    <s v="Direct"/>
    <x v="11"/>
    <s v="Monitors"/>
    <s v="MON-6699"/>
    <n v="1234.81"/>
    <n v="2055.2399999999998"/>
    <n v="2055.2399999999998"/>
    <n v="5.2999999999999999E-2"/>
    <n v="44"/>
    <n v="85637.740319999997"/>
    <n v="54331.64"/>
    <n v="31306.100319999998"/>
    <n v="0.36556429680441616"/>
    <d v="2025-08-13T00:00:00"/>
    <s v="Q1-2023"/>
    <s v="Europe → Germany → Berlin"/>
    <s v="High"/>
    <d v="2023-02-01T00:00:00"/>
    <d v="2023-01-01T00:00:00"/>
    <n v="1"/>
    <n v="0"/>
    <n v="0"/>
  </r>
  <r>
    <s v="ORD-2023-422918"/>
    <d v="2023-02-28T00:00:00"/>
    <d v="2023-03-20T00:00:00"/>
    <n v="20"/>
    <x v="2"/>
    <s v="Germany"/>
    <s v="Berlin"/>
    <s v="Small Business"/>
    <s v="Direct"/>
    <x v="15"/>
    <s v="Laptops"/>
    <s v="LAP-3679"/>
    <n v="1200.78"/>
    <n v="2001.17"/>
    <n v="2001.17"/>
    <n v="0.29199999999999998"/>
    <n v="18"/>
    <n v="25502.910479999999"/>
    <n v="21614.04"/>
    <n v="3888.8704799999978"/>
    <n v="0.15248732034132906"/>
    <d v="2025-07-22T00:00:00"/>
    <s v="Q1-2023"/>
    <s v="Europe → Germany → Berlin"/>
    <s v="High"/>
    <d v="2023-02-01T00:00:00"/>
    <d v="2023-01-01T00:00:00"/>
    <n v="1"/>
    <n v="0"/>
    <n v="1"/>
  </r>
  <r>
    <s v="ORD-2023-472078"/>
    <d v="2023-02-28T00:00:00"/>
    <d v="2023-03-06T00:00:00"/>
    <n v="6"/>
    <x v="2"/>
    <s v="Germany"/>
    <s v="Frankfurt"/>
    <s v="Small Business"/>
    <s v="Marketplace"/>
    <x v="0"/>
    <s v="Printers"/>
    <s v="PRN-9624"/>
    <n v="880.02"/>
    <n v="1251.21"/>
    <n v="1251.21"/>
    <n v="0.123"/>
    <n v="29"/>
    <n v="31822.023930000003"/>
    <n v="25520.579999999998"/>
    <n v="6301.4439300000049"/>
    <n v="0.19802146915172672"/>
    <d v="2025-07-23T00:00:00"/>
    <s v="Q1-2023"/>
    <s v="Europe → Germany → Frankfurt"/>
    <s v="Medium"/>
    <d v="2023-02-01T00:00:00"/>
    <d v="2023-01-01T00:00:00"/>
    <n v="1"/>
    <n v="1"/>
    <n v="0"/>
  </r>
  <r>
    <s v="ORD-2023-799597"/>
    <d v="2023-03-14T00:00:00"/>
    <d v="2023-03-18T00:00:00"/>
    <n v="4"/>
    <x v="2"/>
    <s v="Germany"/>
    <s v="Frankfurt"/>
    <s v="Enterprise"/>
    <s v="Direct"/>
    <x v="4"/>
    <s v="Components"/>
    <s v="CMP-8675"/>
    <n v="472.33"/>
    <n v="360.34"/>
    <n v="360.34"/>
    <n v="0.16500000000000001"/>
    <n v="14"/>
    <n v="4212.3745999999992"/>
    <n v="6612.62"/>
    <n v="-2400.2454000000007"/>
    <n v="-0.56980815523861561"/>
    <d v="2025-07-20T00:00:00"/>
    <s v="Q1-2023"/>
    <s v="Europe → Germany → Frankfurt"/>
    <s v="Low"/>
    <d v="2023-03-01T00:00:00"/>
    <d v="2023-01-01T00:00:00"/>
    <n v="2"/>
    <n v="1"/>
    <n v="0"/>
  </r>
  <r>
    <s v="ORD-2023-933238"/>
    <d v="2023-03-17T00:00:00"/>
    <d v="2023-04-06T00:00:00"/>
    <n v="20"/>
    <x v="2"/>
    <s v="Germany"/>
    <s v="Munich"/>
    <s v="Consumer"/>
    <s v="Retail"/>
    <x v="13"/>
    <s v="Phones"/>
    <s v="PHN-8483"/>
    <n v="692.18"/>
    <n v="1159.3499999999999"/>
    <n v="1159.3499999999999"/>
    <n v="0.112"/>
    <n v="2"/>
    <n v="2059.0056"/>
    <n v="1384.36"/>
    <n v="674.64560000000006"/>
    <n v="0.32765602968734037"/>
    <d v="2025-07-14T00:00:00"/>
    <s v="Q1-2023"/>
    <s v="Europe → Germany → Munich"/>
    <s v="Medium"/>
    <d v="2023-03-01T00:00:00"/>
    <d v="2023-01-01T00:00:00"/>
    <n v="2"/>
    <n v="0"/>
    <n v="0"/>
  </r>
  <r>
    <s v="ORD-2023-701153"/>
    <d v="2023-04-14T00:00:00"/>
    <d v="2023-05-13T00:00:00"/>
    <n v="29"/>
    <x v="2"/>
    <s v="Germany"/>
    <s v="Frankfurt"/>
    <s v="Consumer"/>
    <s v="Direct"/>
    <x v="9"/>
    <s v="Printers"/>
    <s v="PRN-7019"/>
    <n v="1320.33"/>
    <n v="2645.23"/>
    <n v="2645.23"/>
    <n v="0.155"/>
    <n v="25"/>
    <n v="55880.483749999999"/>
    <n v="33008.25"/>
    <n v="22872.233749999999"/>
    <n v="0.40930629470436536"/>
    <d v="2025-06-22T00:00:00"/>
    <s v="Q2-2023"/>
    <s v="Europe → Germany → Frankfurt"/>
    <s v="High"/>
    <d v="2023-04-01T00:00:00"/>
    <d v="2023-01-01T00:00:00"/>
    <n v="3"/>
    <n v="0"/>
    <n v="0"/>
  </r>
  <r>
    <s v="ORD-2023-609394"/>
    <d v="2023-04-16T00:00:00"/>
    <d v="2023-04-19T00:00:00"/>
    <n v="3"/>
    <x v="2"/>
    <s v="Germany"/>
    <s v="Munich"/>
    <s v="Corporate"/>
    <s v="Direct"/>
    <x v="7"/>
    <s v="Accessories"/>
    <s v="ACC-1731"/>
    <n v="553.61"/>
    <n v="699.47"/>
    <n v="699.47"/>
    <n v="0.02"/>
    <n v="33"/>
    <n v="22620.859800000002"/>
    <n v="18269.13"/>
    <n v="4351.729800000001"/>
    <n v="0.19237685209472014"/>
    <d v="2025-06-27T00:00:00"/>
    <s v="Q2-2023"/>
    <s v="Europe → Germany → Munich"/>
    <s v="Low"/>
    <d v="2023-04-01T00:00:00"/>
    <d v="2023-01-01T00:00:00"/>
    <n v="3"/>
    <n v="1"/>
    <n v="0"/>
  </r>
  <r>
    <s v="ORD-2023-390998"/>
    <d v="2023-04-19T00:00:00"/>
    <d v="2023-04-28T00:00:00"/>
    <n v="9"/>
    <x v="2"/>
    <s v="Germany"/>
    <s v="Berlin"/>
    <s v="Education"/>
    <s v="Online"/>
    <x v="6"/>
    <s v="Monitors"/>
    <s v="MON-1663"/>
    <n v="1178.42"/>
    <n v="2446.56"/>
    <n v="2446.56"/>
    <n v="2.9000000000000001E-2"/>
    <n v="11"/>
    <n v="26131.70736"/>
    <n v="12962.62"/>
    <n v="13169.08736"/>
    <n v="0.5039505141618883"/>
    <d v="2025-06-09T00:00:00"/>
    <s v="Q2-2023"/>
    <s v="Europe → Germany → Berlin"/>
    <s v="High"/>
    <d v="2023-04-01T00:00:00"/>
    <d v="2023-01-01T00:00:00"/>
    <n v="3"/>
    <n v="0"/>
    <n v="0"/>
  </r>
  <r>
    <s v="ORD-2023-521280"/>
    <d v="2023-05-27T00:00:00"/>
    <d v="2023-06-19T00:00:00"/>
    <n v="23"/>
    <x v="2"/>
    <s v="Germany"/>
    <s v="Berlin"/>
    <s v="Education"/>
    <s v="Retail"/>
    <x v="13"/>
    <s v="Accessories"/>
    <s v="ACC-1882"/>
    <n v="1471.58"/>
    <n v="2576.65"/>
    <n v="2576.65"/>
    <n v="4.0000000000000001E-3"/>
    <n v="7"/>
    <n v="17964.4038"/>
    <n v="10301.06"/>
    <n v="7663.3438000000006"/>
    <n v="0.4265849223451546"/>
    <d v="2025-05-02T00:00:00"/>
    <s v="Q2-2023"/>
    <s v="Europe → Germany → Berlin"/>
    <s v="High"/>
    <d v="2023-05-01T00:00:00"/>
    <d v="2023-01-01T00:00:00"/>
    <n v="4"/>
    <n v="0"/>
    <n v="0"/>
  </r>
  <r>
    <s v="ORD-2023-349264"/>
    <d v="2023-06-01T00:00:00"/>
    <d v="2023-06-08T00:00:00"/>
    <n v="7"/>
    <x v="2"/>
    <s v="Germany"/>
    <s v="Frankfurt"/>
    <s v="Consumer"/>
    <s v="Online"/>
    <x v="4"/>
    <s v="Phones"/>
    <s v="PHN-1924"/>
    <n v="804.17"/>
    <n v="1072.29"/>
    <n v="1072.29"/>
    <n v="3.2000000000000001E-2"/>
    <n v="5"/>
    <n v="5189.8836000000001"/>
    <n v="4020.85"/>
    <n v="1169.0336000000002"/>
    <n v="0.2252523736755869"/>
    <d v="2025-04-22T00:00:00"/>
    <s v="Q2-2023"/>
    <s v="Europe → Germany → Frankfurt"/>
    <s v="Medium"/>
    <d v="2023-06-01T00:00:00"/>
    <d v="2023-01-01T00:00:00"/>
    <n v="5"/>
    <n v="1"/>
    <n v="0"/>
  </r>
  <r>
    <s v="ORD-2023-453699"/>
    <d v="2023-07-01T00:00:00"/>
    <d v="2023-07-08T00:00:00"/>
    <n v="7"/>
    <x v="2"/>
    <s v="Germany"/>
    <s v="Frankfurt"/>
    <s v="Small Business"/>
    <s v="Distributor"/>
    <x v="1"/>
    <s v="Laptops"/>
    <s v="LAP-4666"/>
    <n v="460.21"/>
    <n v="1139.1500000000001"/>
    <n v="1139.1500000000001"/>
    <n v="0.115"/>
    <n v="14"/>
    <n v="14114.068500000001"/>
    <n v="6442.94"/>
    <n v="7671.1285000000016"/>
    <n v="0.54350937151821255"/>
    <d v="2025-03-14T00:00:00"/>
    <s v="Q3-2023"/>
    <s v="Europe → Germany → Frankfurt"/>
    <s v="Medium"/>
    <d v="2023-07-01T00:00:00"/>
    <d v="2023-01-01T00:00:00"/>
    <n v="6"/>
    <n v="1"/>
    <n v="0"/>
  </r>
  <r>
    <s v="ORD-2023-235230"/>
    <d v="2023-08-30T00:00:00"/>
    <d v="2023-09-01T00:00:00"/>
    <n v="2"/>
    <x v="2"/>
    <s v="Germany"/>
    <s v="Munich"/>
    <s v="Corporate"/>
    <s v="Direct"/>
    <x v="1"/>
    <s v="Networking"/>
    <s v="NET-9989"/>
    <n v="44.42"/>
    <n v="41.9"/>
    <n v="41.9"/>
    <n v="0.14399999999999999"/>
    <n v="6"/>
    <n v="215.19839999999996"/>
    <n v="266.52"/>
    <n v="-51.321600000000018"/>
    <n v="-0.23848504449847224"/>
    <d v="2025-01-22T00:00:00"/>
    <s v="Q3-2023"/>
    <s v="Europe → Germany → Munich"/>
    <s v="Low"/>
    <d v="2023-08-01T00:00:00"/>
    <d v="2023-01-01T00:00:00"/>
    <n v="7"/>
    <n v="1"/>
    <n v="0"/>
  </r>
  <r>
    <s v="ORD-2023-191563"/>
    <d v="2023-11-30T00:00:00"/>
    <d v="2023-12-10T00:00:00"/>
    <n v="10"/>
    <x v="2"/>
    <s v="Germany"/>
    <s v="Munich"/>
    <s v="Small Business"/>
    <s v="Direct"/>
    <x v="8"/>
    <s v="Laptops"/>
    <s v="LAP-4899"/>
    <n v="174.74"/>
    <n v="415.96"/>
    <n v="415.96"/>
    <n v="0.125"/>
    <n v="21"/>
    <n v="7643.2649999999994"/>
    <n v="3669.54"/>
    <n v="3973.7249999999995"/>
    <n v="0.51989889137691803"/>
    <d v="2024-10-27T00:00:00"/>
    <s v="Q4-2023"/>
    <s v="Europe → Germany → Munich"/>
    <s v="Low"/>
    <d v="2023-11-01T00:00:00"/>
    <d v="2023-01-01T00:00:00"/>
    <n v="10"/>
    <n v="0"/>
    <n v="0"/>
  </r>
  <r>
    <s v="ORD-2023-212701"/>
    <d v="2023-12-02T00:00:00"/>
    <d v="2023-12-16T00:00:00"/>
    <n v="14"/>
    <x v="2"/>
    <s v="Germany"/>
    <s v="Frankfurt"/>
    <s v="Education"/>
    <s v="Direct"/>
    <x v="1"/>
    <s v="Monitors"/>
    <s v="MON-4278"/>
    <n v="879.08"/>
    <n v="1093.3900000000001"/>
    <n v="1093.3900000000001"/>
    <n v="0.113"/>
    <n v="17"/>
    <n v="16487.22781"/>
    <n v="14944.36"/>
    <n v="1542.8678099999997"/>
    <n v="9.3579577341935186E-2"/>
    <d v="2024-10-25T00:00:00"/>
    <s v="Q4-2023"/>
    <s v="Europe → Germany → Frankfurt"/>
    <s v="Medium"/>
    <d v="2023-12-01T00:00:00"/>
    <d v="2023-01-01T00:00:00"/>
    <n v="11"/>
    <n v="0"/>
    <n v="0"/>
  </r>
  <r>
    <s v="ORD-2023-961864"/>
    <d v="2023-12-07T00:00:00"/>
    <d v="2024-01-02T00:00:00"/>
    <n v="26"/>
    <x v="2"/>
    <s v="Germany"/>
    <s v="Frankfurt"/>
    <s v="Enterprise"/>
    <s v="Distributor"/>
    <x v="6"/>
    <s v="Components"/>
    <s v="CMP-1940"/>
    <n v="1071.99"/>
    <n v="2397.3000000000002"/>
    <n v="2397.3000000000002"/>
    <n v="6.2E-2"/>
    <n v="18"/>
    <n v="40476.013200000001"/>
    <n v="19295.82"/>
    <n v="21180.193200000002"/>
    <n v="0.52327765324476183"/>
    <d v="2024-11-05T00:00:00"/>
    <s v="Q4-2023"/>
    <s v="Europe → Germany → Frankfurt"/>
    <s v="High"/>
    <d v="2023-12-01T00:00:00"/>
    <d v="2023-01-01T00:00:00"/>
    <n v="11"/>
    <n v="0"/>
    <n v="0"/>
  </r>
  <r>
    <s v="ORD-2024-366010"/>
    <d v="2024-01-13T00:00:00"/>
    <d v="2024-02-05T00:00:00"/>
    <n v="23"/>
    <x v="2"/>
    <s v="Germany"/>
    <s v="Frankfurt"/>
    <s v="Education"/>
    <s v="Direct"/>
    <x v="7"/>
    <s v="Laptops"/>
    <s v="LAP-9931"/>
    <n v="1017.93"/>
    <n v="1529.14"/>
    <n v="1529.14"/>
    <n v="0.155"/>
    <n v="12"/>
    <n v="15505.479600000001"/>
    <n v="12215.16"/>
    <n v="3290.3196000000007"/>
    <n v="0.21220366508366503"/>
    <d v="2024-09-25T00:00:00"/>
    <s v="Q1-2024"/>
    <s v="Europe → Germany → Frankfurt"/>
    <s v="Medium"/>
    <d v="2024-01-01T00:00:00"/>
    <d v="2023-01-01T00:00:00"/>
    <n v="12"/>
    <n v="0"/>
    <n v="0"/>
  </r>
  <r>
    <s v="ORD-2024-749242"/>
    <d v="2024-01-16T00:00:00"/>
    <d v="2024-02-11T00:00:00"/>
    <n v="26"/>
    <x v="2"/>
    <s v="Germany"/>
    <s v="Frankfurt"/>
    <s v="Non-Profit"/>
    <s v="Distributor"/>
    <x v="6"/>
    <s v="Monitors"/>
    <s v="MON-4195"/>
    <n v="504.93"/>
    <n v="819.06"/>
    <n v="819.06"/>
    <n v="0.22600000000000001"/>
    <n v="15"/>
    <n v="9509.2865999999995"/>
    <n v="7573.95"/>
    <n v="1935.3365999999996"/>
    <n v="0.20352069312959814"/>
    <d v="2024-09-09T00:00:00"/>
    <s v="Q1-2024"/>
    <s v="Europe → Germany → Frankfurt"/>
    <s v="Medium"/>
    <d v="2024-01-01T00:00:00"/>
    <d v="2023-01-01T00:00:00"/>
    <n v="12"/>
    <n v="0"/>
    <n v="1"/>
  </r>
  <r>
    <s v="ORD-2024-210687"/>
    <d v="2024-01-28T00:00:00"/>
    <d v="2024-02-09T00:00:00"/>
    <n v="12"/>
    <x v="2"/>
    <s v="Germany"/>
    <s v="Berlin"/>
    <s v="Corporate"/>
    <s v="Online"/>
    <x v="2"/>
    <s v="Accessories"/>
    <s v="ACC-7938"/>
    <n v="644.16999999999996"/>
    <n v="700.12"/>
    <n v="700.12"/>
    <n v="6.0000000000000001E-3"/>
    <n v="23"/>
    <n v="16006.14344"/>
    <n v="14815.91"/>
    <n v="1190.23344"/>
    <n v="7.436103796405813E-2"/>
    <d v="2024-08-18T00:00:00"/>
    <s v="Q1-2024"/>
    <s v="Europe → Germany → Berlin"/>
    <s v="Low"/>
    <d v="2024-01-01T00:00:00"/>
    <d v="2023-01-01T00:00:00"/>
    <n v="12"/>
    <n v="0"/>
    <n v="0"/>
  </r>
  <r>
    <s v="ORD-2024-960952"/>
    <d v="2024-02-03T00:00:00"/>
    <d v="2024-02-21T00:00:00"/>
    <n v="18"/>
    <x v="2"/>
    <s v="Germany"/>
    <s v="Frankfurt"/>
    <s v="Corporate"/>
    <s v="Retail"/>
    <x v="15"/>
    <s v="Components"/>
    <s v="CMP-9264"/>
    <n v="39.229999999999997"/>
    <n v="30.09"/>
    <n v="30.09"/>
    <n v="0.17699999999999999"/>
    <n v="13"/>
    <n v="321.93290999999999"/>
    <n v="509.98999999999995"/>
    <n v="-188.05708999999996"/>
    <n v="-0.58414993981199359"/>
    <d v="2024-09-03T00:00:00"/>
    <s v="Q1-2024"/>
    <s v="Europe → Germany → Frankfurt"/>
    <s v="Low"/>
    <d v="2024-02-01T00:00:00"/>
    <d v="2023-01-01T00:00:00"/>
    <n v="13"/>
    <n v="0"/>
    <n v="0"/>
  </r>
  <r>
    <s v="ORD-2024-356812"/>
    <d v="2024-03-07T00:00:00"/>
    <d v="2024-04-03T00:00:00"/>
    <n v="27"/>
    <x v="2"/>
    <s v="Germany"/>
    <s v="Frankfurt"/>
    <s v="Corporate"/>
    <s v="Direct"/>
    <x v="3"/>
    <s v="Printers"/>
    <s v="PRN-6911"/>
    <n v="738.16"/>
    <n v="956.49"/>
    <n v="956.49"/>
    <n v="0.152"/>
    <n v="5"/>
    <n v="4055.5175999999997"/>
    <n v="3690.7999999999997"/>
    <n v="364.71759999999995"/>
    <n v="8.9931208780847108E-2"/>
    <d v="2024-07-13T00:00:00"/>
    <s v="Q1-2024"/>
    <s v="Europe → Germany → Frankfurt"/>
    <s v="Medium"/>
    <d v="2024-03-01T00:00:00"/>
    <d v="2023-01-01T00:00:00"/>
    <n v="14"/>
    <n v="0"/>
    <n v="0"/>
  </r>
  <r>
    <s v="ORD-2024-692673"/>
    <d v="2024-03-07T00:00:00"/>
    <d v="2024-03-25T00:00:00"/>
    <n v="18"/>
    <x v="2"/>
    <s v="Germany"/>
    <s v="Munich"/>
    <s v="Corporate"/>
    <s v="Online"/>
    <x v="7"/>
    <s v="Components"/>
    <s v="CMP-7617"/>
    <n v="712.84"/>
    <n v="927.51"/>
    <n v="927.51"/>
    <n v="0.24299999999999999"/>
    <n v="27"/>
    <n v="18957.37689"/>
    <n v="19246.68"/>
    <n v="-289.30311000000074"/>
    <n v="-1.5260714163076427E-2"/>
    <d v="2024-07-25T00:00:00"/>
    <s v="Q1-2024"/>
    <s v="Europe → Germany → Munich"/>
    <s v="Medium"/>
    <d v="2024-03-01T00:00:00"/>
    <d v="2023-01-01T00:00:00"/>
    <n v="14"/>
    <n v="0"/>
    <n v="1"/>
  </r>
  <r>
    <s v="ORD-2024-287210"/>
    <d v="2024-03-18T00:00:00"/>
    <d v="2024-03-21T00:00:00"/>
    <n v="3"/>
    <x v="2"/>
    <s v="Germany"/>
    <s v="Munich"/>
    <s v="Small Business"/>
    <s v="Online"/>
    <x v="3"/>
    <s v="Accessories"/>
    <s v="ACC-2761"/>
    <n v="910.63"/>
    <n v="1269.4000000000001"/>
    <n v="1269.4000000000001"/>
    <n v="6.8000000000000005E-2"/>
    <n v="9"/>
    <n v="10647.727199999999"/>
    <n v="8195.67"/>
    <n v="2452.0571999999993"/>
    <n v="0.23028925834989455"/>
    <d v="2024-07-09T00:00:00"/>
    <s v="Q1-2024"/>
    <s v="Europe → Germany → Munich"/>
    <s v="Medium"/>
    <d v="2024-03-01T00:00:00"/>
    <d v="2023-01-01T00:00:00"/>
    <n v="14"/>
    <n v="1"/>
    <n v="0"/>
  </r>
  <r>
    <s v="ORD-2024-745822"/>
    <d v="2024-03-31T00:00:00"/>
    <d v="2024-04-17T00:00:00"/>
    <n v="17"/>
    <x v="2"/>
    <s v="Germany"/>
    <s v="Frankfurt"/>
    <s v="Education"/>
    <s v="Direct"/>
    <x v="15"/>
    <s v="Monitors"/>
    <s v="MON-8651"/>
    <n v="1025.51"/>
    <n v="1436.54"/>
    <n v="1436.54"/>
    <n v="0.13900000000000001"/>
    <n v="28"/>
    <n v="34632.106319999999"/>
    <n v="28714.28"/>
    <n v="5917.8263200000001"/>
    <n v="0.17087688127656453"/>
    <d v="2024-06-25T00:00:00"/>
    <s v="Q1-2024"/>
    <s v="Europe → Germany → Frankfurt"/>
    <s v="Medium"/>
    <d v="2024-03-01T00:00:00"/>
    <d v="2023-01-01T00:00:00"/>
    <n v="14"/>
    <n v="0"/>
    <n v="0"/>
  </r>
  <r>
    <s v="ORD-2024-211453"/>
    <d v="2024-04-04T00:00:00"/>
    <d v="2024-04-24T00:00:00"/>
    <n v="20"/>
    <x v="2"/>
    <s v="Germany"/>
    <s v="Frankfurt"/>
    <s v="Non-Profit"/>
    <s v="Direct"/>
    <x v="13"/>
    <s v="Accessories"/>
    <s v="ACC-6543"/>
    <n v="683.42"/>
    <n v="951.51"/>
    <n v="951.51"/>
    <n v="0"/>
    <n v="14"/>
    <n v="13321.14"/>
    <n v="9567.8799999999992"/>
    <n v="3753.26"/>
    <n v="0.28175216235247136"/>
    <d v="2024-06-07T00:00:00"/>
    <s v="Q2-2024"/>
    <s v="Europe → Germany → Frankfurt"/>
    <s v="Medium"/>
    <d v="2024-04-01T00:00:00"/>
    <d v="2023-01-01T00:00:00"/>
    <n v="15"/>
    <n v="0"/>
    <n v="0"/>
  </r>
  <r>
    <s v="ORD-2024-855600"/>
    <d v="2024-04-29T00:00:00"/>
    <d v="2024-05-19T00:00:00"/>
    <n v="20"/>
    <x v="2"/>
    <s v="Germany"/>
    <s v="Frankfurt"/>
    <s v="Enterprise"/>
    <s v="Marketplace"/>
    <x v="5"/>
    <s v="Laptops"/>
    <s v="LAP-5009"/>
    <n v="668.97"/>
    <n v="1667.44"/>
    <n v="1667.44"/>
    <n v="3.4000000000000002E-2"/>
    <n v="15"/>
    <n v="24161.205600000001"/>
    <n v="10034.550000000001"/>
    <n v="14126.6556"/>
    <n v="0.58468339013679016"/>
    <d v="2024-06-02T00:00:00"/>
    <s v="Q2-2024"/>
    <s v="Europe → Germany → Frankfurt"/>
    <s v="High"/>
    <d v="2024-04-01T00:00:00"/>
    <d v="2023-01-01T00:00:00"/>
    <n v="15"/>
    <n v="0"/>
    <n v="0"/>
  </r>
  <r>
    <s v="ORD-2024-402240"/>
    <d v="2024-05-01T00:00:00"/>
    <d v="2024-05-26T00:00:00"/>
    <n v="25"/>
    <x v="2"/>
    <s v="Germany"/>
    <s v="Berlin"/>
    <s v="Non-Profit"/>
    <s v="Retail"/>
    <x v="7"/>
    <s v="Networking"/>
    <s v="NET-4228"/>
    <n v="930.71"/>
    <n v="1625.42"/>
    <n v="1625.42"/>
    <n v="0.13800000000000001"/>
    <n v="7"/>
    <n v="9807.7842799999999"/>
    <n v="6514.97"/>
    <n v="3292.8142799999996"/>
    <n v="0.33573477821231196"/>
    <d v="2024-05-23T00:00:00"/>
    <s v="Q2-2024"/>
    <s v="Europe → Germany → Berlin"/>
    <s v="Medium"/>
    <d v="2024-05-01T00:00:00"/>
    <d v="2023-01-01T00:00:00"/>
    <n v="16"/>
    <n v="0"/>
    <n v="0"/>
  </r>
  <r>
    <s v="ORD-2024-819979"/>
    <d v="2024-05-28T00:00:00"/>
    <d v="2024-06-18T00:00:00"/>
    <n v="21"/>
    <x v="2"/>
    <s v="Germany"/>
    <s v="Frankfurt"/>
    <s v="Small Business"/>
    <s v="Online"/>
    <x v="6"/>
    <s v="Phones"/>
    <s v="PHN-9399"/>
    <n v="986.85"/>
    <n v="2422.1"/>
    <n v="2422.1"/>
    <n v="7.5999999999999998E-2"/>
    <n v="10"/>
    <n v="22380.204000000002"/>
    <n v="9868.5"/>
    <n v="12511.704000000002"/>
    <n v="0.55905227673527913"/>
    <d v="2024-04-21T00:00:00"/>
    <s v="Q2-2024"/>
    <s v="Europe → Germany → Frankfurt"/>
    <s v="High"/>
    <d v="2024-05-01T00:00:00"/>
    <d v="2023-01-01T00:00:00"/>
    <n v="16"/>
    <n v="0"/>
    <n v="0"/>
  </r>
  <r>
    <s v="ORD-2024-584090"/>
    <d v="2024-06-07T00:00:00"/>
    <d v="2024-06-26T00:00:00"/>
    <n v="19"/>
    <x v="2"/>
    <s v="Germany"/>
    <s v="Berlin"/>
    <s v="Non-Profit"/>
    <s v="Marketplace"/>
    <x v="3"/>
    <s v="Components"/>
    <s v="CMP-2040"/>
    <n v="1064.32"/>
    <n v="1848.39"/>
    <n v="1848.39"/>
    <n v="7.2999999999999995E-2"/>
    <n v="38"/>
    <n v="65111.38614000001"/>
    <n v="40444.159999999996"/>
    <n v="24667.226140000013"/>
    <n v="0.3788465827921631"/>
    <d v="2024-04-19T00:00:00"/>
    <s v="Q2-2024"/>
    <s v="Europe → Germany → Berlin"/>
    <s v="High"/>
    <d v="2024-06-01T00:00:00"/>
    <d v="2023-01-01T00:00:00"/>
    <n v="17"/>
    <n v="0"/>
    <n v="0"/>
  </r>
  <r>
    <s v="ORD-2024-745424"/>
    <d v="2024-08-22T00:00:00"/>
    <d v="2024-09-04T00:00:00"/>
    <n v="13"/>
    <x v="2"/>
    <s v="Germany"/>
    <s v="Frankfurt"/>
    <s v="Non-Profit"/>
    <s v="Retail"/>
    <x v="11"/>
    <s v="Printers"/>
    <s v="PRN-4892"/>
    <n v="90.04"/>
    <n v="194.62"/>
    <n v="194.62"/>
    <n v="4.2999999999999997E-2"/>
    <n v="32"/>
    <n v="5960.04288"/>
    <n v="2881.28"/>
    <n v="3078.7628799999998"/>
    <n v="0.51656723650954672"/>
    <d v="2024-02-20T00:00:00"/>
    <s v="Q3-2024"/>
    <s v="Europe → Germany → Frankfurt"/>
    <s v="Low"/>
    <d v="2024-08-01T00:00:00"/>
    <d v="2023-01-01T00:00:00"/>
    <n v="19"/>
    <n v="0"/>
    <n v="0"/>
  </r>
  <r>
    <s v="ORD-2024-635626"/>
    <d v="2024-08-27T00:00:00"/>
    <d v="2024-09-19T00:00:00"/>
    <n v="23"/>
    <x v="2"/>
    <s v="Germany"/>
    <s v="Berlin"/>
    <s v="Small Business"/>
    <s v="Direct"/>
    <x v="0"/>
    <s v="Monitors"/>
    <s v="MON-9967"/>
    <n v="1024.01"/>
    <n v="1580.97"/>
    <n v="1580.97"/>
    <n v="3.6999999999999998E-2"/>
    <n v="27"/>
    <n v="41106.800970000004"/>
    <n v="27648.27"/>
    <n v="13458.530970000003"/>
    <n v="0.3274039976942531"/>
    <d v="2024-02-03T00:00:00"/>
    <s v="Q3-2024"/>
    <s v="Europe → Germany → Berlin"/>
    <s v="Medium"/>
    <d v="2024-08-01T00:00:00"/>
    <d v="2023-01-01T00:00:00"/>
    <n v="19"/>
    <n v="0"/>
    <n v="0"/>
  </r>
  <r>
    <s v="ORD-2024-381197"/>
    <d v="2024-11-01T00:00:00"/>
    <d v="2024-11-12T00:00:00"/>
    <n v="11"/>
    <x v="2"/>
    <s v="Germany"/>
    <s v="Frankfurt"/>
    <s v="Consumer"/>
    <s v="Online"/>
    <x v="7"/>
    <s v="Printers"/>
    <s v="PRN-2409"/>
    <n v="599.84"/>
    <n v="1330.85"/>
    <n v="1330.85"/>
    <n v="0.115"/>
    <n v="11"/>
    <n v="12955.824749999998"/>
    <n v="6598.2400000000007"/>
    <n v="6357.5847499999973"/>
    <n v="0.49071246892252063"/>
    <d v="2023-11-19T00:00:00"/>
    <s v="Q4-2024"/>
    <s v="Europe → Germany → Frankfurt"/>
    <s v="Medium"/>
    <d v="2024-11-01T00:00:00"/>
    <d v="2023-01-01T00:00:00"/>
    <n v="22"/>
    <n v="0"/>
    <n v="0"/>
  </r>
  <r>
    <s v="ORD-2024-866535"/>
    <d v="2024-12-04T00:00:00"/>
    <d v="2024-12-12T00:00:00"/>
    <n v="8"/>
    <x v="2"/>
    <s v="Germany"/>
    <s v="Frankfurt"/>
    <s v="Enterprise"/>
    <s v="Marketplace"/>
    <x v="7"/>
    <s v="Printers"/>
    <s v="PRN-5492"/>
    <n v="72.06"/>
    <n v="122.74"/>
    <n v="122.74"/>
    <n v="0.23799999999999999"/>
    <n v="8"/>
    <n v="748.22303999999997"/>
    <n v="576.48"/>
    <n v="171.74303999999995"/>
    <n v="0.22953455162246802"/>
    <d v="2023-10-31T00:00:00"/>
    <s v="Q4-2024"/>
    <s v="Europe → Germany → Frankfurt"/>
    <s v="Low"/>
    <d v="2024-12-01T00:00:00"/>
    <d v="2023-01-01T00:00:00"/>
    <n v="23"/>
    <n v="0"/>
    <n v="1"/>
  </r>
  <r>
    <s v="ORD-2024-289089"/>
    <d v="2024-12-17T00:00:00"/>
    <d v="2024-12-18T00:00:00"/>
    <n v="1"/>
    <x v="2"/>
    <s v="Germany"/>
    <s v="Munich"/>
    <s v="Education"/>
    <s v="Retail"/>
    <x v="11"/>
    <s v="Accessories"/>
    <s v="ACC-5780"/>
    <n v="346.82"/>
    <n v="701.95"/>
    <n v="701.95"/>
    <n v="0.14699999999999999"/>
    <n v="8"/>
    <n v="4790.1068000000005"/>
    <n v="2774.56"/>
    <n v="2015.5468000000005"/>
    <n v="0.42077283120284509"/>
    <d v="2023-10-11T00:00:00"/>
    <s v="Q4-2024"/>
    <s v="Europe → Germany → Munich"/>
    <s v="Low"/>
    <d v="2024-12-01T00:00:00"/>
    <d v="2023-01-01T00:00:00"/>
    <n v="23"/>
    <n v="1"/>
    <n v="0"/>
  </r>
  <r>
    <s v="ORD-2024-902741"/>
    <d v="2024-12-23T00:00:00"/>
    <d v="2025-01-11T00:00:00"/>
    <n v="19"/>
    <x v="2"/>
    <s v="Germany"/>
    <s v="Berlin"/>
    <s v="Education"/>
    <s v="Retail"/>
    <x v="12"/>
    <s v="Phones"/>
    <s v="PHN-8057"/>
    <n v="501.81"/>
    <n v="921.62"/>
    <n v="921.62"/>
    <n v="0.01"/>
    <n v="9"/>
    <n v="8211.6342000000004"/>
    <n v="4516.29"/>
    <n v="3695.3442000000005"/>
    <n v="0.45001325071202031"/>
    <d v="2023-09-25T00:00:00"/>
    <s v="Q4-2024"/>
    <s v="Europe → Germany → Berlin"/>
    <s v="Medium"/>
    <d v="2024-12-01T00:00:00"/>
    <d v="2023-01-01T00:00:00"/>
    <n v="23"/>
    <n v="0"/>
    <n v="0"/>
  </r>
  <r>
    <s v="ORD-2024-474999"/>
    <d v="2024-12-27T00:00:00"/>
    <d v="2025-01-02T00:00:00"/>
    <n v="6"/>
    <x v="2"/>
    <s v="Germany"/>
    <s v="Frankfurt"/>
    <s v="Education"/>
    <s v="Direct"/>
    <x v="8"/>
    <s v="Laptops"/>
    <s v="LAP-8214"/>
    <n v="1391.99"/>
    <n v="3469.7"/>
    <n v="3469.7"/>
    <n v="0.184"/>
    <n v="23"/>
    <n v="65119.329599999997"/>
    <n v="32015.77"/>
    <n v="33103.559599999993"/>
    <n v="0.50835227886006973"/>
    <d v="2023-09-30T00:00:00"/>
    <s v="Q4-2024"/>
    <s v="Europe → Germany → Frankfurt"/>
    <s v="High"/>
    <d v="2024-12-01T00:00:00"/>
    <d v="2023-01-01T00:00:00"/>
    <n v="23"/>
    <n v="1"/>
    <n v="0"/>
  </r>
  <r>
    <s v="ORD-2025-766923"/>
    <d v="2025-02-15T00:00:00"/>
    <d v="2025-02-15T00:00:00"/>
    <n v="0"/>
    <x v="2"/>
    <s v="Germany"/>
    <s v="Frankfurt"/>
    <s v="Small Business"/>
    <s v="Marketplace"/>
    <x v="11"/>
    <s v="Accessories"/>
    <s v="ACC-3989"/>
    <n v="815.83"/>
    <n v="1982.18"/>
    <n v="1982.18"/>
    <n v="0.127"/>
    <n v="6"/>
    <n v="10382.65884"/>
    <n v="4894.9800000000005"/>
    <n v="5487.6788399999996"/>
    <n v="0.52854272923408507"/>
    <d v="2023-07-24T00:00:00"/>
    <s v="Q1-2025"/>
    <s v="Europe → Germany → Frankfurt"/>
    <s v="High"/>
    <d v="2025-02-01T00:00:00"/>
    <d v="2023-01-01T00:00:00"/>
    <n v="25"/>
    <n v="1"/>
    <n v="0"/>
  </r>
  <r>
    <s v="ORD-2025-337268"/>
    <d v="2025-02-16T00:00:00"/>
    <d v="2025-03-17T00:00:00"/>
    <n v="29"/>
    <x v="2"/>
    <s v="Germany"/>
    <s v="Munich"/>
    <s v="Consumer"/>
    <s v="Retail"/>
    <x v="11"/>
    <s v="Accessories"/>
    <s v="ACC-5150"/>
    <n v="730.42"/>
    <n v="956.7"/>
    <n v="956.7"/>
    <n v="4.2000000000000003E-2"/>
    <n v="22"/>
    <n v="20163.409200000002"/>
    <n v="16069.24"/>
    <n v="4094.1692000000021"/>
    <n v="0.20304945256975698"/>
    <d v="2023-08-10T00:00:00"/>
    <s v="Q1-2025"/>
    <s v="Europe → Germany → Munich"/>
    <s v="Medium"/>
    <d v="2025-02-01T00:00:00"/>
    <d v="2023-01-01T00:00:00"/>
    <n v="25"/>
    <n v="0"/>
    <n v="0"/>
  </r>
  <r>
    <s v="ORD-2025-926547"/>
    <d v="2025-03-11T00:00:00"/>
    <d v="2025-03-26T00:00:00"/>
    <n v="15"/>
    <x v="2"/>
    <s v="Germany"/>
    <s v="Berlin"/>
    <s v="Small Business"/>
    <s v="Online"/>
    <x v="14"/>
    <s v="Phones"/>
    <s v="PHN-3007"/>
    <n v="116.97"/>
    <n v="140.82"/>
    <n v="140.82"/>
    <n v="0.122"/>
    <n v="5"/>
    <n v="618.19979999999987"/>
    <n v="584.85"/>
    <n v="33.349799999999846"/>
    <n v="5.3946636669891926E-2"/>
    <d v="2023-07-03T00:00:00"/>
    <s v="Q1-2025"/>
    <s v="Europe → Germany → Berlin"/>
    <s v="Low"/>
    <d v="2025-03-01T00:00:00"/>
    <d v="2023-01-01T00:00:00"/>
    <n v="26"/>
    <n v="0"/>
    <n v="0"/>
  </r>
  <r>
    <s v="ORD-2025-947929"/>
    <d v="2025-03-23T00:00:00"/>
    <d v="2025-04-02T00:00:00"/>
    <n v="10"/>
    <x v="2"/>
    <s v="Germany"/>
    <s v="Berlin"/>
    <s v="Enterprise"/>
    <s v="Online"/>
    <x v="6"/>
    <s v="Printers"/>
    <s v="PRN-3159"/>
    <n v="663.61"/>
    <n v="1002.11"/>
    <n v="1002.11"/>
    <n v="4.5999999999999999E-2"/>
    <n v="17"/>
    <n v="16252.219979999998"/>
    <n v="11281.37"/>
    <n v="4970.8499799999972"/>
    <n v="0.30585667595670812"/>
    <d v="2023-06-22T00:00:00"/>
    <s v="Q1-2025"/>
    <s v="Europe → Germany → Berlin"/>
    <s v="Medium"/>
    <d v="2025-03-01T00:00:00"/>
    <d v="2023-01-01T00:00:00"/>
    <n v="26"/>
    <n v="0"/>
    <n v="0"/>
  </r>
  <r>
    <s v="ORD-2025-541048"/>
    <d v="2025-04-04T00:00:00"/>
    <d v="2025-04-13T00:00:00"/>
    <n v="9"/>
    <x v="2"/>
    <s v="Germany"/>
    <s v="Munich"/>
    <s v="Consumer"/>
    <s v="Marketplace"/>
    <x v="8"/>
    <s v="Phones"/>
    <s v="PHN-3803"/>
    <n v="7.02"/>
    <n v="6.28"/>
    <n v="6.28"/>
    <n v="0.13400000000000001"/>
    <n v="14"/>
    <n v="76.138720000000006"/>
    <n v="98.28"/>
    <n v="-22.141279999999995"/>
    <n v="-0.29080184169106066"/>
    <d v="2023-07-01T00:00:00"/>
    <s v="Q2-2025"/>
    <s v="Europe → Germany → Munich"/>
    <s v="Low"/>
    <d v="2025-04-01T00:00:00"/>
    <d v="2023-01-01T00:00:00"/>
    <n v="27"/>
    <n v="0"/>
    <n v="0"/>
  </r>
  <r>
    <s v="ORD-2025-946490"/>
    <d v="2025-04-22T00:00:00"/>
    <d v="2025-05-02T00:00:00"/>
    <n v="10"/>
    <x v="2"/>
    <s v="Germany"/>
    <s v="Berlin"/>
    <s v="Corporate"/>
    <s v="Marketplace"/>
    <x v="5"/>
    <s v="Monitors"/>
    <s v="MON-2842"/>
    <n v="20.149999999999999"/>
    <n v="39.74"/>
    <n v="39.74"/>
    <n v="0.151"/>
    <n v="18"/>
    <n v="607.30668000000003"/>
    <n v="362.7"/>
    <n v="244.60668000000004"/>
    <n v="0.4027729120318585"/>
    <d v="2023-05-27T00:00:00"/>
    <s v="Q2-2025"/>
    <s v="Europe → Germany → Berlin"/>
    <s v="Low"/>
    <d v="2025-04-01T00:00:00"/>
    <d v="2023-01-01T00:00:00"/>
    <n v="27"/>
    <n v="0"/>
    <n v="0"/>
  </r>
  <r>
    <s v="ORD-2025-252117"/>
    <d v="2025-04-28T00:00:00"/>
    <d v="2025-05-19T00:00:00"/>
    <n v="21"/>
    <x v="2"/>
    <s v="Germany"/>
    <s v="Berlin"/>
    <s v="Corporate"/>
    <s v="Distributor"/>
    <x v="7"/>
    <s v="Phones"/>
    <s v="PHN-2462"/>
    <n v="350.76"/>
    <n v="492.18"/>
    <n v="492.18"/>
    <n v="5.2999999999999999E-2"/>
    <n v="11"/>
    <n v="5127.0390600000001"/>
    <n v="3858.3599999999997"/>
    <n v="1268.6790600000004"/>
    <n v="0.24744868239798437"/>
    <d v="2023-06-01T00:00:00"/>
    <s v="Q2-2025"/>
    <s v="Europe → Germany → Berlin"/>
    <s v="Low"/>
    <d v="2025-04-01T00:00:00"/>
    <d v="2023-01-01T00:00:00"/>
    <n v="27"/>
    <n v="0"/>
    <n v="0"/>
  </r>
  <r>
    <s v="ORD-2025-820255"/>
    <d v="2025-05-29T00:00:00"/>
    <d v="2025-06-20T00:00:00"/>
    <n v="22"/>
    <x v="2"/>
    <s v="Germany"/>
    <s v="Berlin"/>
    <s v="Corporate"/>
    <s v="Direct"/>
    <x v="4"/>
    <s v="Printers"/>
    <s v="PRN-9787"/>
    <n v="483.47"/>
    <n v="1135.43"/>
    <n v="1135.43"/>
    <n v="0.14599999999999999"/>
    <n v="11"/>
    <n v="10666.229420000001"/>
    <n v="5318.17"/>
    <n v="5348.0594200000014"/>
    <n v="0.50140112399719983"/>
    <d v="2023-05-02T00:00:00"/>
    <s v="Q2-2025"/>
    <s v="Europe → Germany → Berlin"/>
    <s v="Medium"/>
    <d v="2025-05-01T00:00:00"/>
    <d v="2023-01-01T00:00:00"/>
    <n v="28"/>
    <n v="0"/>
    <n v="0"/>
  </r>
  <r>
    <s v="ORD-2025-398335"/>
    <d v="2025-06-01T00:00:00"/>
    <d v="2025-06-27T00:00:00"/>
    <n v="26"/>
    <x v="2"/>
    <s v="Germany"/>
    <s v="Munich"/>
    <s v="Consumer"/>
    <s v="Distributor"/>
    <x v="6"/>
    <s v="Laptops"/>
    <s v="LAP-1619"/>
    <n v="1362.31"/>
    <n v="3294.57"/>
    <n v="3294.57"/>
    <n v="0.113"/>
    <n v="7"/>
    <n v="20455.985130000001"/>
    <n v="9536.17"/>
    <n v="10919.815130000001"/>
    <n v="0.5338200561157721"/>
    <d v="2023-05-10T00:00:00"/>
    <s v="Q2-2025"/>
    <s v="Europe → Germany → Munich"/>
    <s v="High"/>
    <d v="2025-06-01T00:00:00"/>
    <d v="2023-01-01T00:00:00"/>
    <n v="29"/>
    <n v="0"/>
    <n v="0"/>
  </r>
  <r>
    <s v="ORD-2025-795385"/>
    <d v="2025-06-01T00:00:00"/>
    <d v="2025-06-05T00:00:00"/>
    <n v="4"/>
    <x v="2"/>
    <s v="Germany"/>
    <s v="Munich"/>
    <s v="Enterprise"/>
    <s v="Direct"/>
    <x v="3"/>
    <s v="Components"/>
    <s v="CMP-4159"/>
    <n v="1171.42"/>
    <n v="2187.8000000000002"/>
    <n v="2187.8000000000002"/>
    <n v="0.23"/>
    <n v="15"/>
    <n v="25269.09"/>
    <n v="17571.300000000003"/>
    <n v="7697.7899999999972"/>
    <n v="0.30463265594447592"/>
    <d v="2023-04-22T00:00:00"/>
    <s v="Q2-2025"/>
    <s v="Europe → Germany → Munich"/>
    <s v="High"/>
    <d v="2025-06-01T00:00:00"/>
    <d v="2023-01-01T00:00:00"/>
    <n v="29"/>
    <n v="1"/>
    <n v="1"/>
  </r>
  <r>
    <s v="ORD-2025-678328"/>
    <d v="2025-06-24T00:00:00"/>
    <d v="2025-07-14T00:00:00"/>
    <n v="20"/>
    <x v="2"/>
    <s v="Germany"/>
    <s v="Berlin"/>
    <s v="Corporate"/>
    <s v="Direct"/>
    <x v="13"/>
    <s v="Accessories"/>
    <s v="ACC-8094"/>
    <n v="385.08"/>
    <n v="893.19"/>
    <n v="893.19"/>
    <n v="0.151"/>
    <n v="8"/>
    <n v="6066.54648"/>
    <n v="3080.64"/>
    <n v="2985.9064800000001"/>
    <n v="0.49219213762621666"/>
    <d v="2023-04-22T00:00:00"/>
    <s v="Q2-2025"/>
    <s v="Europe → Germany → Berlin"/>
    <s v="Medium"/>
    <d v="2025-06-01T00:00:00"/>
    <d v="2023-01-01T00:00:00"/>
    <n v="29"/>
    <n v="0"/>
    <n v="0"/>
  </r>
  <r>
    <s v="ORD-2025-184754"/>
    <d v="2025-06-27T00:00:00"/>
    <d v="2025-07-05T00:00:00"/>
    <n v="8"/>
    <x v="2"/>
    <s v="Germany"/>
    <s v="Munich"/>
    <s v="Small Business"/>
    <s v="Direct"/>
    <x v="2"/>
    <s v="Monitors"/>
    <s v="MON-7626"/>
    <n v="314.93"/>
    <n v="687.95"/>
    <n v="687.95"/>
    <n v="0.20499999999999999"/>
    <n v="8"/>
    <n v="4375.3620000000001"/>
    <n v="2519.44"/>
    <n v="1855.922"/>
    <n v="0.424175645352316"/>
    <d v="2023-04-05T00:00:00"/>
    <s v="Q2-2025"/>
    <s v="Europe → Germany → Munich"/>
    <s v="Low"/>
    <d v="2025-06-01T00:00:00"/>
    <d v="2023-01-01T00:00:00"/>
    <n v="29"/>
    <n v="0"/>
    <n v="1"/>
  </r>
  <r>
    <s v="ORD-2025-677880"/>
    <d v="2025-08-21T00:00:00"/>
    <d v="2025-09-14T00:00:00"/>
    <n v="24"/>
    <x v="2"/>
    <s v="Germany"/>
    <s v="Berlin"/>
    <s v="Non-Profit"/>
    <s v="Online"/>
    <x v="4"/>
    <s v="Monitors"/>
    <s v="MON-9662"/>
    <n v="1397.67"/>
    <n v="3131.37"/>
    <n v="3131.37"/>
    <n v="0.10299999999999999"/>
    <n v="20"/>
    <n v="56176.777799999996"/>
    <n v="27953.4"/>
    <n v="28223.377799999995"/>
    <n v="0.50240293062874808"/>
    <d v="2023-02-26T00:00:00"/>
    <s v="Q3-2025"/>
    <s v="Europe → Germany → Berlin"/>
    <s v="High"/>
    <d v="2025-08-01T00:00:00"/>
    <d v="2023-01-01T00:00:00"/>
    <n v="31"/>
    <n v="0"/>
    <n v="0"/>
  </r>
  <r>
    <s v="ORD-2023-521818"/>
    <d v="2023-01-29T00:00:00"/>
    <d v="2023-02-28T00:00:00"/>
    <n v="30"/>
    <x v="1"/>
    <s v="India"/>
    <s v="Bengaluru"/>
    <s v="Non-Profit"/>
    <s v="Retail"/>
    <x v="7"/>
    <s v="Accessories"/>
    <s v="ACC-4631"/>
    <n v="1262.0999999999999"/>
    <n v="1395.53"/>
    <n v="1395.53"/>
    <n v="0.23300000000000001"/>
    <n v="25"/>
    <n v="26759.28775"/>
    <n v="31552.499999999996"/>
    <n v="-4793.2122499999969"/>
    <n v="-0.17912331205452198"/>
    <d v="2025-09-10T00:00:00"/>
    <s v="Q1-2023"/>
    <s v="Asia → India → Bengaluru"/>
    <s v="Medium"/>
    <d v="2023-01-01T00:00:00"/>
    <d v="2023-01-01T00:00:00"/>
    <n v="0"/>
    <n v="0"/>
    <n v="1"/>
  </r>
  <r>
    <s v="ORD-2023-848013"/>
    <d v="2023-02-20T00:00:00"/>
    <d v="2023-03-04T00:00:00"/>
    <n v="12"/>
    <x v="1"/>
    <s v="India"/>
    <s v="Delhi"/>
    <s v="Consumer"/>
    <s v="Distributor"/>
    <x v="3"/>
    <s v="Monitors"/>
    <s v="MON-9906"/>
    <n v="299.75"/>
    <n v="523.01"/>
    <n v="523.01"/>
    <n v="0.157"/>
    <n v="50"/>
    <n v="22044.871499999997"/>
    <n v="14987.5"/>
    <n v="7057.3714999999975"/>
    <n v="0.32013665854210122"/>
    <d v="2025-08-10T00:00:00"/>
    <s v="Q1-2023"/>
    <s v="Asia → India → Delhi"/>
    <s v="Low"/>
    <d v="2023-02-01T00:00:00"/>
    <d v="2023-01-01T00:00:00"/>
    <n v="1"/>
    <n v="0"/>
    <n v="0"/>
  </r>
  <r>
    <s v="ORD-2023-864121"/>
    <d v="2023-03-27T00:00:00"/>
    <d v="2023-04-22T00:00:00"/>
    <n v="26"/>
    <x v="1"/>
    <s v="India"/>
    <s v="Delhi"/>
    <s v="Non-Profit"/>
    <s v="Marketplace"/>
    <x v="9"/>
    <s v="Printers"/>
    <s v="PRN-4506"/>
    <n v="178.53"/>
    <n v="199.37"/>
    <n v="199.37"/>
    <n v="0.10100000000000001"/>
    <n v="37"/>
    <n v="6631.6443100000006"/>
    <n v="6605.61"/>
    <n v="26.034310000000914"/>
    <n v="3.9257699573457538E-3"/>
    <d v="2025-07-03T00:00:00"/>
    <s v="Q1-2023"/>
    <s v="Asia → India → Delhi"/>
    <s v="Low"/>
    <d v="2023-03-01T00:00:00"/>
    <d v="2023-01-01T00:00:00"/>
    <n v="2"/>
    <n v="0"/>
    <n v="0"/>
  </r>
  <r>
    <s v="ORD-2023-308124"/>
    <d v="2023-04-19T00:00:00"/>
    <d v="2023-04-30T00:00:00"/>
    <n v="11"/>
    <x v="1"/>
    <s v="India"/>
    <s v="Delhi"/>
    <s v="Small Business"/>
    <s v="Retail"/>
    <x v="4"/>
    <s v="Networking"/>
    <s v="NET-2062"/>
    <n v="826.55"/>
    <n v="1397.05"/>
    <n v="1397.05"/>
    <n v="0.16900000000000001"/>
    <n v="28"/>
    <n v="32506.559399999998"/>
    <n v="23143.399999999998"/>
    <n v="9363.1594000000005"/>
    <n v="0.28803907804527601"/>
    <d v="2025-06-01T00:00:00"/>
    <s v="Q2-2023"/>
    <s v="Asia → India → Delhi"/>
    <s v="Medium"/>
    <d v="2023-04-01T00:00:00"/>
    <d v="2023-01-01T00:00:00"/>
    <n v="3"/>
    <n v="0"/>
    <n v="0"/>
  </r>
  <r>
    <s v="ORD-2023-906481"/>
    <d v="2023-05-02T00:00:00"/>
    <d v="2023-05-18T00:00:00"/>
    <n v="16"/>
    <x v="1"/>
    <s v="India"/>
    <s v="Delhi"/>
    <s v="Small Business"/>
    <s v="Marketplace"/>
    <x v="12"/>
    <s v="Monitors"/>
    <s v="MON-2266"/>
    <n v="1463.92"/>
    <n v="2252.2399999999998"/>
    <n v="2252.2399999999998"/>
    <n v="0.11799999999999999"/>
    <n v="44"/>
    <n v="87404.929919999995"/>
    <n v="64412.480000000003"/>
    <n v="22992.449919999992"/>
    <n v="0.26305667130040061"/>
    <d v="2025-05-18T00:00:00"/>
    <s v="Q2-2023"/>
    <s v="Asia → India → Delhi"/>
    <s v="High"/>
    <d v="2023-05-01T00:00:00"/>
    <d v="2023-01-01T00:00:00"/>
    <n v="4"/>
    <n v="0"/>
    <n v="0"/>
  </r>
  <r>
    <s v="ORD-2023-573656"/>
    <d v="2023-05-02T00:00:00"/>
    <d v="2023-05-16T00:00:00"/>
    <n v="14"/>
    <x v="1"/>
    <s v="India"/>
    <s v="Bengaluru"/>
    <s v="Non-Profit"/>
    <s v="Retail"/>
    <x v="11"/>
    <s v="Monitors"/>
    <s v="MON-4830"/>
    <n v="475.37"/>
    <n v="963.73"/>
    <n v="963.73"/>
    <n v="4.1000000000000002E-2"/>
    <n v="22"/>
    <n v="20332.775539999999"/>
    <n v="10458.14"/>
    <n v="9874.6355399999993"/>
    <n v="0.48565113604750881"/>
    <d v="2025-05-27T00:00:00"/>
    <s v="Q2-2023"/>
    <s v="Asia → India → Bengaluru"/>
    <s v="Medium"/>
    <d v="2023-05-01T00:00:00"/>
    <d v="2023-01-01T00:00:00"/>
    <n v="4"/>
    <n v="0"/>
    <n v="0"/>
  </r>
  <r>
    <s v="ORD-2023-957692"/>
    <d v="2023-05-07T00:00:00"/>
    <d v="2023-05-20T00:00:00"/>
    <n v="13"/>
    <x v="1"/>
    <s v="India"/>
    <s v="Mumbai"/>
    <s v="Enterprise"/>
    <s v="Retail"/>
    <x v="0"/>
    <s v="Accessories"/>
    <s v="ACC-9283"/>
    <n v="1443.28"/>
    <n v="2580.5700000000002"/>
    <n v="2580.5700000000002"/>
    <n v="0"/>
    <n v="18"/>
    <n v="46450.26"/>
    <n v="25979.040000000001"/>
    <n v="20471.22"/>
    <n v="0.4407127107577008"/>
    <d v="2025-05-10T00:00:00"/>
    <s v="Q2-2023"/>
    <s v="Asia → India → Mumbai"/>
    <s v="High"/>
    <d v="2023-05-01T00:00:00"/>
    <d v="2023-01-01T00:00:00"/>
    <n v="4"/>
    <n v="0"/>
    <n v="0"/>
  </r>
  <r>
    <s v="ORD-2023-472050"/>
    <d v="2023-05-10T00:00:00"/>
    <d v="2023-05-27T00:00:00"/>
    <n v="17"/>
    <x v="1"/>
    <s v="India"/>
    <s v="Mumbai"/>
    <s v="Consumer"/>
    <s v="Retail"/>
    <x v="3"/>
    <s v="Laptops"/>
    <s v="LAP-6499"/>
    <n v="1286.1600000000001"/>
    <n v="3101.11"/>
    <n v="3101.11"/>
    <n v="0.1"/>
    <n v="23"/>
    <n v="64192.976999999999"/>
    <n v="29581.68"/>
    <n v="34611.296999999999"/>
    <n v="0.53917575749758417"/>
    <d v="2025-04-27T00:00:00"/>
    <s v="Q2-2023"/>
    <s v="Asia → India → Mumbai"/>
    <s v="High"/>
    <d v="2023-05-01T00:00:00"/>
    <d v="2023-01-01T00:00:00"/>
    <n v="4"/>
    <n v="0"/>
    <n v="0"/>
  </r>
  <r>
    <s v="ORD-2023-913592"/>
    <d v="2023-05-10T00:00:00"/>
    <d v="2023-05-14T00:00:00"/>
    <n v="4"/>
    <x v="1"/>
    <s v="India"/>
    <s v="Delhi"/>
    <s v="Non-Profit"/>
    <s v="Distributor"/>
    <x v="5"/>
    <s v="Monitors"/>
    <s v="MON-2465"/>
    <n v="622.6"/>
    <n v="833.69"/>
    <n v="833.69"/>
    <n v="0.20899999999999999"/>
    <n v="14"/>
    <n v="9232.2830599999998"/>
    <n v="8716.4"/>
    <n v="515.88306000000011"/>
    <n v="5.5878167582959715E-2"/>
    <d v="2025-05-12T00:00:00"/>
    <s v="Q2-2023"/>
    <s v="Asia → India → Delhi"/>
    <s v="Medium"/>
    <d v="2023-05-01T00:00:00"/>
    <d v="2023-01-01T00:00:00"/>
    <n v="4"/>
    <n v="1"/>
    <n v="1"/>
  </r>
  <r>
    <s v="ORD-2023-676553"/>
    <d v="2023-05-20T00:00:00"/>
    <d v="2023-06-19T00:00:00"/>
    <n v="30"/>
    <x v="1"/>
    <s v="India"/>
    <s v="Delhi"/>
    <s v="Non-Profit"/>
    <s v="Marketplace"/>
    <x v="15"/>
    <s v="Laptops"/>
    <s v="LAP-2806"/>
    <n v="1161.2"/>
    <n v="878.73"/>
    <n v="878.73"/>
    <n v="0.19"/>
    <n v="31"/>
    <n v="22064.910300000003"/>
    <n v="35997.200000000004"/>
    <n v="-13932.289700000001"/>
    <n v="-0.63142290227212028"/>
    <d v="2025-05-17T00:00:00"/>
    <s v="Q2-2023"/>
    <s v="Asia → India → Delhi"/>
    <s v="Medium"/>
    <d v="2023-05-01T00:00:00"/>
    <d v="2023-01-01T00:00:00"/>
    <n v="4"/>
    <n v="0"/>
    <n v="0"/>
  </r>
  <r>
    <s v="ORD-2023-868460"/>
    <d v="2023-06-01T00:00:00"/>
    <d v="2023-06-01T00:00:00"/>
    <n v="0"/>
    <x v="1"/>
    <s v="India"/>
    <s v="Bengaluru"/>
    <s v="Corporate"/>
    <s v="Retail"/>
    <x v="6"/>
    <s v="Accessories"/>
    <s v="ACC-4587"/>
    <n v="669.37"/>
    <n v="997.2"/>
    <n v="997.2"/>
    <n v="8.2000000000000003E-2"/>
    <n v="5"/>
    <n v="4577.1480000000001"/>
    <n v="3346.85"/>
    <n v="1230.2980000000002"/>
    <n v="0.26879139586484863"/>
    <d v="2025-04-24T00:00:00"/>
    <s v="Q2-2023"/>
    <s v="Asia → India → Bengaluru"/>
    <s v="Medium"/>
    <d v="2023-06-01T00:00:00"/>
    <d v="2023-01-01T00:00:00"/>
    <n v="5"/>
    <n v="1"/>
    <n v="0"/>
  </r>
  <r>
    <s v="ORD-2023-109927"/>
    <d v="2023-07-21T00:00:00"/>
    <d v="2023-07-22T00:00:00"/>
    <n v="1"/>
    <x v="1"/>
    <s v="India"/>
    <s v="Delhi"/>
    <s v="Small Business"/>
    <s v="Distributor"/>
    <x v="6"/>
    <s v="Printers"/>
    <s v="PRN-2301"/>
    <n v="946.99"/>
    <n v="2132.19"/>
    <n v="2132.19"/>
    <n v="0.16500000000000001"/>
    <n v="7"/>
    <n v="12462.65055"/>
    <n v="6628.93"/>
    <n v="5833.72055"/>
    <n v="0.46809629513362228"/>
    <d v="2025-03-03T00:00:00"/>
    <s v="Q3-2023"/>
    <s v="Asia → India → Delhi"/>
    <s v="High"/>
    <d v="2023-07-01T00:00:00"/>
    <d v="2023-01-01T00:00:00"/>
    <n v="6"/>
    <n v="1"/>
    <n v="0"/>
  </r>
  <r>
    <s v="ORD-2023-944052"/>
    <d v="2023-08-30T00:00:00"/>
    <d v="2023-09-03T00:00:00"/>
    <n v="4"/>
    <x v="1"/>
    <s v="India"/>
    <s v="Delhi"/>
    <s v="Small Business"/>
    <s v="Marketplace"/>
    <x v="11"/>
    <s v="Accessories"/>
    <s v="ACC-3068"/>
    <n v="1082.25"/>
    <n v="2433.34"/>
    <n v="2433.34"/>
    <n v="0.27"/>
    <n v="4"/>
    <n v="7105.3528000000006"/>
    <n v="4329"/>
    <n v="2776.3528000000006"/>
    <n v="0.3907410199251472"/>
    <d v="2025-01-03T00:00:00"/>
    <s v="Q3-2023"/>
    <s v="Asia → India → Delhi"/>
    <s v="High"/>
    <d v="2023-08-01T00:00:00"/>
    <d v="2023-01-01T00:00:00"/>
    <n v="7"/>
    <n v="1"/>
    <n v="1"/>
  </r>
  <r>
    <s v="ORD-2023-722117"/>
    <d v="2023-09-18T00:00:00"/>
    <d v="2023-10-08T00:00:00"/>
    <n v="20"/>
    <x v="1"/>
    <s v="India"/>
    <s v="Delhi"/>
    <s v="Small Business"/>
    <s v="Direct"/>
    <x v="7"/>
    <s v="Components"/>
    <s v="CMP-1009"/>
    <n v="825.64"/>
    <n v="1108.43"/>
    <n v="1108.43"/>
    <n v="0.114"/>
    <n v="7"/>
    <n v="6874.4828600000001"/>
    <n v="5779.48"/>
    <n v="1095.0028600000005"/>
    <n v="0.15928512475773349"/>
    <d v="2024-12-27T00:00:00"/>
    <s v="Q3-2023"/>
    <s v="Asia → India → Delhi"/>
    <s v="Medium"/>
    <d v="2023-09-01T00:00:00"/>
    <d v="2023-01-01T00:00:00"/>
    <n v="8"/>
    <n v="0"/>
    <n v="0"/>
  </r>
  <r>
    <s v="ORD-2023-517216"/>
    <d v="2023-09-19T00:00:00"/>
    <d v="2023-10-08T00:00:00"/>
    <n v="19"/>
    <x v="1"/>
    <s v="India"/>
    <s v="Bengaluru"/>
    <s v="Education"/>
    <s v="Direct"/>
    <x v="9"/>
    <s v="Printers"/>
    <s v="PRN-5005"/>
    <n v="385.32"/>
    <n v="606.76"/>
    <n v="606.76"/>
    <n v="8.5999999999999993E-2"/>
    <n v="8"/>
    <n v="4436.6291200000005"/>
    <n v="3082.56"/>
    <n v="1354.0691200000006"/>
    <n v="0.30520223425842735"/>
    <d v="2024-12-20T00:00:00"/>
    <s v="Q3-2023"/>
    <s v="Asia → India → Bengaluru"/>
    <s v="Low"/>
    <d v="2023-09-01T00:00:00"/>
    <d v="2023-01-01T00:00:00"/>
    <n v="8"/>
    <n v="0"/>
    <n v="0"/>
  </r>
  <r>
    <s v="ORD-2023-842820"/>
    <d v="2023-09-20T00:00:00"/>
    <d v="2023-09-28T00:00:00"/>
    <n v="8"/>
    <x v="1"/>
    <s v="India"/>
    <s v="Delhi"/>
    <s v="Corporate"/>
    <s v="Direct"/>
    <x v="7"/>
    <s v="Accessories"/>
    <s v="ACC-1375"/>
    <n v="1362.06"/>
    <n v="3398.37"/>
    <n v="3398.37"/>
    <n v="0.157"/>
    <n v="11"/>
    <n v="31513.085009999999"/>
    <n v="14982.66"/>
    <n v="16530.425009999999"/>
    <n v="0.52455749745714919"/>
    <d v="2024-12-24T00:00:00"/>
    <s v="Q3-2023"/>
    <s v="Asia → India → Delhi"/>
    <s v="High"/>
    <d v="2023-09-01T00:00:00"/>
    <d v="2023-01-01T00:00:00"/>
    <n v="8"/>
    <n v="0"/>
    <n v="0"/>
  </r>
  <r>
    <s v="ORD-2023-474313"/>
    <d v="2023-10-05T00:00:00"/>
    <d v="2023-10-06T00:00:00"/>
    <n v="1"/>
    <x v="1"/>
    <s v="India"/>
    <s v="Bengaluru"/>
    <s v="Non-Profit"/>
    <s v="Online"/>
    <x v="14"/>
    <s v="Components"/>
    <s v="CMP-4807"/>
    <n v="1470.26"/>
    <n v="2562.5500000000002"/>
    <n v="2562.5500000000002"/>
    <n v="0.17299999999999999"/>
    <n v="9"/>
    <n v="19073.059649999999"/>
    <n v="13232.34"/>
    <n v="5840.7196499999991"/>
    <n v="0.30622877279157462"/>
    <d v="2024-11-30T00:00:00"/>
    <s v="Q4-2023"/>
    <s v="Asia → India → Bengaluru"/>
    <s v="High"/>
    <d v="2023-10-01T00:00:00"/>
    <d v="2023-01-01T00:00:00"/>
    <n v="9"/>
    <n v="1"/>
    <n v="0"/>
  </r>
  <r>
    <s v="ORD-2023-304451"/>
    <d v="2023-10-07T00:00:00"/>
    <d v="2023-10-23T00:00:00"/>
    <n v="16"/>
    <x v="1"/>
    <s v="India"/>
    <s v="Hyderabad"/>
    <s v="Consumer"/>
    <s v="Retail"/>
    <x v="2"/>
    <s v="Monitors"/>
    <s v="MON-7602"/>
    <n v="906.81"/>
    <n v="1395.56"/>
    <n v="1395.56"/>
    <n v="0.185"/>
    <n v="6"/>
    <n v="6824.2884000000004"/>
    <n v="5440.86"/>
    <n v="1383.4284000000007"/>
    <n v="0.20272126834498974"/>
    <d v="2024-12-27T00:00:00"/>
    <s v="Q4-2023"/>
    <s v="Asia → India → Hyderabad"/>
    <s v="Medium"/>
    <d v="2023-10-01T00:00:00"/>
    <d v="2023-01-01T00:00:00"/>
    <n v="9"/>
    <n v="0"/>
    <n v="0"/>
  </r>
  <r>
    <s v="ORD-2023-211715"/>
    <d v="2023-10-30T00:00:00"/>
    <d v="2023-11-14T00:00:00"/>
    <n v="15"/>
    <x v="1"/>
    <s v="India"/>
    <s v="Bengaluru"/>
    <s v="Corporate"/>
    <s v="Online"/>
    <x v="8"/>
    <s v="Laptops"/>
    <s v="LAP-2378"/>
    <n v="953.46"/>
    <n v="2066.75"/>
    <n v="2066.75"/>
    <n v="0.13800000000000001"/>
    <n v="5"/>
    <n v="8907.6924999999992"/>
    <n v="4767.3"/>
    <n v="4140.392499999999"/>
    <n v="0.46481089238318446"/>
    <d v="2024-12-04T00:00:00"/>
    <s v="Q4-2023"/>
    <s v="Asia → India → Bengaluru"/>
    <s v="High"/>
    <d v="2023-10-01T00:00:00"/>
    <d v="2023-01-01T00:00:00"/>
    <n v="9"/>
    <n v="0"/>
    <n v="0"/>
  </r>
  <r>
    <s v="ORD-2023-561823"/>
    <d v="2023-11-19T00:00:00"/>
    <d v="2023-12-12T00:00:00"/>
    <n v="23"/>
    <x v="1"/>
    <s v="India"/>
    <s v="Delhi"/>
    <s v="Small Business"/>
    <s v="Direct"/>
    <x v="5"/>
    <s v="Networking"/>
    <s v="NET-2460"/>
    <n v="1349.04"/>
    <n v="2636.6"/>
    <n v="2636.6"/>
    <n v="0.114"/>
    <n v="14"/>
    <n v="32704.386400000003"/>
    <n v="18886.559999999998"/>
    <n v="13817.826400000005"/>
    <n v="0.42250682312143928"/>
    <d v="2024-11-11T00:00:00"/>
    <s v="Q4-2023"/>
    <s v="Asia → India → Delhi"/>
    <s v="High"/>
    <d v="2023-11-01T00:00:00"/>
    <d v="2023-01-01T00:00:00"/>
    <n v="10"/>
    <n v="0"/>
    <n v="0"/>
  </r>
  <r>
    <s v="ORD-2023-964434"/>
    <d v="2023-11-28T00:00:00"/>
    <d v="2023-12-07T00:00:00"/>
    <n v="9"/>
    <x v="1"/>
    <s v="India"/>
    <s v="Delhi"/>
    <s v="Enterprise"/>
    <s v="Marketplace"/>
    <x v="11"/>
    <s v="Phones"/>
    <s v="PHN-2447"/>
    <n v="699.33"/>
    <n v="873.75"/>
    <n v="873.75"/>
    <n v="0.23499999999999999"/>
    <n v="10"/>
    <n v="6684.1875"/>
    <n v="6993.3"/>
    <n v="-309.11250000000018"/>
    <n v="-4.6245336475076469E-2"/>
    <d v="2024-11-06T00:00:00"/>
    <s v="Q4-2023"/>
    <s v="Asia → India → Delhi"/>
    <s v="Medium"/>
    <d v="2023-11-01T00:00:00"/>
    <d v="2023-01-01T00:00:00"/>
    <n v="10"/>
    <n v="0"/>
    <n v="1"/>
  </r>
  <r>
    <s v="ORD-2023-728177"/>
    <d v="2023-12-18T00:00:00"/>
    <d v="2024-01-14T00:00:00"/>
    <n v="27"/>
    <x v="1"/>
    <s v="India"/>
    <s v="Mumbai"/>
    <s v="Consumer"/>
    <s v="Distributor"/>
    <x v="0"/>
    <s v="Networking"/>
    <s v="NET-6014"/>
    <n v="1408.3"/>
    <n v="2193.13"/>
    <n v="2193.13"/>
    <n v="7.0999999999999994E-2"/>
    <n v="7"/>
    <n v="14261.92439"/>
    <n v="9858.1"/>
    <n v="4403.8243899999998"/>
    <n v="0.30878191957656281"/>
    <d v="2024-10-14T00:00:00"/>
    <s v="Q4-2023"/>
    <s v="Asia → India → Mumbai"/>
    <s v="High"/>
    <d v="2023-12-01T00:00:00"/>
    <d v="2023-01-01T00:00:00"/>
    <n v="11"/>
    <n v="0"/>
    <n v="0"/>
  </r>
  <r>
    <s v="ORD-2023-431328"/>
    <d v="2023-12-20T00:00:00"/>
    <d v="2024-01-14T00:00:00"/>
    <n v="25"/>
    <x v="1"/>
    <s v="India"/>
    <s v="Mumbai"/>
    <s v="Non-Profit"/>
    <s v="Marketplace"/>
    <x v="11"/>
    <s v="Monitors"/>
    <s v="MON-1572"/>
    <n v="1085.6099999999999"/>
    <n v="1246.4100000000001"/>
    <n v="1246.4100000000001"/>
    <n v="0.113"/>
    <n v="7"/>
    <n v="7738.9596900000006"/>
    <n v="7599.2699999999995"/>
    <n v="139.68969000000106"/>
    <n v="1.8050189637310417E-2"/>
    <d v="2024-10-19T00:00:00"/>
    <s v="Q4-2023"/>
    <s v="Asia → India → Mumbai"/>
    <s v="Medium"/>
    <d v="2023-12-01T00:00:00"/>
    <d v="2023-01-01T00:00:00"/>
    <n v="11"/>
    <n v="0"/>
    <n v="0"/>
  </r>
  <r>
    <s v="ORD-2023-249805"/>
    <d v="2023-12-22T00:00:00"/>
    <d v="2024-01-16T00:00:00"/>
    <n v="25"/>
    <x v="1"/>
    <s v="India"/>
    <s v="Hyderabad"/>
    <s v="Small Business"/>
    <s v="Retail"/>
    <x v="4"/>
    <s v="Components"/>
    <s v="CMP-1555"/>
    <n v="1346.81"/>
    <n v="978.09"/>
    <n v="978.09"/>
    <n v="0.159"/>
    <n v="17"/>
    <n v="13983.752729999998"/>
    <n v="22895.77"/>
    <n v="-8912.0172700000021"/>
    <n v="-0.6373122753293996"/>
    <d v="2024-11-04T00:00:00"/>
    <s v="Q4-2023"/>
    <s v="Asia → India → Hyderabad"/>
    <s v="Medium"/>
    <d v="2023-12-01T00:00:00"/>
    <d v="2023-01-01T00:00:00"/>
    <n v="11"/>
    <n v="0"/>
    <n v="0"/>
  </r>
  <r>
    <s v="ORD-2024-872291"/>
    <d v="2024-01-08T00:00:00"/>
    <d v="2024-01-12T00:00:00"/>
    <n v="4"/>
    <x v="1"/>
    <s v="India"/>
    <s v="Bengaluru"/>
    <s v="Corporate"/>
    <s v="Direct"/>
    <x v="6"/>
    <s v="Printers"/>
    <s v="PRN-6585"/>
    <n v="802.32"/>
    <n v="602.34"/>
    <n v="602.34"/>
    <n v="0.12"/>
    <n v="25"/>
    <n v="13251.48"/>
    <n v="20058"/>
    <n v="-6806.52"/>
    <n v="-0.51364224977134632"/>
    <d v="2024-10-03T00:00:00"/>
    <s v="Q1-2024"/>
    <s v="Asia → India → Bengaluru"/>
    <s v="Low"/>
    <d v="2024-01-01T00:00:00"/>
    <d v="2023-01-01T00:00:00"/>
    <n v="12"/>
    <n v="1"/>
    <n v="0"/>
  </r>
  <r>
    <s v="ORD-2024-153053"/>
    <d v="2024-01-12T00:00:00"/>
    <d v="2024-01-29T00:00:00"/>
    <n v="17"/>
    <x v="1"/>
    <s v="India"/>
    <s v="Hyderabad"/>
    <s v="Small Business"/>
    <s v="Direct"/>
    <x v="7"/>
    <s v="Components"/>
    <s v="CMP-5138"/>
    <n v="310.02"/>
    <n v="619.51"/>
    <n v="619.51"/>
    <n v="4.2000000000000003E-2"/>
    <n v="4"/>
    <n v="2373.9623200000001"/>
    <n v="1240.08"/>
    <n v="1133.8823200000002"/>
    <n v="0.47763282106347843"/>
    <d v="2024-09-14T00:00:00"/>
    <s v="Q1-2024"/>
    <s v="Asia → India → Hyderabad"/>
    <s v="Low"/>
    <d v="2024-01-01T00:00:00"/>
    <d v="2023-01-01T00:00:00"/>
    <n v="12"/>
    <n v="0"/>
    <n v="0"/>
  </r>
  <r>
    <s v="ORD-2024-851883"/>
    <d v="2024-01-13T00:00:00"/>
    <d v="2024-01-22T00:00:00"/>
    <n v="9"/>
    <x v="1"/>
    <s v="India"/>
    <s v="Mumbai"/>
    <s v="Enterprise"/>
    <s v="Marketplace"/>
    <x v="9"/>
    <s v="Components"/>
    <s v="CMP-8141"/>
    <n v="313.60000000000002"/>
    <n v="334.28"/>
    <n v="334.28"/>
    <n v="0.14000000000000001"/>
    <n v="22"/>
    <n v="6324.5775999999996"/>
    <n v="6899.2000000000007"/>
    <n v="-574.62240000000111"/>
    <n v="-9.0855458868905517E-2"/>
    <d v="2024-09-13T00:00:00"/>
    <s v="Q1-2024"/>
    <s v="Asia → India → Mumbai"/>
    <s v="Low"/>
    <d v="2024-01-01T00:00:00"/>
    <d v="2023-01-01T00:00:00"/>
    <n v="12"/>
    <n v="0"/>
    <n v="0"/>
  </r>
  <r>
    <s v="ORD-2024-604471"/>
    <d v="2024-01-21T00:00:00"/>
    <d v="2024-01-25T00:00:00"/>
    <n v="4"/>
    <x v="1"/>
    <s v="India"/>
    <s v="Delhi"/>
    <s v="Consumer"/>
    <s v="Direct"/>
    <x v="5"/>
    <s v="Monitors"/>
    <s v="MON-8973"/>
    <n v="523.70000000000005"/>
    <n v="1109.92"/>
    <n v="1109.92"/>
    <n v="0.03"/>
    <n v="11"/>
    <n v="11842.8464"/>
    <n v="5760.7000000000007"/>
    <n v="6082.1463999999996"/>
    <n v="0.51357133197302973"/>
    <d v="2024-08-28T00:00:00"/>
    <s v="Q1-2024"/>
    <s v="Asia → India → Delhi"/>
    <s v="Medium"/>
    <d v="2024-01-01T00:00:00"/>
    <d v="2023-01-01T00:00:00"/>
    <n v="12"/>
    <n v="1"/>
    <n v="0"/>
  </r>
  <r>
    <s v="ORD-2024-647473"/>
    <d v="2024-02-17T00:00:00"/>
    <d v="2024-03-04T00:00:00"/>
    <n v="16"/>
    <x v="1"/>
    <s v="India"/>
    <s v="Delhi"/>
    <s v="Small Business"/>
    <s v="Marketplace"/>
    <x v="8"/>
    <s v="Phones"/>
    <s v="PHN-1717"/>
    <n v="1231.8"/>
    <n v="2015.99"/>
    <n v="2015.99"/>
    <n v="0.26100000000000001"/>
    <n v="6"/>
    <n v="8938.8996600000009"/>
    <n v="7390.7999999999993"/>
    <n v="1548.0996600000017"/>
    <n v="0.17318682599464391"/>
    <d v="2024-08-12T00:00:00"/>
    <s v="Q1-2024"/>
    <s v="Asia → India → Delhi"/>
    <s v="High"/>
    <d v="2024-02-01T00:00:00"/>
    <d v="2023-01-01T00:00:00"/>
    <n v="13"/>
    <n v="0"/>
    <n v="1"/>
  </r>
  <r>
    <s v="ORD-2024-515105"/>
    <d v="2024-02-27T00:00:00"/>
    <d v="2024-03-26T00:00:00"/>
    <n v="28"/>
    <x v="1"/>
    <s v="India"/>
    <s v="Mumbai"/>
    <s v="Education"/>
    <s v="Marketplace"/>
    <x v="2"/>
    <s v="Laptops"/>
    <s v="LAP-8469"/>
    <n v="1035.19"/>
    <n v="2322.6999999999998"/>
    <n v="2322.6999999999998"/>
    <n v="0.17299999999999999"/>
    <n v="8"/>
    <n v="15366.983199999999"/>
    <n v="8281.52"/>
    <n v="7085.4631999999983"/>
    <n v="0.46108355217047409"/>
    <d v="2024-08-04T00:00:00"/>
    <s v="Q1-2024"/>
    <s v="Asia → India → Mumbai"/>
    <s v="High"/>
    <d v="2024-02-01T00:00:00"/>
    <d v="2023-01-01T00:00:00"/>
    <n v="13"/>
    <n v="0"/>
    <n v="0"/>
  </r>
  <r>
    <s v="ORD-2024-446030"/>
    <d v="2024-03-23T00:00:00"/>
    <d v="2024-03-26T00:00:00"/>
    <n v="3"/>
    <x v="1"/>
    <s v="India"/>
    <s v="Bengaluru"/>
    <s v="Education"/>
    <s v="Direct"/>
    <x v="2"/>
    <s v="Phones"/>
    <s v="PHN-4346"/>
    <n v="382.21"/>
    <n v="571.89"/>
    <n v="571.89"/>
    <n v="0.14799999999999999"/>
    <n v="26"/>
    <n v="12668.50728"/>
    <n v="9937.4599999999991"/>
    <n v="2731.0472800000007"/>
    <n v="0.2155776698578809"/>
    <d v="2024-06-11T00:00:00"/>
    <s v="Q1-2024"/>
    <s v="Asia → India → Bengaluru"/>
    <s v="Low"/>
    <d v="2024-03-01T00:00:00"/>
    <d v="2023-01-01T00:00:00"/>
    <n v="14"/>
    <n v="1"/>
    <n v="0"/>
  </r>
  <r>
    <s v="ORD-2024-851993"/>
    <d v="2024-05-01T00:00:00"/>
    <d v="2024-05-16T00:00:00"/>
    <n v="15"/>
    <x v="1"/>
    <s v="India"/>
    <s v="Bengaluru"/>
    <s v="Small Business"/>
    <s v="Retail"/>
    <x v="11"/>
    <s v="Components"/>
    <s v="CMP-6811"/>
    <n v="901.19"/>
    <n v="2125.44"/>
    <n v="2125.44"/>
    <n v="7.0999999999999994E-2"/>
    <n v="12"/>
    <n v="23694.405119999999"/>
    <n v="10814.28"/>
    <n v="12880.125119999999"/>
    <n v="0.54359352154100415"/>
    <d v="2024-05-30T00:00:00"/>
    <s v="Q2-2024"/>
    <s v="Asia → India → Bengaluru"/>
    <s v="High"/>
    <d v="2024-05-01T00:00:00"/>
    <d v="2023-01-01T00:00:00"/>
    <n v="16"/>
    <n v="0"/>
    <n v="0"/>
  </r>
  <r>
    <s v="ORD-2024-578646"/>
    <d v="2024-05-27T00:00:00"/>
    <d v="2024-06-17T00:00:00"/>
    <n v="21"/>
    <x v="1"/>
    <s v="India"/>
    <s v="Delhi"/>
    <s v="Small Business"/>
    <s v="Online"/>
    <x v="15"/>
    <s v="Accessories"/>
    <s v="ACC-7240"/>
    <n v="465.02"/>
    <n v="651.55999999999995"/>
    <n v="651.55999999999995"/>
    <n v="4.2000000000000003E-2"/>
    <n v="19"/>
    <n v="11859.695119999998"/>
    <n v="8835.3799999999992"/>
    <n v="3024.3151199999993"/>
    <n v="0.25500783025187918"/>
    <d v="2024-04-29T00:00:00"/>
    <s v="Q2-2024"/>
    <s v="Asia → India → Delhi"/>
    <s v="Low"/>
    <d v="2024-05-01T00:00:00"/>
    <d v="2023-01-01T00:00:00"/>
    <n v="16"/>
    <n v="0"/>
    <n v="0"/>
  </r>
  <r>
    <s v="ORD-2024-465898"/>
    <d v="2024-06-06T00:00:00"/>
    <d v="2024-06-24T00:00:00"/>
    <n v="18"/>
    <x v="1"/>
    <s v="India"/>
    <s v="Bengaluru"/>
    <s v="Small Business"/>
    <s v="Direct"/>
    <x v="15"/>
    <s v="Networking"/>
    <s v="NET-6578"/>
    <n v="1253.25"/>
    <n v="3087.13"/>
    <n v="3087.13"/>
    <n v="7.1999999999999995E-2"/>
    <n v="11"/>
    <n v="31513.423040000001"/>
    <n v="13785.75"/>
    <n v="17727.673040000001"/>
    <n v="0.562543555408064"/>
    <d v="2024-04-12T00:00:00"/>
    <s v="Q2-2024"/>
    <s v="Asia → India → Bengaluru"/>
    <s v="High"/>
    <d v="2024-06-01T00:00:00"/>
    <d v="2023-01-01T00:00:00"/>
    <n v="17"/>
    <n v="0"/>
    <n v="0"/>
  </r>
  <r>
    <s v="ORD-2024-817997"/>
    <d v="2024-07-28T00:00:00"/>
    <d v="2024-08-23T00:00:00"/>
    <n v="26"/>
    <x v="1"/>
    <s v="India"/>
    <s v="Hyderabad"/>
    <s v="Corporate"/>
    <s v="Retail"/>
    <x v="9"/>
    <s v="Networking"/>
    <s v="NET-4675"/>
    <n v="1339.24"/>
    <n v="1558.89"/>
    <n v="1558.89"/>
    <n v="0.192"/>
    <n v="24"/>
    <n v="30229.994880000002"/>
    <n v="32141.760000000002"/>
    <n v="-1911.76512"/>
    <n v="-6.3240669659021781E-2"/>
    <d v="2024-03-09T00:00:00"/>
    <s v="Q3-2024"/>
    <s v="Asia → India → Hyderabad"/>
    <s v="Medium"/>
    <d v="2024-07-01T00:00:00"/>
    <d v="2023-01-01T00:00:00"/>
    <n v="18"/>
    <n v="0"/>
    <n v="0"/>
  </r>
  <r>
    <s v="ORD-2024-993481"/>
    <d v="2024-08-18T00:00:00"/>
    <d v="2024-09-12T00:00:00"/>
    <n v="25"/>
    <x v="1"/>
    <s v="India"/>
    <s v="Mumbai"/>
    <s v="Consumer"/>
    <s v="Marketplace"/>
    <x v="5"/>
    <s v="Phones"/>
    <s v="PHN-3077"/>
    <n v="1154.03"/>
    <n v="1590.36"/>
    <n v="1590.36"/>
    <n v="0.314"/>
    <n v="18"/>
    <n v="19637.76528"/>
    <n v="20772.54"/>
    <n v="-1134.7747200000013"/>
    <n v="-5.7785328616576745E-2"/>
    <d v="2024-02-29T00:00:00"/>
    <s v="Q3-2024"/>
    <s v="Asia → India → Mumbai"/>
    <s v="Medium"/>
    <d v="2024-08-01T00:00:00"/>
    <d v="2023-01-01T00:00:00"/>
    <n v="19"/>
    <n v="0"/>
    <n v="1"/>
  </r>
  <r>
    <s v="ORD-2024-553449"/>
    <d v="2024-08-27T00:00:00"/>
    <d v="2024-09-18T00:00:00"/>
    <n v="22"/>
    <x v="1"/>
    <s v="India"/>
    <s v="Delhi"/>
    <s v="Consumer"/>
    <s v="Direct"/>
    <x v="7"/>
    <s v="Components"/>
    <s v="CMP-3875"/>
    <n v="896.75"/>
    <n v="1651.14"/>
    <n v="1651.14"/>
    <n v="2.5000000000000001E-2"/>
    <n v="15"/>
    <n v="24147.922500000001"/>
    <n v="13451.25"/>
    <n v="10696.672500000001"/>
    <n v="0.44296450346815552"/>
    <d v="2024-02-14T00:00:00"/>
    <s v="Q3-2024"/>
    <s v="Asia → India → Delhi"/>
    <s v="High"/>
    <d v="2024-08-01T00:00:00"/>
    <d v="2023-01-01T00:00:00"/>
    <n v="19"/>
    <n v="0"/>
    <n v="0"/>
  </r>
  <r>
    <s v="ORD-2024-862371"/>
    <d v="2024-09-07T00:00:00"/>
    <d v="2024-09-07T00:00:00"/>
    <n v="0"/>
    <x v="1"/>
    <s v="India"/>
    <s v="Mumbai"/>
    <s v="Education"/>
    <s v="Distributor"/>
    <x v="7"/>
    <s v="Networking"/>
    <s v="NET-9835"/>
    <n v="1066.6500000000001"/>
    <n v="2569.77"/>
    <n v="2569.77"/>
    <n v="0.13400000000000001"/>
    <n v="9"/>
    <n v="20028.787380000002"/>
    <n v="9599.85"/>
    <n v="10428.937380000001"/>
    <n v="0.52069739331368348"/>
    <d v="2024-02-01T00:00:00"/>
    <s v="Q3-2024"/>
    <s v="Asia → India → Mumbai"/>
    <s v="High"/>
    <d v="2024-09-01T00:00:00"/>
    <d v="2023-01-01T00:00:00"/>
    <n v="20"/>
    <n v="1"/>
    <n v="0"/>
  </r>
  <r>
    <s v="ORD-2024-260775"/>
    <d v="2024-10-17T00:00:00"/>
    <d v="2024-11-06T00:00:00"/>
    <n v="20"/>
    <x v="1"/>
    <s v="India"/>
    <s v="Bengaluru"/>
    <s v="Enterprise"/>
    <s v="Distributor"/>
    <x v="13"/>
    <s v="Monitors"/>
    <s v="MON-4330"/>
    <n v="72.94"/>
    <n v="106.3"/>
    <n v="106.3"/>
    <n v="0.29499999999999998"/>
    <n v="8"/>
    <n v="599.53200000000004"/>
    <n v="583.52"/>
    <n v="16.012000000000057"/>
    <n v="2.6707498515508857E-2"/>
    <d v="2024-01-02T00:00:00"/>
    <s v="Q4-2024"/>
    <s v="Asia → India → Bengaluru"/>
    <s v="Low"/>
    <d v="2024-10-01T00:00:00"/>
    <d v="2023-01-01T00:00:00"/>
    <n v="21"/>
    <n v="0"/>
    <n v="1"/>
  </r>
  <r>
    <s v="ORD-2024-247979"/>
    <d v="2024-11-02T00:00:00"/>
    <d v="2024-11-18T00:00:00"/>
    <n v="16"/>
    <x v="1"/>
    <s v="India"/>
    <s v="Mumbai"/>
    <s v="Small Business"/>
    <s v="Distributor"/>
    <x v="13"/>
    <s v="Monitors"/>
    <s v="MON-5188"/>
    <n v="1233.58"/>
    <n v="1912.51"/>
    <n v="1912.51"/>
    <n v="0.255"/>
    <n v="51"/>
    <n v="72665.817450000002"/>
    <n v="62912.579999999994"/>
    <n v="9753.2374500000078"/>
    <n v="0.134220432553601"/>
    <d v="2023-12-01T00:00:00"/>
    <s v="Q4-2024"/>
    <s v="Asia → India → Mumbai"/>
    <s v="High"/>
    <d v="2024-11-01T00:00:00"/>
    <d v="2023-01-01T00:00:00"/>
    <n v="22"/>
    <n v="0"/>
    <n v="1"/>
  </r>
  <r>
    <s v="ORD-2024-776337"/>
    <d v="2024-11-12T00:00:00"/>
    <d v="2024-11-21T00:00:00"/>
    <n v="9"/>
    <x v="1"/>
    <s v="India"/>
    <s v="Mumbai"/>
    <s v="Corporate"/>
    <s v="Direct"/>
    <x v="15"/>
    <s v="Laptops"/>
    <s v="LAP-5078"/>
    <n v="903.41"/>
    <n v="1860.41"/>
    <n v="1860.41"/>
    <n v="0.108"/>
    <n v="5"/>
    <n v="8297.4286000000011"/>
    <n v="4517.05"/>
    <n v="3780.3786000000009"/>
    <n v="0.455608451996803"/>
    <d v="2023-11-20T00:00:00"/>
    <s v="Q4-2024"/>
    <s v="Asia → India → Mumbai"/>
    <s v="High"/>
    <d v="2024-11-01T00:00:00"/>
    <d v="2023-01-01T00:00:00"/>
    <n v="22"/>
    <n v="0"/>
    <n v="0"/>
  </r>
  <r>
    <s v="ORD-2024-655710"/>
    <d v="2024-11-30T00:00:00"/>
    <d v="2024-12-10T00:00:00"/>
    <n v="10"/>
    <x v="1"/>
    <s v="India"/>
    <s v="Hyderabad"/>
    <s v="Small Business"/>
    <s v="Retail"/>
    <x v="8"/>
    <s v="Accessories"/>
    <s v="ACC-1075"/>
    <n v="851.49"/>
    <n v="901.79"/>
    <n v="901.79"/>
    <n v="0.245"/>
    <n v="16"/>
    <n v="10893.6232"/>
    <n v="13623.84"/>
    <n v="-2730.2168000000001"/>
    <n v="-0.25062522816100341"/>
    <d v="2023-10-26T00:00:00"/>
    <s v="Q4-2024"/>
    <s v="Asia → India → Hyderabad"/>
    <s v="Medium"/>
    <d v="2024-11-01T00:00:00"/>
    <d v="2023-01-01T00:00:00"/>
    <n v="22"/>
    <n v="0"/>
    <n v="1"/>
  </r>
  <r>
    <s v="ORD-2024-390951"/>
    <d v="2024-12-20T00:00:00"/>
    <d v="2025-01-14T00:00:00"/>
    <n v="25"/>
    <x v="1"/>
    <s v="India"/>
    <s v="Delhi"/>
    <s v="Small Business"/>
    <s v="Retail"/>
    <x v="3"/>
    <s v="Printers"/>
    <s v="PRN-9378"/>
    <n v="1361.34"/>
    <n v="1737.9"/>
    <n v="1737.9"/>
    <n v="7.6999999999999999E-2"/>
    <n v="14"/>
    <n v="22457.143800000002"/>
    <n v="19058.759999999998"/>
    <n v="3398.3838000000032"/>
    <n v="0.15132751654731813"/>
    <d v="2023-10-09T00:00:00"/>
    <s v="Q4-2024"/>
    <s v="Asia → India → Delhi"/>
    <s v="High"/>
    <d v="2024-12-01T00:00:00"/>
    <d v="2023-01-01T00:00:00"/>
    <n v="23"/>
    <n v="0"/>
    <n v="0"/>
  </r>
  <r>
    <s v="ORD-2024-972318"/>
    <d v="2024-12-24T00:00:00"/>
    <d v="2025-01-13T00:00:00"/>
    <n v="20"/>
    <x v="1"/>
    <s v="India"/>
    <s v="Bengaluru"/>
    <s v="Corporate"/>
    <s v="Marketplace"/>
    <x v="0"/>
    <s v="Networking"/>
    <s v="NET-9832"/>
    <n v="126.15"/>
    <n v="284.23"/>
    <n v="284.23"/>
    <n v="0.113"/>
    <n v="22"/>
    <n v="5546.4642200000008"/>
    <n v="2775.3"/>
    <n v="2771.1642200000006"/>
    <n v="0.49962716968541088"/>
    <d v="2023-09-19T00:00:00"/>
    <s v="Q4-2024"/>
    <s v="Asia → India → Bengaluru"/>
    <s v="Low"/>
    <d v="2024-12-01T00:00:00"/>
    <d v="2023-01-01T00:00:00"/>
    <n v="23"/>
    <n v="0"/>
    <n v="0"/>
  </r>
  <r>
    <s v="ORD-2024-170313"/>
    <d v="2024-12-27T00:00:00"/>
    <d v="2025-01-15T00:00:00"/>
    <n v="19"/>
    <x v="1"/>
    <s v="India"/>
    <s v="Delhi"/>
    <s v="Non-Profit"/>
    <s v="Distributor"/>
    <x v="2"/>
    <s v="Components"/>
    <s v="CMP-6919"/>
    <n v="495.59"/>
    <n v="631.78"/>
    <n v="631.78"/>
    <n v="8.6999999999999994E-2"/>
    <n v="17"/>
    <n v="9805.8573800000013"/>
    <n v="8425.0299999999988"/>
    <n v="1380.8273800000024"/>
    <n v="0.14081658813601899"/>
    <d v="2023-09-18T00:00:00"/>
    <s v="Q4-2024"/>
    <s v="Asia → India → Delhi"/>
    <s v="Low"/>
    <d v="2024-12-01T00:00:00"/>
    <d v="2023-01-01T00:00:00"/>
    <n v="23"/>
    <n v="0"/>
    <n v="0"/>
  </r>
  <r>
    <s v="ORD-2024-336584"/>
    <d v="2024-12-27T00:00:00"/>
    <d v="2025-01-14T00:00:00"/>
    <n v="18"/>
    <x v="1"/>
    <s v="India"/>
    <s v="Bengaluru"/>
    <s v="Small Business"/>
    <s v="Marketplace"/>
    <x v="6"/>
    <s v="Monitors"/>
    <s v="MON-8629"/>
    <n v="586.07000000000005"/>
    <n v="845.97"/>
    <n v="845.97"/>
    <n v="0.14699999999999999"/>
    <n v="4"/>
    <n v="2886.4496399999998"/>
    <n v="2344.2800000000002"/>
    <n v="542.16963999999962"/>
    <n v="0.18783270370862928"/>
    <d v="2023-10-05T00:00:00"/>
    <s v="Q4-2024"/>
    <s v="Asia → India → Bengaluru"/>
    <s v="Medium"/>
    <d v="2024-12-01T00:00:00"/>
    <d v="2023-01-01T00:00:00"/>
    <n v="23"/>
    <n v="0"/>
    <n v="0"/>
  </r>
  <r>
    <s v="ORD-2025-137394"/>
    <d v="2025-01-04T00:00:00"/>
    <d v="2025-01-05T00:00:00"/>
    <n v="1"/>
    <x v="1"/>
    <s v="India"/>
    <s v="Delhi"/>
    <s v="Education"/>
    <s v="Retail"/>
    <x v="14"/>
    <s v="Components"/>
    <s v="CMP-1156"/>
    <n v="1428.33"/>
    <n v="3028.05"/>
    <n v="3028.05"/>
    <n v="0"/>
    <n v="11"/>
    <n v="33308.550000000003"/>
    <n v="15711.63"/>
    <n v="17596.920000000006"/>
    <n v="0.52830039134096207"/>
    <d v="2023-08-23T00:00:00"/>
    <s v="Q1-2025"/>
    <s v="Asia → India → Delhi"/>
    <s v="High"/>
    <d v="2025-01-01T00:00:00"/>
    <d v="2023-01-01T00:00:00"/>
    <n v="24"/>
    <n v="1"/>
    <n v="0"/>
  </r>
  <r>
    <s v="ORD-2025-484073"/>
    <d v="2025-02-19T00:00:00"/>
    <d v="2025-03-09T00:00:00"/>
    <n v="18"/>
    <x v="1"/>
    <s v="India"/>
    <s v="Delhi"/>
    <s v="Small Business"/>
    <s v="Direct"/>
    <x v="13"/>
    <s v="Monitors"/>
    <s v="MON-1436"/>
    <n v="325.87"/>
    <n v="538.79"/>
    <n v="538.79"/>
    <n v="0.17399999999999999"/>
    <n v="16"/>
    <n v="7120.6486400000003"/>
    <n v="5213.92"/>
    <n v="1906.7286400000003"/>
    <n v="0.26777457172778013"/>
    <d v="2023-08-03T00:00:00"/>
    <s v="Q1-2025"/>
    <s v="Asia → India → Delhi"/>
    <s v="Low"/>
    <d v="2025-02-01T00:00:00"/>
    <d v="2023-01-01T00:00:00"/>
    <n v="25"/>
    <n v="0"/>
    <n v="0"/>
  </r>
  <r>
    <s v="ORD-2025-512310"/>
    <d v="2025-03-08T00:00:00"/>
    <d v="2025-03-15T00:00:00"/>
    <n v="7"/>
    <x v="1"/>
    <s v="India"/>
    <s v="Bengaluru"/>
    <s v="Corporate"/>
    <s v="Distributor"/>
    <x v="12"/>
    <s v="Laptops"/>
    <s v="LAP-8119"/>
    <n v="475.66"/>
    <n v="529.14"/>
    <n v="529.14"/>
    <n v="0.19600000000000001"/>
    <n v="11"/>
    <n v="4679.7141600000004"/>
    <n v="5232.26"/>
    <n v="-552.54583999999977"/>
    <n v="-0.11807256193613323"/>
    <d v="2023-08-02T00:00:00"/>
    <s v="Q1-2025"/>
    <s v="Asia → India → Bengaluru"/>
    <s v="Low"/>
    <d v="2025-03-01T00:00:00"/>
    <d v="2023-01-01T00:00:00"/>
    <n v="26"/>
    <n v="1"/>
    <n v="0"/>
  </r>
  <r>
    <s v="ORD-2025-624006"/>
    <d v="2025-03-15T00:00:00"/>
    <d v="2025-03-29T00:00:00"/>
    <n v="14"/>
    <x v="1"/>
    <s v="India"/>
    <s v="Mumbai"/>
    <s v="Enterprise"/>
    <s v="Direct"/>
    <x v="5"/>
    <s v="Components"/>
    <s v="CMP-3259"/>
    <n v="935.83"/>
    <n v="2303.46"/>
    <n v="2303.46"/>
    <n v="0.105"/>
    <n v="9"/>
    <n v="18554.370299999999"/>
    <n v="8422.4700000000012"/>
    <n v="10131.900299999998"/>
    <n v="0.54606543559174292"/>
    <d v="2023-07-14T00:00:00"/>
    <s v="Q1-2025"/>
    <s v="Asia → India → Mumbai"/>
    <s v="High"/>
    <d v="2025-03-01T00:00:00"/>
    <d v="2023-01-01T00:00:00"/>
    <n v="26"/>
    <n v="0"/>
    <n v="0"/>
  </r>
  <r>
    <s v="ORD-2025-177994"/>
    <d v="2025-03-24T00:00:00"/>
    <d v="2025-04-04T00:00:00"/>
    <n v="11"/>
    <x v="1"/>
    <s v="India"/>
    <s v="Mumbai"/>
    <s v="Education"/>
    <s v="Marketplace"/>
    <x v="9"/>
    <s v="Phones"/>
    <s v="PHN-4395"/>
    <n v="23.83"/>
    <n v="47.29"/>
    <n v="47.29"/>
    <n v="6.4000000000000001E-2"/>
    <n v="19"/>
    <n v="841.00536"/>
    <n v="452.77"/>
    <n v="388.23536000000001"/>
    <n v="0.46163244429262618"/>
    <d v="2023-07-09T00:00:00"/>
    <s v="Q1-2025"/>
    <s v="Asia → India → Mumbai"/>
    <s v="Low"/>
    <d v="2025-03-01T00:00:00"/>
    <d v="2023-01-01T00:00:00"/>
    <n v="26"/>
    <n v="0"/>
    <n v="0"/>
  </r>
  <r>
    <s v="ORD-2025-323492"/>
    <d v="2025-04-27T00:00:00"/>
    <d v="2025-05-27T00:00:00"/>
    <n v="30"/>
    <x v="1"/>
    <s v="India"/>
    <s v="Delhi"/>
    <s v="Enterprise"/>
    <s v="Marketplace"/>
    <x v="15"/>
    <s v="Phones"/>
    <s v="PHN-3854"/>
    <n v="481.32"/>
    <n v="1135.99"/>
    <n v="1135.99"/>
    <n v="0.14499999999999999"/>
    <n v="5"/>
    <n v="4856.35725"/>
    <n v="2406.6"/>
    <n v="2449.7572500000001"/>
    <n v="0.50444337677175621"/>
    <d v="2023-06-14T00:00:00"/>
    <s v="Q2-2025"/>
    <s v="Asia → India → Delhi"/>
    <s v="Medium"/>
    <d v="2025-04-01T00:00:00"/>
    <d v="2023-01-01T00:00:00"/>
    <n v="27"/>
    <n v="0"/>
    <n v="0"/>
  </r>
  <r>
    <s v="ORD-2025-673091"/>
    <d v="2025-05-07T00:00:00"/>
    <d v="2025-05-13T00:00:00"/>
    <n v="6"/>
    <x v="1"/>
    <s v="India"/>
    <s v="Bengaluru"/>
    <s v="Enterprise"/>
    <s v="Direct"/>
    <x v="9"/>
    <s v="Phones"/>
    <s v="PHN-5683"/>
    <n v="935.98"/>
    <n v="2077.69"/>
    <n v="2077.69"/>
    <n v="0.17499999999999999"/>
    <n v="24"/>
    <n v="41138.261999999995"/>
    <n v="22463.52"/>
    <n v="18674.741999999995"/>
    <n v="0.45395067978321491"/>
    <d v="2023-05-17T00:00:00"/>
    <s v="Q2-2025"/>
    <s v="Asia → India → Bengaluru"/>
    <s v="High"/>
    <d v="2025-05-01T00:00:00"/>
    <d v="2023-01-01T00:00:00"/>
    <n v="28"/>
    <n v="1"/>
    <n v="0"/>
  </r>
  <r>
    <s v="ORD-2025-866565"/>
    <d v="2025-05-12T00:00:00"/>
    <d v="2025-05-26T00:00:00"/>
    <n v="14"/>
    <x v="1"/>
    <s v="India"/>
    <s v="Hyderabad"/>
    <s v="Corporate"/>
    <s v="Marketplace"/>
    <x v="2"/>
    <s v="Printers"/>
    <s v="PRN-8850"/>
    <n v="320.12"/>
    <n v="594.41999999999996"/>
    <n v="594.41999999999996"/>
    <n v="0.104"/>
    <n v="18"/>
    <n v="9586.8057599999993"/>
    <n v="5762.16"/>
    <n v="3824.6457599999994"/>
    <n v="0.39894891538931104"/>
    <d v="2023-05-07T00:00:00"/>
    <s v="Q2-2025"/>
    <s v="Asia → India → Hyderabad"/>
    <s v="Low"/>
    <d v="2025-05-01T00:00:00"/>
    <d v="2023-01-01T00:00:00"/>
    <n v="28"/>
    <n v="0"/>
    <n v="0"/>
  </r>
  <r>
    <s v="ORD-2025-983096"/>
    <d v="2025-05-17T00:00:00"/>
    <d v="2025-05-28T00:00:00"/>
    <n v="11"/>
    <x v="1"/>
    <s v="India"/>
    <s v="Bengaluru"/>
    <s v="Corporate"/>
    <s v="Distributor"/>
    <x v="7"/>
    <s v="Laptops"/>
    <s v="LAP-9016"/>
    <n v="623.4"/>
    <n v="1100.0899999999999"/>
    <n v="1100.0899999999999"/>
    <n v="0.114"/>
    <n v="12"/>
    <n v="11696.156879999999"/>
    <n v="7480.7999999999993"/>
    <n v="4215.3568799999994"/>
    <n v="0.36040529579490388"/>
    <d v="2023-05-02T00:00:00"/>
    <s v="Q2-2025"/>
    <s v="Asia → India → Bengaluru"/>
    <s v="Medium"/>
    <d v="2025-05-01T00:00:00"/>
    <d v="2023-01-01T00:00:00"/>
    <n v="28"/>
    <n v="0"/>
    <n v="0"/>
  </r>
  <r>
    <s v="ORD-2025-411385"/>
    <d v="2025-06-05T00:00:00"/>
    <d v="2025-06-14T00:00:00"/>
    <n v="9"/>
    <x v="1"/>
    <s v="India"/>
    <s v="Delhi"/>
    <s v="Non-Profit"/>
    <s v="Retail"/>
    <x v="4"/>
    <s v="Accessories"/>
    <s v="ACC-2902"/>
    <n v="618.69000000000005"/>
    <n v="796.15"/>
    <n v="796.15"/>
    <n v="0.09"/>
    <n v="11"/>
    <n v="7969.4615000000003"/>
    <n v="6805.59"/>
    <n v="1163.8715000000002"/>
    <n v="0.14604142325049191"/>
    <d v="2023-04-14T00:00:00"/>
    <s v="Q2-2025"/>
    <s v="Asia → India → Delhi"/>
    <s v="Low"/>
    <d v="2025-06-01T00:00:00"/>
    <d v="2023-01-01T00:00:00"/>
    <n v="29"/>
    <n v="0"/>
    <n v="0"/>
  </r>
  <r>
    <s v="ORD-2025-526752"/>
    <d v="2025-06-09T00:00:00"/>
    <d v="2025-06-25T00:00:00"/>
    <n v="16"/>
    <x v="1"/>
    <s v="India"/>
    <s v="Hyderabad"/>
    <s v="Enterprise"/>
    <s v="Distributor"/>
    <x v="3"/>
    <s v="Phones"/>
    <s v="PHN-3482"/>
    <n v="527.33000000000004"/>
    <n v="911.72"/>
    <n v="911.72"/>
    <n v="0.14399999999999999"/>
    <n v="25"/>
    <n v="19510.808000000001"/>
    <n v="13183.250000000002"/>
    <n v="6327.5579999999991"/>
    <n v="0.32431040272652978"/>
    <d v="2023-04-21T00:00:00"/>
    <s v="Q2-2025"/>
    <s v="Asia → India → Hyderabad"/>
    <s v="Medium"/>
    <d v="2025-06-01T00:00:00"/>
    <d v="2023-01-01T00:00:00"/>
    <n v="29"/>
    <n v="0"/>
    <n v="0"/>
  </r>
  <r>
    <s v="ORD-2025-480172"/>
    <d v="2025-06-17T00:00:00"/>
    <d v="2025-07-05T00:00:00"/>
    <n v="18"/>
    <x v="1"/>
    <s v="India"/>
    <s v="Delhi"/>
    <s v="Consumer"/>
    <s v="Marketplace"/>
    <x v="11"/>
    <s v="Laptops"/>
    <s v="LAP-1990"/>
    <n v="982.93"/>
    <n v="2299.3000000000002"/>
    <n v="2299.3000000000002"/>
    <n v="0.113"/>
    <n v="6"/>
    <n v="12236.874600000001"/>
    <n v="5897.58"/>
    <n v="6339.2946000000011"/>
    <n v="0.51804850562087157"/>
    <d v="2023-04-19T00:00:00"/>
    <s v="Q2-2025"/>
    <s v="Asia → India → Delhi"/>
    <s v="High"/>
    <d v="2025-06-01T00:00:00"/>
    <d v="2023-01-01T00:00:00"/>
    <n v="29"/>
    <n v="0"/>
    <n v="0"/>
  </r>
  <r>
    <s v="ORD-2025-262491"/>
    <d v="2025-08-01T00:00:00"/>
    <d v="2025-08-16T00:00:00"/>
    <n v="15"/>
    <x v="1"/>
    <s v="India"/>
    <s v="Delhi"/>
    <s v="Enterprise"/>
    <s v="Direct"/>
    <x v="13"/>
    <s v="Monitors"/>
    <s v="MON-1822"/>
    <n v="24.44"/>
    <n v="28.69"/>
    <n v="28.69"/>
    <n v="0.14599999999999999"/>
    <n v="6"/>
    <n v="147.00756000000001"/>
    <n v="146.64000000000001"/>
    <n v="0.36755999999999744"/>
    <n v="2.5002795774584476E-3"/>
    <d v="2023-02-28T00:00:00"/>
    <s v="Q3-2025"/>
    <s v="Asia → India → Delhi"/>
    <s v="Low"/>
    <d v="2025-08-01T00:00:00"/>
    <d v="2023-01-01T00:00:00"/>
    <n v="31"/>
    <n v="0"/>
    <n v="0"/>
  </r>
  <r>
    <s v="ORD-2025-635337"/>
    <d v="2025-08-05T00:00:00"/>
    <d v="2025-08-28T00:00:00"/>
    <n v="23"/>
    <x v="1"/>
    <s v="India"/>
    <s v="Mumbai"/>
    <s v="Non-Profit"/>
    <s v="Distributor"/>
    <x v="1"/>
    <s v="Laptops"/>
    <s v="LAP-3905"/>
    <n v="638.54"/>
    <n v="987.24"/>
    <n v="987.24"/>
    <n v="0"/>
    <n v="11"/>
    <n v="10859.64"/>
    <n v="7023.94"/>
    <n v="3835.7"/>
    <n v="0.35320692030306716"/>
    <d v="2023-02-21T00:00:00"/>
    <s v="Q3-2025"/>
    <s v="Asia → India → Mumbai"/>
    <s v="Medium"/>
    <d v="2025-08-01T00:00:00"/>
    <d v="2023-01-01T00:00:00"/>
    <n v="31"/>
    <n v="0"/>
    <n v="0"/>
  </r>
  <r>
    <s v="ORD-2025-831576"/>
    <d v="2025-09-15T00:00:00"/>
    <d v="2025-09-25T00:00:00"/>
    <n v="10"/>
    <x v="1"/>
    <s v="India"/>
    <s v="Delhi"/>
    <s v="Consumer"/>
    <s v="Retail"/>
    <x v="4"/>
    <s v="Phones"/>
    <s v="PHN-2859"/>
    <n v="1488.91"/>
    <n v="1483.74"/>
    <n v="1483.74"/>
    <n v="0.16800000000000001"/>
    <n v="24"/>
    <n v="29627.320319999999"/>
    <n v="35733.840000000004"/>
    <n v="-6106.5196800000049"/>
    <n v="-0.20611110333450519"/>
    <d v="2023-01-13T00:00:00"/>
    <s v="Q3-2025"/>
    <s v="Asia → India → Delhi"/>
    <s v="Medium"/>
    <d v="2025-09-01T00:00:00"/>
    <d v="2023-01-01T00:00:00"/>
    <n v="32"/>
    <n v="0"/>
    <n v="0"/>
  </r>
  <r>
    <s v="ORD-2023-139236"/>
    <d v="2023-03-03T00:00:00"/>
    <d v="2023-03-20T00:00:00"/>
    <n v="17"/>
    <x v="1"/>
    <s v="Japan"/>
    <s v="Nagoya"/>
    <s v="Small Business"/>
    <s v="Online"/>
    <x v="0"/>
    <s v="Networking"/>
    <s v="NET-7349"/>
    <n v="1171.17"/>
    <n v="2030.64"/>
    <n v="2030.64"/>
    <n v="0.157"/>
    <n v="11"/>
    <n v="18830.12472"/>
    <n v="12882.87"/>
    <n v="5947.254719999999"/>
    <n v="0.31583724528830415"/>
    <d v="2025-08-01T00:00:00"/>
    <s v="Q1-2023"/>
    <s v="Asia → Japan → Nagoya"/>
    <s v="High"/>
    <d v="2023-03-01T00:00:00"/>
    <d v="2023-03-01T00:00:00"/>
    <n v="0"/>
    <n v="0"/>
    <n v="0"/>
  </r>
  <r>
    <s v="ORD-2023-240507"/>
    <d v="2023-03-25T00:00:00"/>
    <d v="2023-03-26T00:00:00"/>
    <n v="1"/>
    <x v="1"/>
    <s v="Japan"/>
    <s v="Osaka"/>
    <s v="Small Business"/>
    <s v="Distributor"/>
    <x v="14"/>
    <s v="Monitors"/>
    <s v="MON-9227"/>
    <n v="135.12"/>
    <n v="301.7"/>
    <n v="301.7"/>
    <n v="0.14000000000000001"/>
    <n v="47"/>
    <n v="12194.714"/>
    <n v="6350.64"/>
    <n v="5844.0739999999996"/>
    <n v="0.47923009920527859"/>
    <d v="2025-07-17T00:00:00"/>
    <s v="Q1-2023"/>
    <s v="Asia → Japan → Osaka"/>
    <s v="Low"/>
    <d v="2023-03-01T00:00:00"/>
    <d v="2023-03-01T00:00:00"/>
    <n v="0"/>
    <n v="1"/>
    <n v="0"/>
  </r>
  <r>
    <s v="ORD-2023-752962"/>
    <d v="2023-04-19T00:00:00"/>
    <d v="2023-04-21T00:00:00"/>
    <n v="2"/>
    <x v="1"/>
    <s v="Japan"/>
    <s v="Nagoya"/>
    <s v="Small Business"/>
    <s v="Direct"/>
    <x v="3"/>
    <s v="Components"/>
    <s v="CMP-8604"/>
    <n v="607.04"/>
    <n v="1229.3399999999999"/>
    <n v="1229.3399999999999"/>
    <n v="0.14699999999999999"/>
    <n v="7"/>
    <n v="7340.3891399999993"/>
    <n v="4249.28"/>
    <n v="3091.1091399999996"/>
    <n v="0.42110970972310058"/>
    <d v="2025-06-09T00:00:00"/>
    <s v="Q2-2023"/>
    <s v="Asia → Japan → Nagoya"/>
    <s v="Medium"/>
    <d v="2023-04-01T00:00:00"/>
    <d v="2023-03-01T00:00:00"/>
    <n v="1"/>
    <n v="1"/>
    <n v="0"/>
  </r>
  <r>
    <s v="ORD-2023-107265"/>
    <d v="2023-04-22T00:00:00"/>
    <d v="2023-05-14T00:00:00"/>
    <n v="22"/>
    <x v="1"/>
    <s v="Japan"/>
    <s v="Nagoya"/>
    <s v="Enterprise"/>
    <s v="Retail"/>
    <x v="4"/>
    <s v="Accessories"/>
    <s v="ACC-7713"/>
    <n v="1209.22"/>
    <n v="1404.33"/>
    <n v="1404.33"/>
    <n v="0.10299999999999999"/>
    <n v="11"/>
    <n v="13856.52411"/>
    <n v="13301.42"/>
    <n v="555.10411000000022"/>
    <n v="4.0060848275751328E-2"/>
    <d v="2025-05-29T00:00:00"/>
    <s v="Q2-2023"/>
    <s v="Asia → Japan → Nagoya"/>
    <s v="Medium"/>
    <d v="2023-04-01T00:00:00"/>
    <d v="2023-03-01T00:00:00"/>
    <n v="1"/>
    <n v="0"/>
    <n v="0"/>
  </r>
  <r>
    <s v="ORD-2023-363031"/>
    <d v="2023-05-06T00:00:00"/>
    <d v="2023-05-14T00:00:00"/>
    <n v="8"/>
    <x v="1"/>
    <s v="Japan"/>
    <s v="Osaka"/>
    <s v="Enterprise"/>
    <s v="Marketplace"/>
    <x v="7"/>
    <s v="Phones"/>
    <s v="PHN-6131"/>
    <n v="291.18"/>
    <n v="479.54"/>
    <n v="479.54"/>
    <n v="0.14099999999999999"/>
    <n v="22"/>
    <n v="9062.34692"/>
    <n v="6405.96"/>
    <n v="2656.3869199999999"/>
    <n v="0.29312350801066001"/>
    <d v="2025-05-17T00:00:00"/>
    <s v="Q2-2023"/>
    <s v="Asia → Japan → Osaka"/>
    <s v="Low"/>
    <d v="2023-05-01T00:00:00"/>
    <d v="2023-03-01T00:00:00"/>
    <n v="2"/>
    <n v="0"/>
    <n v="0"/>
  </r>
  <r>
    <s v="ORD-2023-610470"/>
    <d v="2023-06-24T00:00:00"/>
    <d v="2023-07-21T00:00:00"/>
    <n v="27"/>
    <x v="1"/>
    <s v="Japan"/>
    <s v="Nagoya"/>
    <s v="Consumer"/>
    <s v="Marketplace"/>
    <x v="9"/>
    <s v="Phones"/>
    <s v="PHN-6818"/>
    <n v="554.76"/>
    <n v="728.69"/>
    <n v="728.69"/>
    <n v="0.22"/>
    <n v="7"/>
    <n v="3978.6474000000003"/>
    <n v="3883.3199999999997"/>
    <n v="95.32740000000058"/>
    <n v="2.395975074343119E-2"/>
    <d v="2025-04-07T00:00:00"/>
    <s v="Q2-2023"/>
    <s v="Asia → Japan → Nagoya"/>
    <s v="Low"/>
    <d v="2023-06-01T00:00:00"/>
    <d v="2023-03-01T00:00:00"/>
    <n v="3"/>
    <n v="0"/>
    <n v="1"/>
  </r>
  <r>
    <s v="ORD-2023-258768"/>
    <d v="2023-06-29T00:00:00"/>
    <d v="2023-07-02T00:00:00"/>
    <n v="3"/>
    <x v="1"/>
    <s v="Japan"/>
    <s v="Nagoya"/>
    <s v="Education"/>
    <s v="Marketplace"/>
    <x v="8"/>
    <s v="Monitors"/>
    <s v="MON-2990"/>
    <n v="55.65"/>
    <n v="83.57"/>
    <n v="83.57"/>
    <n v="6.6000000000000003E-2"/>
    <n v="8"/>
    <n v="624.43503999999996"/>
    <n v="445.2"/>
    <n v="179.23503999999997"/>
    <n v="0.2870355257449998"/>
    <d v="2025-04-04T00:00:00"/>
    <s v="Q2-2023"/>
    <s v="Asia → Japan → Nagoya"/>
    <s v="Low"/>
    <d v="2023-06-01T00:00:00"/>
    <d v="2023-03-01T00:00:00"/>
    <n v="3"/>
    <n v="1"/>
    <n v="0"/>
  </r>
  <r>
    <s v="ORD-2023-539967"/>
    <d v="2023-07-09T00:00:00"/>
    <d v="2023-07-19T00:00:00"/>
    <n v="10"/>
    <x v="1"/>
    <s v="Japan"/>
    <s v="Tokyo"/>
    <s v="Enterprise"/>
    <s v="Distributor"/>
    <x v="1"/>
    <s v="Components"/>
    <s v="CMP-6649"/>
    <n v="141.26"/>
    <n v="206.88"/>
    <n v="206.88"/>
    <n v="0.107"/>
    <n v="9"/>
    <n v="1662.6945600000001"/>
    <n v="1271.3399999999999"/>
    <n v="391.35456000000022"/>
    <n v="0.23537369365062469"/>
    <d v="2025-03-06T00:00:00"/>
    <s v="Q3-2023"/>
    <s v="Asia → Japan → Tokyo"/>
    <s v="Low"/>
    <d v="2023-07-01T00:00:00"/>
    <d v="2023-03-01T00:00:00"/>
    <n v="4"/>
    <n v="0"/>
    <n v="0"/>
  </r>
  <r>
    <s v="ORD-2023-290237"/>
    <d v="2023-07-30T00:00:00"/>
    <d v="2023-08-07T00:00:00"/>
    <n v="8"/>
    <x v="1"/>
    <s v="Japan"/>
    <s v="Nagoya"/>
    <s v="Education"/>
    <s v="Marketplace"/>
    <x v="4"/>
    <s v="Networking"/>
    <s v="NET-1645"/>
    <n v="1352.44"/>
    <n v="2698.01"/>
    <n v="2698.01"/>
    <n v="0.13100000000000001"/>
    <n v="13"/>
    <n v="30479.418970000002"/>
    <n v="17581.72"/>
    <n v="12897.698970000001"/>
    <n v="0.42316091992090887"/>
    <d v="2025-02-19T00:00:00"/>
    <s v="Q3-2023"/>
    <s v="Asia → Japan → Nagoya"/>
    <s v="High"/>
    <d v="2023-07-01T00:00:00"/>
    <d v="2023-03-01T00:00:00"/>
    <n v="4"/>
    <n v="0"/>
    <n v="0"/>
  </r>
  <r>
    <s v="ORD-2023-450877"/>
    <d v="2023-09-21T00:00:00"/>
    <d v="2023-10-10T00:00:00"/>
    <n v="19"/>
    <x v="1"/>
    <s v="Japan"/>
    <s v="Tokyo"/>
    <s v="Education"/>
    <s v="Online"/>
    <x v="0"/>
    <s v="Components"/>
    <s v="CMP-5211"/>
    <n v="845.63"/>
    <n v="2062.12"/>
    <n v="2062.12"/>
    <n v="0.13400000000000001"/>
    <n v="5"/>
    <n v="8928.9795999999988"/>
    <n v="4228.1499999999996"/>
    <n v="4700.8295999999991"/>
    <n v="0.52646884757133949"/>
    <d v="2024-12-29T00:00:00"/>
    <s v="Q3-2023"/>
    <s v="Asia → Japan → Tokyo"/>
    <s v="High"/>
    <d v="2023-09-01T00:00:00"/>
    <d v="2023-03-01T00:00:00"/>
    <n v="6"/>
    <n v="0"/>
    <n v="0"/>
  </r>
  <r>
    <s v="ORD-2023-568013"/>
    <d v="2023-09-30T00:00:00"/>
    <d v="2023-10-30T00:00:00"/>
    <n v="30"/>
    <x v="1"/>
    <s v="Japan"/>
    <s v="Tokyo"/>
    <s v="Enterprise"/>
    <s v="Online"/>
    <x v="0"/>
    <s v="Printers"/>
    <s v="PRN-1786"/>
    <n v="649.13"/>
    <n v="975.43"/>
    <n v="975.43"/>
    <n v="0.157"/>
    <n v="27"/>
    <n v="22201.762229999997"/>
    <n v="17526.509999999998"/>
    <n v="4675.2522299999982"/>
    <n v="0.21058023149543473"/>
    <d v="2024-12-28T00:00:00"/>
    <s v="Q3-2023"/>
    <s v="Asia → Japan → Tokyo"/>
    <s v="Medium"/>
    <d v="2023-09-01T00:00:00"/>
    <d v="2023-03-01T00:00:00"/>
    <n v="6"/>
    <n v="0"/>
    <n v="0"/>
  </r>
  <r>
    <s v="ORD-2023-623293"/>
    <d v="2023-10-12T00:00:00"/>
    <d v="2023-10-29T00:00:00"/>
    <n v="17"/>
    <x v="1"/>
    <s v="Japan"/>
    <s v="Nagoya"/>
    <s v="Non-Profit"/>
    <s v="Direct"/>
    <x v="15"/>
    <s v="Phones"/>
    <s v="PHN-8478"/>
    <n v="1102.19"/>
    <n v="1711.16"/>
    <n v="1711.16"/>
    <n v="0.151"/>
    <n v="10"/>
    <n v="14527.748400000002"/>
    <n v="11021.900000000001"/>
    <n v="3505.8484000000008"/>
    <n v="0.24132083675127525"/>
    <d v="2024-11-27T00:00:00"/>
    <s v="Q4-2023"/>
    <s v="Asia → Japan → Nagoya"/>
    <s v="High"/>
    <d v="2023-10-01T00:00:00"/>
    <d v="2023-03-01T00:00:00"/>
    <n v="7"/>
    <n v="0"/>
    <n v="0"/>
  </r>
  <r>
    <s v="ORD-2023-455933"/>
    <d v="2023-11-19T00:00:00"/>
    <d v="2023-12-19T00:00:00"/>
    <n v="30"/>
    <x v="1"/>
    <s v="Japan"/>
    <s v="Nagoya"/>
    <s v="Consumer"/>
    <s v="Retail"/>
    <x v="10"/>
    <s v="Phones"/>
    <s v="PHN-9184"/>
    <n v="807.11"/>
    <n v="1853.86"/>
    <n v="1853.86"/>
    <n v="0.13900000000000001"/>
    <n v="8"/>
    <n v="12769.38768"/>
    <n v="6456.88"/>
    <n v="6312.5076799999997"/>
    <n v="0.49434693645388639"/>
    <d v="2024-11-17T00:00:00"/>
    <s v="Q4-2023"/>
    <s v="Asia → Japan → Nagoya"/>
    <s v="High"/>
    <d v="2023-11-01T00:00:00"/>
    <d v="2023-03-01T00:00:00"/>
    <n v="8"/>
    <n v="0"/>
    <n v="0"/>
  </r>
  <r>
    <s v="ORD-2023-975863"/>
    <d v="2023-11-20T00:00:00"/>
    <d v="2023-12-05T00:00:00"/>
    <n v="15"/>
    <x v="1"/>
    <s v="Japan"/>
    <s v="Tokyo"/>
    <s v="Enterprise"/>
    <s v="Retail"/>
    <x v="11"/>
    <s v="Networking"/>
    <s v="NET-3033"/>
    <n v="354.24"/>
    <n v="249.87"/>
    <n v="249.87"/>
    <n v="0"/>
    <n v="6"/>
    <n v="1499.22"/>
    <n v="2125.44"/>
    <n v="-626.22"/>
    <n v="-0.41769720254532355"/>
    <d v="2024-10-30T00:00:00"/>
    <s v="Q4-2023"/>
    <s v="Asia → Japan → Tokyo"/>
    <s v="Low"/>
    <d v="2023-11-01T00:00:00"/>
    <d v="2023-03-01T00:00:00"/>
    <n v="8"/>
    <n v="0"/>
    <n v="0"/>
  </r>
  <r>
    <s v="ORD-2023-573146"/>
    <d v="2023-12-01T00:00:00"/>
    <d v="2023-12-18T00:00:00"/>
    <n v="17"/>
    <x v="1"/>
    <s v="Japan"/>
    <s v="Nagoya"/>
    <s v="Small Business"/>
    <s v="Direct"/>
    <x v="1"/>
    <s v="Laptops"/>
    <s v="LAP-3604"/>
    <n v="1495.79"/>
    <n v="2783.12"/>
    <n v="2783.12"/>
    <n v="0.02"/>
    <n v="5"/>
    <n v="13637.287999999999"/>
    <n v="7478.95"/>
    <n v="6158.3379999999988"/>
    <n v="0.45158084217331185"/>
    <d v="2024-11-02T00:00:00"/>
    <s v="Q4-2023"/>
    <s v="Asia → Japan → Nagoya"/>
    <s v="High"/>
    <d v="2023-12-01T00:00:00"/>
    <d v="2023-03-01T00:00:00"/>
    <n v="9"/>
    <n v="0"/>
    <n v="0"/>
  </r>
  <r>
    <s v="ORD-2023-596758"/>
    <d v="2023-12-05T00:00:00"/>
    <d v="2023-12-07T00:00:00"/>
    <n v="2"/>
    <x v="1"/>
    <s v="Japan"/>
    <s v="Tokyo"/>
    <s v="Non-Profit"/>
    <s v="Marketplace"/>
    <x v="15"/>
    <s v="Printers"/>
    <s v="PRN-8175"/>
    <n v="1097.5899999999999"/>
    <n v="845.55"/>
    <n v="845.55"/>
    <n v="0.184"/>
    <n v="6"/>
    <n v="4139.8127999999997"/>
    <n v="6585.5399999999991"/>
    <n v="-2445.7271999999994"/>
    <n v="-0.59078207594314402"/>
    <d v="2024-10-11T00:00:00"/>
    <s v="Q4-2023"/>
    <s v="Asia → Japan → Tokyo"/>
    <s v="Medium"/>
    <d v="2023-12-01T00:00:00"/>
    <d v="2023-03-01T00:00:00"/>
    <n v="9"/>
    <n v="1"/>
    <n v="0"/>
  </r>
  <r>
    <s v="ORD-2023-824839"/>
    <d v="2023-12-06T00:00:00"/>
    <d v="2023-12-31T00:00:00"/>
    <n v="25"/>
    <x v="1"/>
    <s v="Japan"/>
    <s v="Osaka"/>
    <s v="Consumer"/>
    <s v="Retail"/>
    <x v="11"/>
    <s v="Printers"/>
    <s v="PRN-8041"/>
    <n v="663.03"/>
    <n v="813.51"/>
    <n v="813.51"/>
    <n v="0.10199999999999999"/>
    <n v="15"/>
    <n v="10957.9797"/>
    <n v="9945.4499999999989"/>
    <n v="1012.529700000001"/>
    <n v="9.2401129379715952E-2"/>
    <d v="2024-11-08T00:00:00"/>
    <s v="Q4-2023"/>
    <s v="Asia → Japan → Osaka"/>
    <s v="Low"/>
    <d v="2023-12-01T00:00:00"/>
    <d v="2023-03-01T00:00:00"/>
    <n v="9"/>
    <n v="0"/>
    <n v="0"/>
  </r>
  <r>
    <s v="ORD-2023-580751"/>
    <d v="2023-12-24T00:00:00"/>
    <d v="2024-01-13T00:00:00"/>
    <n v="20"/>
    <x v="1"/>
    <s v="Japan"/>
    <s v="Nagoya"/>
    <s v="Education"/>
    <s v="Direct"/>
    <x v="7"/>
    <s v="Laptops"/>
    <s v="LAP-1946"/>
    <n v="625.37"/>
    <n v="1319.04"/>
    <n v="1319.04"/>
    <n v="7.3999999999999996E-2"/>
    <n v="8"/>
    <n v="9771.4483199999995"/>
    <n v="5002.96"/>
    <n v="4768.4883199999995"/>
    <n v="0.48800220436513547"/>
    <d v="2024-10-04T00:00:00"/>
    <s v="Q4-2023"/>
    <s v="Asia → Japan → Nagoya"/>
    <s v="Medium"/>
    <d v="2023-12-01T00:00:00"/>
    <d v="2023-03-01T00:00:00"/>
    <n v="9"/>
    <n v="0"/>
    <n v="0"/>
  </r>
  <r>
    <s v="ORD-2024-105586"/>
    <d v="2024-01-02T00:00:00"/>
    <d v="2024-01-15T00:00:00"/>
    <n v="13"/>
    <x v="1"/>
    <s v="Japan"/>
    <s v="Nagoya"/>
    <s v="Small Business"/>
    <s v="Marketplace"/>
    <x v="2"/>
    <s v="Networking"/>
    <s v="NET-1893"/>
    <n v="1219.06"/>
    <n v="2738.69"/>
    <n v="2738.69"/>
    <n v="7.5999999999999998E-2"/>
    <n v="16"/>
    <n v="40488.792960000006"/>
    <n v="19504.96"/>
    <n v="20983.832960000007"/>
    <n v="0.51826274447673737"/>
    <d v="2024-09-19T00:00:00"/>
    <s v="Q1-2024"/>
    <s v="Asia → Japan → Nagoya"/>
    <s v="High"/>
    <d v="2024-01-01T00:00:00"/>
    <d v="2023-03-01T00:00:00"/>
    <n v="10"/>
    <n v="0"/>
    <n v="0"/>
  </r>
  <r>
    <s v="ORD-2024-281211"/>
    <d v="2024-01-11T00:00:00"/>
    <d v="2024-02-02T00:00:00"/>
    <n v="22"/>
    <x v="1"/>
    <s v="Japan"/>
    <s v="Nagoya"/>
    <s v="Small Business"/>
    <s v="Online"/>
    <x v="10"/>
    <s v="Printers"/>
    <s v="PRN-7816"/>
    <n v="1237.68"/>
    <n v="1432.8"/>
    <n v="1432.8"/>
    <n v="6.8000000000000005E-2"/>
    <n v="13"/>
    <n v="17359.804799999998"/>
    <n v="16089.84"/>
    <n v="1269.9647999999979"/>
    <n v="7.315547695559331E-2"/>
    <d v="2024-09-09T00:00:00"/>
    <s v="Q1-2024"/>
    <s v="Asia → Japan → Nagoya"/>
    <s v="Medium"/>
    <d v="2024-01-01T00:00:00"/>
    <d v="2023-03-01T00:00:00"/>
    <n v="10"/>
    <n v="0"/>
    <n v="0"/>
  </r>
  <r>
    <s v="ORD-2024-532184"/>
    <d v="2024-01-25T00:00:00"/>
    <d v="2024-02-08T00:00:00"/>
    <n v="14"/>
    <x v="1"/>
    <s v="Japan"/>
    <s v="Osaka"/>
    <s v="Consumer"/>
    <s v="Marketplace"/>
    <x v="14"/>
    <s v="Networking"/>
    <s v="NET-9569"/>
    <n v="937.16"/>
    <n v="1069.77"/>
    <n v="1069.77"/>
    <n v="3.7999999999999999E-2"/>
    <n v="9"/>
    <n v="9262.0686600000008"/>
    <n v="8434.44"/>
    <n v="827.62866000000031"/>
    <n v="8.9356783066645962E-2"/>
    <d v="2024-08-27T00:00:00"/>
    <s v="Q1-2024"/>
    <s v="Asia → Japan → Osaka"/>
    <s v="Medium"/>
    <d v="2024-01-01T00:00:00"/>
    <d v="2023-03-01T00:00:00"/>
    <n v="10"/>
    <n v="0"/>
    <n v="0"/>
  </r>
  <r>
    <s v="ORD-2024-197852"/>
    <d v="2024-02-29T00:00:00"/>
    <d v="2024-03-30T00:00:00"/>
    <n v="30"/>
    <x v="1"/>
    <s v="Japan"/>
    <s v="Nagoya"/>
    <s v="Small Business"/>
    <s v="Direct"/>
    <x v="14"/>
    <s v="Networking"/>
    <s v="NET-7588"/>
    <n v="231.11"/>
    <n v="318.17"/>
    <n v="318.17"/>
    <n v="0.20100000000000001"/>
    <n v="60"/>
    <n v="15253.069799999999"/>
    <n v="13866.6"/>
    <n v="1386.4697999999989"/>
    <n v="9.0897754889969692E-2"/>
    <d v="2024-08-12T00:00:00"/>
    <s v="Q1-2024"/>
    <s v="Asia → Japan → Nagoya"/>
    <s v="Low"/>
    <d v="2024-02-01T00:00:00"/>
    <d v="2023-03-01T00:00:00"/>
    <n v="11"/>
    <n v="0"/>
    <n v="1"/>
  </r>
  <r>
    <s v="ORD-2024-347736"/>
    <d v="2024-05-22T00:00:00"/>
    <d v="2024-06-06T00:00:00"/>
    <n v="15"/>
    <x v="1"/>
    <s v="Japan"/>
    <s v="Nagoya"/>
    <s v="Corporate"/>
    <s v="Distributor"/>
    <x v="5"/>
    <s v="Monitors"/>
    <s v="MON-6870"/>
    <n v="673.88"/>
    <n v="1228.01"/>
    <n v="1228.01"/>
    <n v="0.105"/>
    <n v="13"/>
    <n v="14287.896349999999"/>
    <n v="8760.44"/>
    <n v="5527.4563499999986"/>
    <n v="0.38686285332689996"/>
    <d v="2024-05-01T00:00:00"/>
    <s v="Q2-2024"/>
    <s v="Asia → Japan → Nagoya"/>
    <s v="Medium"/>
    <d v="2024-05-01T00:00:00"/>
    <d v="2023-03-01T00:00:00"/>
    <n v="14"/>
    <n v="0"/>
    <n v="0"/>
  </r>
  <r>
    <s v="ORD-2024-572312"/>
    <d v="2024-06-16T00:00:00"/>
    <d v="2024-06-21T00:00:00"/>
    <n v="5"/>
    <x v="1"/>
    <s v="Japan"/>
    <s v="Tokyo"/>
    <s v="Small Business"/>
    <s v="Distributor"/>
    <x v="8"/>
    <s v="Phones"/>
    <s v="PHN-9677"/>
    <n v="1367.13"/>
    <n v="3062.01"/>
    <n v="3062.01"/>
    <n v="0.10299999999999999"/>
    <n v="25"/>
    <n v="68665.574250000005"/>
    <n v="34178.25"/>
    <n v="34487.324250000005"/>
    <n v="0.50225057645971705"/>
    <d v="2024-03-31T00:00:00"/>
    <s v="Q2-2024"/>
    <s v="Asia → Japan → Tokyo"/>
    <s v="High"/>
    <d v="2024-06-01T00:00:00"/>
    <d v="2023-03-01T00:00:00"/>
    <n v="15"/>
    <n v="1"/>
    <n v="0"/>
  </r>
  <r>
    <s v="ORD-2024-892908"/>
    <d v="2024-07-12T00:00:00"/>
    <d v="2024-07-13T00:00:00"/>
    <n v="1"/>
    <x v="1"/>
    <s v="Japan"/>
    <s v="Nagoya"/>
    <s v="Small Business"/>
    <s v="Marketplace"/>
    <x v="8"/>
    <s v="Networking"/>
    <s v="NET-9575"/>
    <n v="105.13"/>
    <n v="244.13"/>
    <n v="244.13"/>
    <n v="7.0999999999999994E-2"/>
    <n v="14"/>
    <n v="3175.1547799999998"/>
    <n v="1471.82"/>
    <n v="1703.3347799999999"/>
    <n v="0.53645724319618837"/>
    <d v="2024-03-11T00:00:00"/>
    <s v="Q3-2024"/>
    <s v="Asia → Japan → Nagoya"/>
    <s v="Low"/>
    <d v="2024-07-01T00:00:00"/>
    <d v="2023-03-01T00:00:00"/>
    <n v="16"/>
    <n v="1"/>
    <n v="0"/>
  </r>
  <r>
    <s v="ORD-2024-605629"/>
    <d v="2024-07-15T00:00:00"/>
    <d v="2024-07-15T00:00:00"/>
    <n v="0"/>
    <x v="1"/>
    <s v="Japan"/>
    <s v="Tokyo"/>
    <s v="Small Business"/>
    <s v="Marketplace"/>
    <x v="2"/>
    <s v="Accessories"/>
    <s v="ACC-2735"/>
    <n v="801.77"/>
    <n v="1218.92"/>
    <n v="1218.92"/>
    <n v="0.254"/>
    <n v="16"/>
    <n v="14549.029120000001"/>
    <n v="12828.32"/>
    <n v="1720.7091200000013"/>
    <n v="0.11826968698788344"/>
    <d v="2024-03-09T00:00:00"/>
    <s v="Q3-2024"/>
    <s v="Asia → Japan → Tokyo"/>
    <s v="Medium"/>
    <d v="2024-07-01T00:00:00"/>
    <d v="2023-03-01T00:00:00"/>
    <n v="16"/>
    <n v="1"/>
    <n v="1"/>
  </r>
  <r>
    <s v="ORD-2024-947056"/>
    <d v="2024-07-31T00:00:00"/>
    <d v="2024-08-15T00:00:00"/>
    <n v="15"/>
    <x v="1"/>
    <s v="Japan"/>
    <s v="Tokyo"/>
    <s v="Corporate"/>
    <s v="Marketplace"/>
    <x v="8"/>
    <s v="Monitors"/>
    <s v="MON-1564"/>
    <n v="1252.52"/>
    <n v="1417.24"/>
    <n v="1417.24"/>
    <n v="0.192"/>
    <n v="5"/>
    <n v="5725.6496000000006"/>
    <n v="6262.6"/>
    <n v="-536.95039999999972"/>
    <n v="-9.3779821943696953E-2"/>
    <d v="2024-03-03T00:00:00"/>
    <s v="Q3-2024"/>
    <s v="Asia → Japan → Tokyo"/>
    <s v="Medium"/>
    <d v="2024-07-01T00:00:00"/>
    <d v="2023-03-01T00:00:00"/>
    <n v="16"/>
    <n v="0"/>
    <n v="0"/>
  </r>
  <r>
    <s v="ORD-2024-136321"/>
    <d v="2024-08-07T00:00:00"/>
    <d v="2024-08-17T00:00:00"/>
    <n v="10"/>
    <x v="1"/>
    <s v="Japan"/>
    <s v="Osaka"/>
    <s v="Consumer"/>
    <s v="Online"/>
    <x v="12"/>
    <s v="Networking"/>
    <s v="NET-7924"/>
    <n v="436.58"/>
    <n v="527.48"/>
    <n v="527.48"/>
    <n v="0.111"/>
    <n v="19"/>
    <n v="8909.6646800000017"/>
    <n v="8295.02"/>
    <n v="614.64468000000124"/>
    <n v="6.8986286473802644E-2"/>
    <d v="2024-02-18T00:00:00"/>
    <s v="Q3-2024"/>
    <s v="Asia → Japan → Osaka"/>
    <s v="Low"/>
    <d v="2024-08-01T00:00:00"/>
    <d v="2023-03-01T00:00:00"/>
    <n v="17"/>
    <n v="0"/>
    <n v="0"/>
  </r>
  <r>
    <s v="ORD-2024-915495"/>
    <d v="2024-08-08T00:00:00"/>
    <d v="2024-08-20T00:00:00"/>
    <n v="12"/>
    <x v="1"/>
    <s v="Japan"/>
    <s v="Osaka"/>
    <s v="Small Business"/>
    <s v="Retail"/>
    <x v="15"/>
    <s v="Networking"/>
    <s v="NET-8957"/>
    <n v="1233.3599999999999"/>
    <n v="2120.4"/>
    <n v="2120.4"/>
    <n v="0.17899999999999999"/>
    <n v="20"/>
    <n v="34816.968000000001"/>
    <n v="24667.199999999997"/>
    <n v="10149.768000000004"/>
    <n v="0.29151785991244278"/>
    <d v="2024-02-25T00:00:00"/>
    <s v="Q3-2024"/>
    <s v="Asia → Japan → Osaka"/>
    <s v="High"/>
    <d v="2024-08-01T00:00:00"/>
    <d v="2023-03-01T00:00:00"/>
    <n v="17"/>
    <n v="0"/>
    <n v="0"/>
  </r>
  <r>
    <s v="ORD-2024-542244"/>
    <d v="2024-08-30T00:00:00"/>
    <d v="2024-09-05T00:00:00"/>
    <n v="6"/>
    <x v="1"/>
    <s v="Japan"/>
    <s v="Nagoya"/>
    <s v="Education"/>
    <s v="Online"/>
    <x v="1"/>
    <s v="Laptops"/>
    <s v="LAP-7009"/>
    <n v="466.16"/>
    <n v="876.81"/>
    <n v="876.81"/>
    <n v="0.24099999999999999"/>
    <n v="8"/>
    <n v="5323.9903199999999"/>
    <n v="3729.28"/>
    <n v="1594.7103199999997"/>
    <n v="0.29953291124691594"/>
    <d v="2024-01-16T00:00:00"/>
    <s v="Q3-2024"/>
    <s v="Asia → Japan → Nagoya"/>
    <s v="Medium"/>
    <d v="2024-08-01T00:00:00"/>
    <d v="2023-03-01T00:00:00"/>
    <n v="17"/>
    <n v="1"/>
    <n v="1"/>
  </r>
  <r>
    <s v="ORD-2024-536442"/>
    <d v="2024-08-31T00:00:00"/>
    <d v="2024-09-26T00:00:00"/>
    <n v="26"/>
    <x v="1"/>
    <s v="Japan"/>
    <s v="Tokyo"/>
    <s v="Education"/>
    <s v="Online"/>
    <x v="14"/>
    <s v="Phones"/>
    <s v="PHN-6111"/>
    <n v="1189.03"/>
    <n v="2949.62"/>
    <n v="2949.62"/>
    <n v="0.125"/>
    <n v="13"/>
    <n v="33551.927499999998"/>
    <n v="15457.39"/>
    <n v="18094.537499999999"/>
    <n v="0.53929949330034765"/>
    <d v="2024-02-08T00:00:00"/>
    <s v="Q3-2024"/>
    <s v="Asia → Japan → Tokyo"/>
    <s v="High"/>
    <d v="2024-08-01T00:00:00"/>
    <d v="2023-03-01T00:00:00"/>
    <n v="17"/>
    <n v="0"/>
    <n v="0"/>
  </r>
  <r>
    <s v="ORD-2024-207792"/>
    <d v="2024-09-03T00:00:00"/>
    <d v="2024-09-07T00:00:00"/>
    <n v="4"/>
    <x v="1"/>
    <s v="Japan"/>
    <s v="Tokyo"/>
    <s v="Small Business"/>
    <s v="Distributor"/>
    <x v="1"/>
    <s v="Printers"/>
    <s v="PRN-3917"/>
    <n v="43.23"/>
    <n v="94.78"/>
    <n v="94.78"/>
    <n v="9.0999999999999998E-2"/>
    <n v="55"/>
    <n v="4738.5261"/>
    <n v="2377.6499999999996"/>
    <n v="2360.8761000000004"/>
    <n v="0.49823005090127082"/>
    <d v="2024-01-13T00:00:00"/>
    <s v="Q3-2024"/>
    <s v="Asia → Japan → Tokyo"/>
    <s v="Low"/>
    <d v="2024-09-01T00:00:00"/>
    <d v="2023-03-01T00:00:00"/>
    <n v="18"/>
    <n v="1"/>
    <n v="0"/>
  </r>
  <r>
    <s v="ORD-2024-594527"/>
    <d v="2024-09-04T00:00:00"/>
    <d v="2024-09-06T00:00:00"/>
    <n v="2"/>
    <x v="1"/>
    <s v="Japan"/>
    <s v="Osaka"/>
    <s v="Corporate"/>
    <s v="Direct"/>
    <x v="4"/>
    <s v="Laptops"/>
    <s v="LAP-4483"/>
    <n v="1368.17"/>
    <n v="2307.75"/>
    <n v="2307.75"/>
    <n v="0.16300000000000001"/>
    <n v="21"/>
    <n v="40563.321749999996"/>
    <n v="28731.57"/>
    <n v="11831.751749999996"/>
    <n v="0.29168596750831921"/>
    <d v="2024-01-24T00:00:00"/>
    <s v="Q3-2024"/>
    <s v="Asia → Japan → Osaka"/>
    <s v="High"/>
    <d v="2024-09-01T00:00:00"/>
    <d v="2023-03-01T00:00:00"/>
    <n v="18"/>
    <n v="1"/>
    <n v="0"/>
  </r>
  <r>
    <s v="ORD-2024-569164"/>
    <d v="2024-09-05T00:00:00"/>
    <d v="2024-09-25T00:00:00"/>
    <n v="20"/>
    <x v="1"/>
    <s v="Japan"/>
    <s v="Osaka"/>
    <s v="Enterprise"/>
    <s v="Distributor"/>
    <x v="0"/>
    <s v="Monitors"/>
    <s v="MON-5249"/>
    <n v="195.54"/>
    <n v="405.97"/>
    <n v="405.97"/>
    <n v="0.187"/>
    <n v="16"/>
    <n v="5280.8577599999999"/>
    <n v="3128.64"/>
    <n v="2152.21776"/>
    <n v="0.40755079152141377"/>
    <d v="2024-01-18T00:00:00"/>
    <s v="Q3-2024"/>
    <s v="Asia → Japan → Osaka"/>
    <s v="Low"/>
    <d v="2024-09-01T00:00:00"/>
    <d v="2023-03-01T00:00:00"/>
    <n v="18"/>
    <n v="0"/>
    <n v="0"/>
  </r>
  <r>
    <s v="ORD-2024-792558"/>
    <d v="2024-10-16T00:00:00"/>
    <d v="2024-11-08T00:00:00"/>
    <n v="23"/>
    <x v="1"/>
    <s v="Japan"/>
    <s v="Osaka"/>
    <s v="Small Business"/>
    <s v="Retail"/>
    <x v="9"/>
    <s v="Networking"/>
    <s v="NET-6387"/>
    <n v="82.14"/>
    <n v="166.04"/>
    <n v="166.04"/>
    <n v="0"/>
    <n v="10"/>
    <n v="1660.3999999999999"/>
    <n v="821.4"/>
    <n v="838.99999999999989"/>
    <n v="0.50529992772825827"/>
    <d v="2023-12-26T00:00:00"/>
    <s v="Q4-2024"/>
    <s v="Asia → Japan → Osaka"/>
    <s v="Low"/>
    <d v="2024-10-01T00:00:00"/>
    <d v="2023-03-01T00:00:00"/>
    <n v="19"/>
    <n v="0"/>
    <n v="0"/>
  </r>
  <r>
    <s v="ORD-2024-668926"/>
    <d v="2024-10-23T00:00:00"/>
    <d v="2024-11-14T00:00:00"/>
    <n v="22"/>
    <x v="1"/>
    <s v="Japan"/>
    <s v="Osaka"/>
    <s v="Non-Profit"/>
    <s v="Direct"/>
    <x v="7"/>
    <s v="Phones"/>
    <s v="PHN-9789"/>
    <n v="1406.4"/>
    <n v="1564.76"/>
    <n v="1564.76"/>
    <n v="0.185"/>
    <n v="17"/>
    <n v="21679.749799999998"/>
    <n v="23908.800000000003"/>
    <n v="-2229.0502000000051"/>
    <n v="-0.10281715520536151"/>
    <d v="2023-12-24T00:00:00"/>
    <s v="Q4-2024"/>
    <s v="Asia → Japan → Osaka"/>
    <s v="Medium"/>
    <d v="2024-10-01T00:00:00"/>
    <d v="2023-03-01T00:00:00"/>
    <n v="19"/>
    <n v="0"/>
    <n v="0"/>
  </r>
  <r>
    <s v="ORD-2024-350100"/>
    <d v="2024-10-27T00:00:00"/>
    <d v="2024-11-20T00:00:00"/>
    <n v="24"/>
    <x v="1"/>
    <s v="Japan"/>
    <s v="Nagoya"/>
    <s v="Non-Profit"/>
    <s v="Online"/>
    <x v="15"/>
    <s v="Monitors"/>
    <s v="MON-8939"/>
    <n v="317.25"/>
    <n v="758.92"/>
    <n v="758.92"/>
    <n v="5.2999999999999999E-2"/>
    <n v="9"/>
    <n v="6468.2751599999992"/>
    <n v="2855.25"/>
    <n v="3613.0251599999992"/>
    <n v="0.5585762928489888"/>
    <d v="2023-12-22T00:00:00"/>
    <s v="Q4-2024"/>
    <s v="Asia → Japan → Nagoya"/>
    <s v="Low"/>
    <d v="2024-10-01T00:00:00"/>
    <d v="2023-03-01T00:00:00"/>
    <n v="19"/>
    <n v="0"/>
    <n v="0"/>
  </r>
  <r>
    <s v="ORD-2024-102866"/>
    <d v="2024-12-12T00:00:00"/>
    <d v="2024-12-20T00:00:00"/>
    <n v="8"/>
    <x v="1"/>
    <s v="Japan"/>
    <s v="Tokyo"/>
    <s v="Corporate"/>
    <s v="Retail"/>
    <x v="7"/>
    <s v="Laptops"/>
    <s v="LAP-8347"/>
    <n v="1202.47"/>
    <n v="1444.72"/>
    <n v="1444.72"/>
    <n v="0.24099999999999999"/>
    <n v="17"/>
    <n v="18641.222160000001"/>
    <n v="20441.990000000002"/>
    <n v="-1800.7678400000004"/>
    <n v="-9.6601382921343834E-2"/>
    <d v="2023-10-09T00:00:00"/>
    <s v="Q4-2024"/>
    <s v="Asia → Japan → Tokyo"/>
    <s v="Medium"/>
    <d v="2024-12-01T00:00:00"/>
    <d v="2023-03-01T00:00:00"/>
    <n v="21"/>
    <n v="0"/>
    <n v="1"/>
  </r>
  <r>
    <s v="ORD-2025-515515"/>
    <d v="2025-01-03T00:00:00"/>
    <d v="2025-01-23T00:00:00"/>
    <n v="20"/>
    <x v="1"/>
    <s v="Japan"/>
    <s v="Osaka"/>
    <s v="Corporate"/>
    <s v="Distributor"/>
    <x v="8"/>
    <s v="Phones"/>
    <s v="PHN-7019"/>
    <n v="908.6"/>
    <n v="691.37"/>
    <n v="691.37"/>
    <n v="0.25"/>
    <n v="20"/>
    <n v="10370.549999999999"/>
    <n v="18172"/>
    <n v="-7801.4500000000007"/>
    <n v="-0.75226964818645115"/>
    <d v="2023-09-20T00:00:00"/>
    <s v="Q1-2025"/>
    <s v="Asia → Japan → Osaka"/>
    <s v="Low"/>
    <d v="2025-01-01T00:00:00"/>
    <d v="2023-03-01T00:00:00"/>
    <n v="22"/>
    <n v="0"/>
    <n v="1"/>
  </r>
  <r>
    <s v="ORD-2025-415018"/>
    <d v="2025-01-22T00:00:00"/>
    <d v="2025-02-04T00:00:00"/>
    <n v="13"/>
    <x v="1"/>
    <s v="Japan"/>
    <s v="Tokyo"/>
    <s v="Small Business"/>
    <s v="Distributor"/>
    <x v="11"/>
    <s v="Printers"/>
    <s v="PRN-2991"/>
    <n v="122.29"/>
    <n v="224.95"/>
    <n v="224.95"/>
    <n v="0.153"/>
    <n v="28"/>
    <n v="5334.9141999999993"/>
    <n v="3424.1200000000003"/>
    <n v="1910.7941999999989"/>
    <n v="0.3581677471026618"/>
    <d v="2023-08-19T00:00:00"/>
    <s v="Q1-2025"/>
    <s v="Asia → Japan → Tokyo"/>
    <s v="Low"/>
    <d v="2025-01-01T00:00:00"/>
    <d v="2023-03-01T00:00:00"/>
    <n v="22"/>
    <n v="0"/>
    <n v="0"/>
  </r>
  <r>
    <s v="ORD-2025-898843"/>
    <d v="2025-02-02T00:00:00"/>
    <d v="2025-03-04T00:00:00"/>
    <n v="30"/>
    <x v="1"/>
    <s v="Japan"/>
    <s v="Osaka"/>
    <s v="Education"/>
    <s v="Distributor"/>
    <x v="11"/>
    <s v="Accessories"/>
    <s v="ACC-9591"/>
    <n v="766.59"/>
    <n v="1912.8"/>
    <n v="1912.8"/>
    <n v="0.19600000000000001"/>
    <n v="5"/>
    <n v="7689.4560000000001"/>
    <n v="3832.9500000000003"/>
    <n v="3856.5059999999999"/>
    <n v="0.50153170783472845"/>
    <d v="2023-08-17T00:00:00"/>
    <s v="Q1-2025"/>
    <s v="Asia → Japan → Osaka"/>
    <s v="High"/>
    <d v="2025-02-01T00:00:00"/>
    <d v="2023-03-01T00:00:00"/>
    <n v="23"/>
    <n v="0"/>
    <n v="0"/>
  </r>
  <r>
    <s v="ORD-2025-728935"/>
    <d v="2025-02-28T00:00:00"/>
    <d v="2025-03-10T00:00:00"/>
    <n v="10"/>
    <x v="1"/>
    <s v="Japan"/>
    <s v="Osaka"/>
    <s v="Education"/>
    <s v="Distributor"/>
    <x v="1"/>
    <s v="Laptops"/>
    <s v="LAP-3017"/>
    <n v="51.86"/>
    <n v="45.98"/>
    <n v="45.98"/>
    <n v="0.17299999999999999"/>
    <n v="7"/>
    <n v="266.17821999999995"/>
    <n v="363.02"/>
    <n v="-96.841780000000028"/>
    <n v="-0.3638230806412337"/>
    <d v="2023-07-25T00:00:00"/>
    <s v="Q1-2025"/>
    <s v="Asia → Japan → Osaka"/>
    <s v="Low"/>
    <d v="2025-02-01T00:00:00"/>
    <d v="2023-03-01T00:00:00"/>
    <n v="23"/>
    <n v="0"/>
    <n v="0"/>
  </r>
  <r>
    <s v="ORD-2025-683247"/>
    <d v="2025-03-10T00:00:00"/>
    <d v="2025-04-04T00:00:00"/>
    <n v="25"/>
    <x v="1"/>
    <s v="Japan"/>
    <s v="Osaka"/>
    <s v="Corporate"/>
    <s v="Direct"/>
    <x v="15"/>
    <s v="Printers"/>
    <s v="PRN-9867"/>
    <n v="783.72"/>
    <n v="1355.94"/>
    <n v="1355.94"/>
    <n v="0.187"/>
    <n v="4"/>
    <n v="4409.5168800000001"/>
    <n v="3134.88"/>
    <n v="1274.63688"/>
    <n v="0.28906497348525856"/>
    <d v="2023-07-10T00:00:00"/>
    <s v="Q1-2025"/>
    <s v="Asia → Japan → Osaka"/>
    <s v="Medium"/>
    <d v="2025-03-01T00:00:00"/>
    <d v="2023-03-01T00:00:00"/>
    <n v="24"/>
    <n v="0"/>
    <n v="0"/>
  </r>
  <r>
    <s v="ORD-2025-532859"/>
    <d v="2025-03-11T00:00:00"/>
    <d v="2025-03-27T00:00:00"/>
    <n v="16"/>
    <x v="1"/>
    <s v="Japan"/>
    <s v="Tokyo"/>
    <s v="Enterprise"/>
    <s v="Distributor"/>
    <x v="7"/>
    <s v="Printers"/>
    <s v="PRN-5264"/>
    <n v="1317.58"/>
    <n v="1897.74"/>
    <n v="1897.74"/>
    <n v="8.1000000000000003E-2"/>
    <n v="6"/>
    <n v="10464.138360000001"/>
    <n v="7905.48"/>
    <n v="2558.6583600000013"/>
    <n v="0.24451687009230266"/>
    <d v="2023-07-19T00:00:00"/>
    <s v="Q1-2025"/>
    <s v="Asia → Japan → Tokyo"/>
    <s v="High"/>
    <d v="2025-03-01T00:00:00"/>
    <d v="2023-03-01T00:00:00"/>
    <n v="24"/>
    <n v="0"/>
    <n v="0"/>
  </r>
  <r>
    <s v="ORD-2025-685236"/>
    <d v="2025-03-14T00:00:00"/>
    <d v="2025-03-29T00:00:00"/>
    <n v="15"/>
    <x v="1"/>
    <s v="Japan"/>
    <s v="Tokyo"/>
    <s v="Non-Profit"/>
    <s v="Direct"/>
    <x v="15"/>
    <s v="Networking"/>
    <s v="NET-8430"/>
    <n v="1106.96"/>
    <n v="2726.62"/>
    <n v="2726.62"/>
    <n v="0.317"/>
    <n v="7"/>
    <n v="13035.970220000001"/>
    <n v="7748.72"/>
    <n v="5287.2502200000008"/>
    <n v="0.40558931408789306"/>
    <d v="2023-07-21T00:00:00"/>
    <s v="Q1-2025"/>
    <s v="Asia → Japan → Tokyo"/>
    <s v="High"/>
    <d v="2025-03-01T00:00:00"/>
    <d v="2023-03-01T00:00:00"/>
    <n v="24"/>
    <n v="0"/>
    <n v="1"/>
  </r>
  <r>
    <s v="ORD-2025-125517"/>
    <d v="2025-03-21T00:00:00"/>
    <d v="2025-04-09T00:00:00"/>
    <n v="19"/>
    <x v="1"/>
    <s v="Japan"/>
    <s v="Tokyo"/>
    <s v="Small Business"/>
    <s v="Distributor"/>
    <x v="6"/>
    <s v="Components"/>
    <s v="CMP-7055"/>
    <n v="1055.45"/>
    <n v="1210.04"/>
    <n v="1210.04"/>
    <n v="8.9999999999999993E-3"/>
    <n v="18"/>
    <n v="21584.693520000001"/>
    <n v="18998.100000000002"/>
    <n v="2586.5935199999985"/>
    <n v="0.1198346188053727"/>
    <d v="2023-06-24T00:00:00"/>
    <s v="Q1-2025"/>
    <s v="Asia → Japan → Tokyo"/>
    <s v="Medium"/>
    <d v="2025-03-01T00:00:00"/>
    <d v="2023-03-01T00:00:00"/>
    <n v="24"/>
    <n v="0"/>
    <n v="0"/>
  </r>
  <r>
    <s v="ORD-2025-487025"/>
    <d v="2025-04-11T00:00:00"/>
    <d v="2025-05-04T00:00:00"/>
    <n v="23"/>
    <x v="1"/>
    <s v="Japan"/>
    <s v="Osaka"/>
    <s v="Small Business"/>
    <s v="Online"/>
    <x v="3"/>
    <s v="Components"/>
    <s v="CMP-3743"/>
    <n v="786.2"/>
    <n v="1075.3"/>
    <n v="1075.3"/>
    <n v="0.08"/>
    <n v="9"/>
    <n v="8903.4839999999986"/>
    <n v="7075.8"/>
    <n v="1827.6839999999984"/>
    <n v="0.20527739478163815"/>
    <d v="2023-06-05T00:00:00"/>
    <s v="Q2-2025"/>
    <s v="Asia → Japan → Osaka"/>
    <s v="Medium"/>
    <d v="2025-04-01T00:00:00"/>
    <d v="2023-03-01T00:00:00"/>
    <n v="25"/>
    <n v="0"/>
    <n v="0"/>
  </r>
  <r>
    <s v="ORD-2025-169093"/>
    <d v="2025-04-13T00:00:00"/>
    <d v="2025-04-14T00:00:00"/>
    <n v="1"/>
    <x v="1"/>
    <s v="Japan"/>
    <s v="Osaka"/>
    <s v="Enterprise"/>
    <s v="Online"/>
    <x v="2"/>
    <s v="Components"/>
    <s v="CMP-6495"/>
    <n v="138.9"/>
    <n v="289.92"/>
    <n v="289.92"/>
    <n v="2.9000000000000001E-2"/>
    <n v="12"/>
    <n v="3378.1478400000001"/>
    <n v="1666.8000000000002"/>
    <n v="1711.3478399999999"/>
    <n v="0.50659353025828491"/>
    <d v="2023-06-13T00:00:00"/>
    <s v="Q2-2025"/>
    <s v="Asia → Japan → Osaka"/>
    <s v="Low"/>
    <d v="2025-04-01T00:00:00"/>
    <d v="2023-03-01T00:00:00"/>
    <n v="25"/>
    <n v="1"/>
    <n v="0"/>
  </r>
  <r>
    <s v="ORD-2025-626047"/>
    <d v="2025-04-28T00:00:00"/>
    <d v="2025-05-15T00:00:00"/>
    <n v="17"/>
    <x v="1"/>
    <s v="Japan"/>
    <s v="Nagoya"/>
    <s v="Education"/>
    <s v="Direct"/>
    <x v="1"/>
    <s v="Networking"/>
    <s v="NET-1966"/>
    <n v="691.19"/>
    <n v="1284.3"/>
    <n v="1284.3"/>
    <n v="7.3999999999999996E-2"/>
    <n v="7"/>
    <n v="8324.8326000000015"/>
    <n v="4838.33"/>
    <n v="3486.5026000000016"/>
    <n v="0.41880753253825198"/>
    <d v="2023-05-20T00:00:00"/>
    <s v="Q2-2025"/>
    <s v="Asia → Japan → Nagoya"/>
    <s v="Medium"/>
    <d v="2025-04-01T00:00:00"/>
    <d v="2023-03-01T00:00:00"/>
    <n v="25"/>
    <n v="0"/>
    <n v="0"/>
  </r>
  <r>
    <s v="ORD-2025-254721"/>
    <d v="2025-05-15T00:00:00"/>
    <d v="2025-06-05T00:00:00"/>
    <n v="21"/>
    <x v="1"/>
    <s v="Japan"/>
    <s v="Osaka"/>
    <s v="Enterprise"/>
    <s v="Direct"/>
    <x v="15"/>
    <s v="Phones"/>
    <s v="PHN-6480"/>
    <n v="1466.5"/>
    <n v="2778.74"/>
    <n v="2778.74"/>
    <n v="0.13500000000000001"/>
    <n v="4"/>
    <n v="9614.4403999999995"/>
    <n v="5866"/>
    <n v="3748.4403999999995"/>
    <n v="0.38987608680792279"/>
    <d v="2023-05-04T00:00:00"/>
    <s v="Q2-2025"/>
    <s v="Asia → Japan → Osaka"/>
    <s v="High"/>
    <d v="2025-05-01T00:00:00"/>
    <d v="2023-03-01T00:00:00"/>
    <n v="26"/>
    <n v="0"/>
    <n v="0"/>
  </r>
  <r>
    <s v="ORD-2025-752192"/>
    <d v="2025-05-16T00:00:00"/>
    <d v="2025-05-18T00:00:00"/>
    <n v="2"/>
    <x v="1"/>
    <s v="Japan"/>
    <s v="Tokyo"/>
    <s v="Enterprise"/>
    <s v="Retail"/>
    <x v="9"/>
    <s v="Printers"/>
    <s v="PRN-6131"/>
    <n v="1144.3800000000001"/>
    <n v="2755.04"/>
    <n v="2755.04"/>
    <n v="0.15"/>
    <n v="17"/>
    <n v="39810.328000000001"/>
    <n v="19454.460000000003"/>
    <n v="20355.867999999999"/>
    <n v="0.51132128326096682"/>
    <d v="2023-05-14T00:00:00"/>
    <s v="Q2-2025"/>
    <s v="Asia → Japan → Tokyo"/>
    <s v="High"/>
    <d v="2025-05-01T00:00:00"/>
    <d v="2023-03-01T00:00:00"/>
    <n v="26"/>
    <n v="1"/>
    <n v="0"/>
  </r>
  <r>
    <s v="ORD-2025-486350"/>
    <d v="2025-05-27T00:00:00"/>
    <d v="2025-06-08T00:00:00"/>
    <n v="12"/>
    <x v="1"/>
    <s v="Japan"/>
    <s v="Osaka"/>
    <s v="Corporate"/>
    <s v="Retail"/>
    <x v="15"/>
    <s v="Accessories"/>
    <s v="ACC-1249"/>
    <n v="653.6"/>
    <n v="842.09"/>
    <n v="842.09"/>
    <n v="9.8000000000000004E-2"/>
    <n v="19"/>
    <n v="14431.738420000001"/>
    <n v="12418.4"/>
    <n v="2013.3384200000019"/>
    <n v="0.13950768517324622"/>
    <d v="2023-05-03T00:00:00"/>
    <s v="Q2-2025"/>
    <s v="Asia → Japan → Osaka"/>
    <s v="Medium"/>
    <d v="2025-05-01T00:00:00"/>
    <d v="2023-03-01T00:00:00"/>
    <n v="26"/>
    <n v="0"/>
    <n v="0"/>
  </r>
  <r>
    <s v="ORD-2025-417942"/>
    <d v="2025-06-09T00:00:00"/>
    <d v="2025-06-24T00:00:00"/>
    <n v="15"/>
    <x v="1"/>
    <s v="Japan"/>
    <s v="Nagoya"/>
    <s v="Corporate"/>
    <s v="Direct"/>
    <x v="7"/>
    <s v="Phones"/>
    <s v="PHN-5675"/>
    <n v="400.39"/>
    <n v="712.75"/>
    <n v="712.75"/>
    <n v="0.115"/>
    <n v="19"/>
    <n v="11984.891250000001"/>
    <n v="7607.41"/>
    <n v="4377.4812500000007"/>
    <n v="0.36524997671547504"/>
    <d v="2023-04-19T00:00:00"/>
    <s v="Q2-2025"/>
    <s v="Asia → Japan → Nagoya"/>
    <s v="Low"/>
    <d v="2025-06-01T00:00:00"/>
    <d v="2023-03-01T00:00:00"/>
    <n v="27"/>
    <n v="0"/>
    <n v="0"/>
  </r>
  <r>
    <s v="ORD-2025-703623"/>
    <d v="2025-07-23T00:00:00"/>
    <d v="2025-08-19T00:00:00"/>
    <n v="27"/>
    <x v="1"/>
    <s v="Japan"/>
    <s v="Nagoya"/>
    <s v="Consumer"/>
    <s v="Marketplace"/>
    <x v="7"/>
    <s v="Accessories"/>
    <s v="ACC-1596"/>
    <n v="896.09"/>
    <n v="744.27"/>
    <n v="744.27"/>
    <n v="8.3000000000000004E-2"/>
    <n v="11"/>
    <n v="7507.4514899999995"/>
    <n v="9856.99"/>
    <n v="-2349.5385100000003"/>
    <n v="-0.31296086469950679"/>
    <d v="2023-03-25T00:00:00"/>
    <s v="Q3-2025"/>
    <s v="Asia → Japan → Nagoya"/>
    <s v="Low"/>
    <d v="2025-07-01T00:00:00"/>
    <d v="2023-03-01T00:00:00"/>
    <n v="28"/>
    <n v="0"/>
    <n v="0"/>
  </r>
  <r>
    <s v="ORD-2025-496178"/>
    <d v="2025-07-27T00:00:00"/>
    <d v="2025-08-15T00:00:00"/>
    <n v="19"/>
    <x v="1"/>
    <s v="Japan"/>
    <s v="Tokyo"/>
    <s v="Small Business"/>
    <s v="Marketplace"/>
    <x v="9"/>
    <s v="Components"/>
    <s v="CMP-5658"/>
    <n v="275.43"/>
    <n v="608.36"/>
    <n v="608.36"/>
    <n v="0.25700000000000001"/>
    <n v="4"/>
    <n v="1808.04592"/>
    <n v="1101.72"/>
    <n v="706.32592"/>
    <n v="0.39065706915231446"/>
    <d v="2023-03-04T00:00:00"/>
    <s v="Q3-2025"/>
    <s v="Asia → Japan → Tokyo"/>
    <s v="Low"/>
    <d v="2025-07-01T00:00:00"/>
    <d v="2023-03-01T00:00:00"/>
    <n v="28"/>
    <n v="0"/>
    <n v="1"/>
  </r>
  <r>
    <s v="ORD-2025-646342"/>
    <d v="2025-08-02T00:00:00"/>
    <d v="2025-08-08T00:00:00"/>
    <n v="6"/>
    <x v="1"/>
    <s v="Japan"/>
    <s v="Osaka"/>
    <s v="Consumer"/>
    <s v="Direct"/>
    <x v="1"/>
    <s v="Laptops"/>
    <s v="LAP-4828"/>
    <n v="1225.94"/>
    <n v="1793.08"/>
    <n v="1793.08"/>
    <n v="0.13600000000000001"/>
    <n v="22"/>
    <n v="34082.864639999993"/>
    <n v="26970.68"/>
    <n v="7112.1846399999922"/>
    <n v="0.20867332353434462"/>
    <d v="2023-03-14T00:00:00"/>
    <s v="Q3-2025"/>
    <s v="Asia → Japan → Osaka"/>
    <s v="High"/>
    <d v="2025-08-01T00:00:00"/>
    <d v="2023-03-01T00:00:00"/>
    <n v="29"/>
    <n v="1"/>
    <n v="0"/>
  </r>
  <r>
    <s v="ORD-2025-233883"/>
    <d v="2025-09-08T00:00:00"/>
    <d v="2025-09-16T00:00:00"/>
    <n v="8"/>
    <x v="1"/>
    <s v="Japan"/>
    <s v="Osaka"/>
    <s v="Corporate"/>
    <s v="Distributor"/>
    <x v="5"/>
    <s v="Phones"/>
    <s v="PHN-1197"/>
    <n v="1225.57"/>
    <n v="2705.57"/>
    <n v="2705.57"/>
    <n v="0.183"/>
    <n v="16"/>
    <n v="35367.211040000002"/>
    <n v="19609.12"/>
    <n v="15758.091040000003"/>
    <n v="0.44555650775453404"/>
    <d v="2023-01-19T00:00:00"/>
    <s v="Q3-2025"/>
    <s v="Asia → Japan → Osaka"/>
    <s v="High"/>
    <d v="2025-09-01T00:00:00"/>
    <d v="2023-03-01T00:00:00"/>
    <n v="30"/>
    <n v="0"/>
    <n v="0"/>
  </r>
  <r>
    <s v="ORD-2025-779574"/>
    <d v="2025-09-10T00:00:00"/>
    <d v="2025-09-12T00:00:00"/>
    <n v="2"/>
    <x v="1"/>
    <s v="Japan"/>
    <s v="Tokyo"/>
    <s v="Consumer"/>
    <s v="Online"/>
    <x v="13"/>
    <s v="Components"/>
    <s v="CMP-6971"/>
    <n v="1470.15"/>
    <n v="2593.7800000000002"/>
    <n v="2593.7800000000002"/>
    <n v="0.11"/>
    <n v="12"/>
    <n v="27701.570400000001"/>
    <n v="17641.800000000003"/>
    <n v="10059.770399999998"/>
    <n v="0.36314801849645306"/>
    <d v="2023-01-07T00:00:00"/>
    <s v="Q3-2025"/>
    <s v="Asia → Japan → Tokyo"/>
    <s v="High"/>
    <d v="2025-09-01T00:00:00"/>
    <d v="2023-03-01T00:00:00"/>
    <n v="30"/>
    <n v="1"/>
    <n v="0"/>
  </r>
  <r>
    <s v="ORD-2025-248586"/>
    <d v="2025-09-12T00:00:00"/>
    <d v="2025-09-30T00:00:00"/>
    <n v="18"/>
    <x v="1"/>
    <s v="Japan"/>
    <s v="Nagoya"/>
    <s v="Non-Profit"/>
    <s v="Marketplace"/>
    <x v="8"/>
    <s v="Monitors"/>
    <s v="MON-2998"/>
    <n v="1212.99"/>
    <n v="1653.64"/>
    <n v="1653.64"/>
    <n v="0.107"/>
    <n v="8"/>
    <n v="11813.604160000001"/>
    <n v="9703.92"/>
    <n v="2109.6841600000007"/>
    <n v="0.17858090819931455"/>
    <d v="2023-01-12T00:00:00"/>
    <s v="Q3-2025"/>
    <s v="Asia → Japan → Nagoya"/>
    <s v="High"/>
    <d v="2025-09-01T00:00:00"/>
    <d v="2023-03-01T00:00:00"/>
    <n v="30"/>
    <n v="0"/>
    <n v="0"/>
  </r>
  <r>
    <s v="ORD-2023-586275"/>
    <d v="2023-01-20T00:00:00"/>
    <d v="2023-02-03T00:00:00"/>
    <n v="14"/>
    <x v="3"/>
    <s v="Kenya"/>
    <s v="Kisumu"/>
    <s v="Corporate"/>
    <s v="Retail"/>
    <x v="3"/>
    <s v="Networking"/>
    <s v="NET-6036"/>
    <n v="884.36"/>
    <n v="1545.34"/>
    <n v="1545.34"/>
    <n v="0.24299999999999999"/>
    <n v="41"/>
    <n v="47962.717579999997"/>
    <n v="36258.76"/>
    <n v="11703.957579999995"/>
    <n v="0.24402198562827965"/>
    <d v="2025-08-25T00:00:00"/>
    <s v="Q1-2023"/>
    <s v="Africa → Kenya → Kisumu"/>
    <s v="Medium"/>
    <d v="2023-01-01T00:00:00"/>
    <d v="2023-01-01T00:00:00"/>
    <n v="0"/>
    <n v="0"/>
    <n v="1"/>
  </r>
  <r>
    <s v="ORD-2023-156396"/>
    <d v="2023-02-21T00:00:00"/>
    <d v="2023-03-12T00:00:00"/>
    <n v="19"/>
    <x v="3"/>
    <s v="Kenya"/>
    <s v="Nakuru"/>
    <s v="Corporate"/>
    <s v="Online"/>
    <x v="8"/>
    <s v="Networking"/>
    <s v="NET-2499"/>
    <n v="352.65"/>
    <n v="485.86"/>
    <n v="485.86"/>
    <n v="4.1000000000000002E-2"/>
    <n v="6"/>
    <n v="2795.6384399999997"/>
    <n v="2115.8999999999996"/>
    <n v="679.73844000000008"/>
    <n v="0.24314247159943908"/>
    <d v="2025-08-11T00:00:00"/>
    <s v="Q1-2023"/>
    <s v="Africa → Kenya → Nakuru"/>
    <s v="Low"/>
    <d v="2023-02-01T00:00:00"/>
    <d v="2023-01-01T00:00:00"/>
    <n v="1"/>
    <n v="0"/>
    <n v="0"/>
  </r>
  <r>
    <s v="ORD-2023-373538"/>
    <d v="2023-02-28T00:00:00"/>
    <d v="2023-03-25T00:00:00"/>
    <n v="25"/>
    <x v="3"/>
    <s v="Kenya"/>
    <s v="Nairobi"/>
    <s v="Corporate"/>
    <s v="Retail"/>
    <x v="14"/>
    <s v="Networking"/>
    <s v="NET-9666"/>
    <n v="1460.76"/>
    <n v="-30.66"/>
    <n v="30.66"/>
    <n v="0.13100000000000001"/>
    <n v="12"/>
    <n v="319.72248000000002"/>
    <n v="17529.12"/>
    <n v="-17209.397519999999"/>
    <n v="-53.826047890032626"/>
    <d v="2025-07-23T00:00:00"/>
    <s v="Q1-2023"/>
    <s v="Africa → Kenya → Nairobi"/>
    <s v="Low"/>
    <d v="2023-02-01T00:00:00"/>
    <d v="2023-01-01T00:00:00"/>
    <n v="1"/>
    <n v="0"/>
    <n v="0"/>
  </r>
  <r>
    <s v="ORD-2023-949710"/>
    <d v="2023-03-07T00:00:00"/>
    <d v="2023-04-01T00:00:00"/>
    <n v="25"/>
    <x v="3"/>
    <s v="Kenya"/>
    <s v="Nairobi"/>
    <s v="Consumer"/>
    <s v="Marketplace"/>
    <x v="0"/>
    <s v="Printers"/>
    <s v="PRN-7049"/>
    <n v="1024.0999999999999"/>
    <n v="918.19"/>
    <n v="918.19"/>
    <n v="0.189"/>
    <n v="10"/>
    <n v="7446.5209000000004"/>
    <n v="10241"/>
    <n v="-2794.4790999999996"/>
    <n v="-0.37527311579827827"/>
    <d v="2025-08-02T00:00:00"/>
    <s v="Q1-2023"/>
    <s v="Africa → Kenya → Nairobi"/>
    <s v="Medium"/>
    <d v="2023-03-01T00:00:00"/>
    <d v="2023-01-01T00:00:00"/>
    <n v="2"/>
    <n v="0"/>
    <n v="0"/>
  </r>
  <r>
    <s v="ORD-2023-835010"/>
    <d v="2023-03-23T00:00:00"/>
    <d v="2023-04-15T00:00:00"/>
    <n v="23"/>
    <x v="3"/>
    <s v="Kenya"/>
    <s v="Mombasa"/>
    <s v="Small Business"/>
    <s v="Retail"/>
    <x v="5"/>
    <s v="Accessories"/>
    <s v="ACC-2988"/>
    <n v="875.36"/>
    <n v="1178.6199999999999"/>
    <n v="1178.6199999999999"/>
    <n v="0.151"/>
    <n v="53"/>
    <n v="53034.364139999991"/>
    <n v="46394.080000000002"/>
    <n v="6640.2841399999888"/>
    <n v="0.12520719815685888"/>
    <d v="2025-07-19T00:00:00"/>
    <s v="Q1-2023"/>
    <s v="Africa → Kenya → Mombasa"/>
    <s v="Medium"/>
    <d v="2023-03-01T00:00:00"/>
    <d v="2023-01-01T00:00:00"/>
    <n v="2"/>
    <n v="0"/>
    <n v="0"/>
  </r>
  <r>
    <s v="ORD-2023-613287"/>
    <d v="2023-03-31T00:00:00"/>
    <d v="2023-04-12T00:00:00"/>
    <n v="12"/>
    <x v="3"/>
    <s v="Kenya"/>
    <s v="Mombasa"/>
    <s v="Small Business"/>
    <s v="Online"/>
    <x v="5"/>
    <s v="Phones"/>
    <s v="PHN-8014"/>
    <n v="304.22000000000003"/>
    <n v="393.31"/>
    <n v="393.31"/>
    <n v="0.26500000000000001"/>
    <n v="15"/>
    <n v="4336.2427499999994"/>
    <n v="4563.3"/>
    <n v="-227.05725000000075"/>
    <n v="-5.2362670424759034E-2"/>
    <d v="2025-06-24T00:00:00"/>
    <s v="Q1-2023"/>
    <s v="Africa → Kenya → Mombasa"/>
    <s v="Low"/>
    <d v="2023-03-01T00:00:00"/>
    <d v="2023-01-01T00:00:00"/>
    <n v="2"/>
    <n v="0"/>
    <n v="1"/>
  </r>
  <r>
    <s v="ORD-2023-419187"/>
    <d v="2023-03-31T00:00:00"/>
    <d v="2023-04-05T00:00:00"/>
    <n v="5"/>
    <x v="3"/>
    <s v="Kenya"/>
    <s v="Nakuru"/>
    <s v="Education"/>
    <s v="Marketplace"/>
    <x v="7"/>
    <s v="Laptops"/>
    <s v="LAP-7819"/>
    <n v="533.26"/>
    <n v="385.72"/>
    <n v="385.72"/>
    <n v="0"/>
    <n v="15"/>
    <n v="5785.8"/>
    <n v="7998.9"/>
    <n v="-2213.0999999999995"/>
    <n v="-0.38250544436378708"/>
    <d v="2025-07-09T00:00:00"/>
    <s v="Q1-2023"/>
    <s v="Africa → Kenya → Nakuru"/>
    <s v="Low"/>
    <d v="2023-03-01T00:00:00"/>
    <d v="2023-01-01T00:00:00"/>
    <n v="2"/>
    <n v="1"/>
    <n v="0"/>
  </r>
  <r>
    <s v="ORD-2023-897079"/>
    <d v="2023-04-14T00:00:00"/>
    <d v="2023-05-14T00:00:00"/>
    <n v="30"/>
    <x v="3"/>
    <s v="Kenya"/>
    <s v="Nakuru"/>
    <s v="Consumer"/>
    <s v="Marketplace"/>
    <x v="3"/>
    <s v="Phones"/>
    <s v="PHN-1784"/>
    <n v="209.25"/>
    <n v="434.8"/>
    <n v="434.8"/>
    <n v="0"/>
    <n v="9"/>
    <n v="3913.2000000000003"/>
    <n v="1883.25"/>
    <n v="2029.9500000000003"/>
    <n v="0.51874425022999082"/>
    <d v="2025-06-24T00:00:00"/>
    <s v="Q2-2023"/>
    <s v="Africa → Kenya → Nakuru"/>
    <s v="Low"/>
    <d v="2023-04-01T00:00:00"/>
    <d v="2023-01-01T00:00:00"/>
    <n v="3"/>
    <n v="0"/>
    <n v="0"/>
  </r>
  <r>
    <s v="ORD-2023-937291"/>
    <d v="2023-04-22T00:00:00"/>
    <d v="2023-04-23T00:00:00"/>
    <n v="1"/>
    <x v="3"/>
    <s v="Kenya"/>
    <s v="Nairobi"/>
    <s v="Small Business"/>
    <s v="Direct"/>
    <x v="6"/>
    <s v="Laptops"/>
    <s v="LAP-1698"/>
    <n v="756.51"/>
    <n v="850.8"/>
    <n v="850.8"/>
    <n v="7.3999999999999996E-2"/>
    <n v="9"/>
    <n v="7090.5672000000004"/>
    <n v="6808.59"/>
    <n v="281.97720000000027"/>
    <n v="3.9767932810791252E-2"/>
    <d v="2025-06-09T00:00:00"/>
    <s v="Q2-2023"/>
    <s v="Africa → Kenya → Nairobi"/>
    <s v="Medium"/>
    <d v="2023-04-01T00:00:00"/>
    <d v="2023-01-01T00:00:00"/>
    <n v="3"/>
    <n v="1"/>
    <n v="0"/>
  </r>
  <r>
    <s v="ORD-2023-251563"/>
    <d v="2023-05-11T00:00:00"/>
    <d v="2023-06-07T00:00:00"/>
    <n v="27"/>
    <x v="3"/>
    <s v="Kenya"/>
    <s v="Mombasa"/>
    <s v="Corporate"/>
    <s v="Online"/>
    <x v="9"/>
    <s v="Phones"/>
    <s v="PHN-8970"/>
    <n v="12.85"/>
    <n v="15.41"/>
    <n v="15.41"/>
    <n v="0.13700000000000001"/>
    <n v="39"/>
    <n v="518.65436999999997"/>
    <n v="501.15"/>
    <n v="17.504369999999994"/>
    <n v="3.3749585489851353E-2"/>
    <d v="2025-04-27T00:00:00"/>
    <s v="Q2-2023"/>
    <s v="Africa → Kenya → Mombasa"/>
    <s v="Low"/>
    <d v="2023-05-01T00:00:00"/>
    <d v="2023-01-01T00:00:00"/>
    <n v="4"/>
    <n v="0"/>
    <n v="0"/>
  </r>
  <r>
    <s v="ORD-2023-931633"/>
    <d v="2023-05-14T00:00:00"/>
    <d v="2023-05-22T00:00:00"/>
    <n v="8"/>
    <x v="3"/>
    <s v="Kenya"/>
    <s v="Mombasa"/>
    <s v="Small Business"/>
    <s v="Distributor"/>
    <x v="8"/>
    <s v="Printers"/>
    <s v="PRN-9488"/>
    <n v="432.01"/>
    <n v="913.78"/>
    <n v="913.78"/>
    <n v="4.9000000000000002E-2"/>
    <n v="12"/>
    <n v="10428.057360000001"/>
    <n v="5184.12"/>
    <n v="5243.9373600000008"/>
    <n v="0.50286809699711899"/>
    <d v="2025-05-19T00:00:00"/>
    <s v="Q2-2023"/>
    <s v="Africa → Kenya → Mombasa"/>
    <s v="Medium"/>
    <d v="2023-05-01T00:00:00"/>
    <d v="2023-01-01T00:00:00"/>
    <n v="4"/>
    <n v="0"/>
    <n v="0"/>
  </r>
  <r>
    <s v="ORD-2023-536542"/>
    <d v="2023-06-10T00:00:00"/>
    <d v="2023-06-18T00:00:00"/>
    <n v="8"/>
    <x v="3"/>
    <s v="Kenya"/>
    <s v="Nakuru"/>
    <s v="Enterprise"/>
    <s v="Direct"/>
    <x v="15"/>
    <s v="Phones"/>
    <s v="PHN-2337"/>
    <n v="894.23"/>
    <n v="1421.55"/>
    <n v="1421.55"/>
    <n v="0.109"/>
    <n v="3"/>
    <n v="3799.8031499999997"/>
    <n v="2682.69"/>
    <n v="1117.1131499999997"/>
    <n v="0.29399237431549574"/>
    <d v="2025-04-17T00:00:00"/>
    <s v="Q2-2023"/>
    <s v="Africa → Kenya → Nakuru"/>
    <s v="Medium"/>
    <d v="2023-06-01T00:00:00"/>
    <d v="2023-01-01T00:00:00"/>
    <n v="5"/>
    <n v="0"/>
    <n v="0"/>
  </r>
  <r>
    <s v="ORD-2023-286720"/>
    <d v="2023-07-08T00:00:00"/>
    <d v="2023-07-09T00:00:00"/>
    <n v="1"/>
    <x v="3"/>
    <s v="Kenya"/>
    <s v="Nairobi"/>
    <s v="Consumer"/>
    <s v="Online"/>
    <x v="0"/>
    <s v="Laptops"/>
    <s v="LAP-1989"/>
    <n v="1258.72"/>
    <n v="2797.41"/>
    <n v="2797.41"/>
    <n v="0"/>
    <n v="7"/>
    <n v="19581.87"/>
    <n v="8811.0400000000009"/>
    <n v="10770.829999999998"/>
    <n v="0.55004093071805704"/>
    <d v="2025-03-23T00:00:00"/>
    <s v="Q3-2023"/>
    <s v="Africa → Kenya → Nairobi"/>
    <s v="High"/>
    <d v="2023-07-01T00:00:00"/>
    <d v="2023-01-01T00:00:00"/>
    <n v="6"/>
    <n v="1"/>
    <n v="0"/>
  </r>
  <r>
    <s v="ORD-2023-261081"/>
    <d v="2023-07-24T00:00:00"/>
    <d v="2023-08-19T00:00:00"/>
    <n v="26"/>
    <x v="3"/>
    <s v="Kenya"/>
    <s v="Nairobi"/>
    <s v="Enterprise"/>
    <s v="Distributor"/>
    <x v="3"/>
    <s v="Accessories"/>
    <s v="ACC-1238"/>
    <n v="661.45"/>
    <n v="1634.86"/>
    <n v="1634.86"/>
    <n v="0.56499999999999995"/>
    <n v="24"/>
    <n v="17067.938400000003"/>
    <n v="15874.800000000001"/>
    <n v="1193.1384000000016"/>
    <n v="6.9905244092045793E-2"/>
    <d v="2025-02-21T00:00:00"/>
    <s v="Q3-2023"/>
    <s v="Africa → Kenya → Nairobi"/>
    <s v="Medium"/>
    <d v="2023-07-01T00:00:00"/>
    <d v="2023-01-01T00:00:00"/>
    <n v="6"/>
    <n v="0"/>
    <n v="1"/>
  </r>
  <r>
    <s v="ORD-2023-274037"/>
    <d v="2023-08-15T00:00:00"/>
    <d v="2023-08-25T00:00:00"/>
    <n v="10"/>
    <x v="3"/>
    <s v="Kenya"/>
    <s v="Nairobi"/>
    <s v="Small Business"/>
    <s v="Retail"/>
    <x v="1"/>
    <s v="Phones"/>
    <s v="PHN-1234"/>
    <n v="91.85"/>
    <n v="111.29"/>
    <n v="111.29"/>
    <n v="0"/>
    <n v="6"/>
    <n v="667.74"/>
    <n v="551.09999999999991"/>
    <n v="116.6400000000001"/>
    <n v="0.17467876718483258"/>
    <d v="2025-02-15T00:00:00"/>
    <s v="Q3-2023"/>
    <s v="Africa → Kenya → Nairobi"/>
    <s v="Low"/>
    <d v="2023-08-01T00:00:00"/>
    <d v="2023-01-01T00:00:00"/>
    <n v="7"/>
    <n v="0"/>
    <n v="0"/>
  </r>
  <r>
    <s v="ORD-2023-755337"/>
    <d v="2023-09-08T00:00:00"/>
    <d v="2023-09-14T00:00:00"/>
    <n v="6"/>
    <x v="3"/>
    <s v="Kenya"/>
    <s v="Nakuru"/>
    <s v="Education"/>
    <s v="Direct"/>
    <x v="14"/>
    <s v="Accessories"/>
    <s v="ACC-4766"/>
    <n v="251.03"/>
    <n v="411.48"/>
    <n v="411.48"/>
    <n v="0.16500000000000001"/>
    <n v="3"/>
    <n v="1030.7574"/>
    <n v="753.09"/>
    <n v="277.66739999999993"/>
    <n v="0.26938191275658069"/>
    <d v="2024-12-17T00:00:00"/>
    <s v="Q3-2023"/>
    <s v="Africa → Kenya → Nakuru"/>
    <s v="Low"/>
    <d v="2023-09-01T00:00:00"/>
    <d v="2023-01-01T00:00:00"/>
    <n v="8"/>
    <n v="1"/>
    <n v="0"/>
  </r>
  <r>
    <s v="ORD-2023-378104"/>
    <d v="2023-10-18T00:00:00"/>
    <d v="2023-10-20T00:00:00"/>
    <n v="2"/>
    <x v="3"/>
    <s v="Kenya"/>
    <s v="Kisumu"/>
    <s v="Consumer"/>
    <s v="Retail"/>
    <x v="9"/>
    <s v="Phones"/>
    <s v="PHN-8891"/>
    <n v="774.12"/>
    <n v="908.3"/>
    <n v="908.3"/>
    <n v="0"/>
    <n v="30"/>
    <n v="27249"/>
    <n v="23223.599999999999"/>
    <n v="4025.4000000000015"/>
    <n v="0.14772652207420461"/>
    <d v="2024-12-15T00:00:00"/>
    <s v="Q4-2023"/>
    <s v="Africa → Kenya → Kisumu"/>
    <s v="Medium"/>
    <d v="2023-10-01T00:00:00"/>
    <d v="2023-01-01T00:00:00"/>
    <n v="9"/>
    <n v="1"/>
    <n v="0"/>
  </r>
  <r>
    <s v="ORD-2023-842488"/>
    <d v="2023-10-31T00:00:00"/>
    <d v="2023-11-02T00:00:00"/>
    <n v="2"/>
    <x v="3"/>
    <s v="Kenya"/>
    <s v="Kisumu"/>
    <s v="Education"/>
    <s v="Retail"/>
    <x v="13"/>
    <s v="Accessories"/>
    <s v="ACC-4124"/>
    <n v="867.89"/>
    <n v="1349.94"/>
    <n v="1349.94"/>
    <n v="0.184"/>
    <n v="10"/>
    <n v="11015.510400000003"/>
    <n v="8678.9"/>
    <n v="2336.6104000000032"/>
    <n v="0.21212003031652557"/>
    <d v="2024-11-30T00:00:00"/>
    <s v="Q4-2023"/>
    <s v="Africa → Kenya → Kisumu"/>
    <s v="Medium"/>
    <d v="2023-10-01T00:00:00"/>
    <d v="2023-01-01T00:00:00"/>
    <n v="9"/>
    <n v="1"/>
    <n v="0"/>
  </r>
  <r>
    <s v="ORD-2023-178249"/>
    <d v="2023-12-29T00:00:00"/>
    <d v="2024-01-20T00:00:00"/>
    <n v="22"/>
    <x v="3"/>
    <s v="Kenya"/>
    <s v="Kisumu"/>
    <s v="Corporate"/>
    <s v="Direct"/>
    <x v="11"/>
    <s v="Phones"/>
    <s v="PHN-7924"/>
    <n v="1395.49"/>
    <n v="1679.42"/>
    <n v="1679.42"/>
    <n v="0.20300000000000001"/>
    <n v="12"/>
    <n v="16061.972879999999"/>
    <n v="16745.88"/>
    <n v="-683.90712000000167"/>
    <n v="-4.2579272490964493E-2"/>
    <d v="2024-10-13T00:00:00"/>
    <s v="Q4-2023"/>
    <s v="Africa → Kenya → Kisumu"/>
    <s v="High"/>
    <d v="2023-12-01T00:00:00"/>
    <d v="2023-01-01T00:00:00"/>
    <n v="11"/>
    <n v="0"/>
    <n v="1"/>
  </r>
  <r>
    <s v="ORD-2024-647571"/>
    <d v="2024-02-06T00:00:00"/>
    <d v="2024-02-28T00:00:00"/>
    <n v="22"/>
    <x v="3"/>
    <s v="Kenya"/>
    <s v="Kisumu"/>
    <s v="Non-Profit"/>
    <s v="Online"/>
    <x v="12"/>
    <s v="Monitors"/>
    <s v="MON-2462"/>
    <n v="834.93"/>
    <n v="1588.53"/>
    <n v="1588.53"/>
    <n v="0.126"/>
    <n v="6"/>
    <n v="8330.2513199999994"/>
    <n v="5009.58"/>
    <n v="3320.6713199999995"/>
    <n v="0.39862798761274343"/>
    <d v="2024-08-10T00:00:00"/>
    <s v="Q1-2024"/>
    <s v="Africa → Kenya → Kisumu"/>
    <s v="Medium"/>
    <d v="2024-02-01T00:00:00"/>
    <d v="2023-01-01T00:00:00"/>
    <n v="13"/>
    <n v="0"/>
    <n v="0"/>
  </r>
  <r>
    <s v="ORD-2024-979401"/>
    <d v="2024-02-08T00:00:00"/>
    <d v="2024-02-09T00:00:00"/>
    <n v="1"/>
    <x v="3"/>
    <s v="Kenya"/>
    <s v="Mombasa"/>
    <s v="Corporate"/>
    <s v="Direct"/>
    <x v="8"/>
    <s v="Components"/>
    <s v="CMP-5911"/>
    <n v="1233.52"/>
    <n v="1543.76"/>
    <n v="1543.76"/>
    <n v="0.126"/>
    <n v="13"/>
    <n v="17540.201120000002"/>
    <n v="16035.76"/>
    <n v="1504.4411200000013"/>
    <n v="8.5771030201277493E-2"/>
    <d v="2024-08-30T00:00:00"/>
    <s v="Q1-2024"/>
    <s v="Africa → Kenya → Mombasa"/>
    <s v="Medium"/>
    <d v="2024-02-01T00:00:00"/>
    <d v="2023-01-01T00:00:00"/>
    <n v="13"/>
    <n v="1"/>
    <n v="0"/>
  </r>
  <r>
    <s v="ORD-2024-968374"/>
    <d v="2024-02-11T00:00:00"/>
    <d v="2024-03-03T00:00:00"/>
    <n v="21"/>
    <x v="3"/>
    <s v="Kenya"/>
    <s v="Kisumu"/>
    <s v="Enterprise"/>
    <s v="Online"/>
    <x v="7"/>
    <s v="Phones"/>
    <s v="PHN-5082"/>
    <n v="516.86"/>
    <n v="852.54"/>
    <n v="852.54"/>
    <n v="5.0999999999999997E-2"/>
    <n v="14"/>
    <n v="11326.846439999999"/>
    <n v="7236.04"/>
    <n v="4090.8064399999994"/>
    <n v="0.36116022775355994"/>
    <d v="2024-09-04T00:00:00"/>
    <s v="Q1-2024"/>
    <s v="Africa → Kenya → Kisumu"/>
    <s v="Medium"/>
    <d v="2024-02-01T00:00:00"/>
    <d v="2023-01-01T00:00:00"/>
    <n v="13"/>
    <n v="0"/>
    <n v="0"/>
  </r>
  <r>
    <s v="ORD-2024-201376"/>
    <d v="2024-02-18T00:00:00"/>
    <d v="2024-03-04T00:00:00"/>
    <n v="15"/>
    <x v="3"/>
    <s v="Kenya"/>
    <s v="Kisumu"/>
    <s v="Education"/>
    <s v="Direct"/>
    <x v="12"/>
    <s v="Printers"/>
    <s v="PRN-7089"/>
    <n v="928.68"/>
    <n v="2145.17"/>
    <n v="2145.17"/>
    <n v="0.13600000000000001"/>
    <n v="16"/>
    <n v="29654.83008"/>
    <n v="14858.88"/>
    <n v="14795.950080000001"/>
    <n v="0.49893896003062177"/>
    <d v="2024-07-28T00:00:00"/>
    <s v="Q1-2024"/>
    <s v="Africa → Kenya → Kisumu"/>
    <s v="High"/>
    <d v="2024-02-01T00:00:00"/>
    <d v="2023-01-01T00:00:00"/>
    <n v="13"/>
    <n v="0"/>
    <n v="0"/>
  </r>
  <r>
    <s v="ORD-2024-275203"/>
    <d v="2024-03-11T00:00:00"/>
    <d v="2024-04-06T00:00:00"/>
    <n v="26"/>
    <x v="3"/>
    <s v="Kenya"/>
    <s v="Kisumu"/>
    <s v="Corporate"/>
    <s v="Retail"/>
    <x v="5"/>
    <s v="Components"/>
    <s v="CMP-8270"/>
    <n v="279.24"/>
    <n v="608.9"/>
    <n v="608.9"/>
    <n v="0.112"/>
    <n v="9"/>
    <n v="4866.3287999999993"/>
    <n v="2513.16"/>
    <n v="2353.1687999999995"/>
    <n v="0.48356140670149533"/>
    <d v="2024-06-30T00:00:00"/>
    <s v="Q1-2024"/>
    <s v="Africa → Kenya → Kisumu"/>
    <s v="Low"/>
    <d v="2024-03-01T00:00:00"/>
    <d v="2023-01-01T00:00:00"/>
    <n v="14"/>
    <n v="0"/>
    <n v="0"/>
  </r>
  <r>
    <s v="ORD-2024-364080"/>
    <d v="2024-04-16T00:00:00"/>
    <d v="2024-04-27T00:00:00"/>
    <n v="11"/>
    <x v="3"/>
    <s v="Kenya"/>
    <s v="Nakuru"/>
    <s v="Enterprise"/>
    <s v="Online"/>
    <x v="0"/>
    <s v="Printers"/>
    <s v="PRN-2641"/>
    <n v="401.3"/>
    <n v="826.47"/>
    <n v="826.47"/>
    <n v="0.22500000000000001"/>
    <n v="13"/>
    <n v="8326.6852500000005"/>
    <n v="5216.9000000000005"/>
    <n v="3109.7852499999999"/>
    <n v="0.37347217489696755"/>
    <d v="2024-06-05T00:00:00"/>
    <s v="Q2-2024"/>
    <s v="Africa → Kenya → Nakuru"/>
    <s v="Medium"/>
    <d v="2024-04-01T00:00:00"/>
    <d v="2023-01-01T00:00:00"/>
    <n v="15"/>
    <n v="0"/>
    <n v="1"/>
  </r>
  <r>
    <s v="ORD-2024-833375"/>
    <d v="2024-04-24T00:00:00"/>
    <d v="2024-05-10T00:00:00"/>
    <n v="16"/>
    <x v="3"/>
    <s v="Kenya"/>
    <s v="Kisumu"/>
    <s v="Non-Profit"/>
    <s v="Online"/>
    <x v="1"/>
    <s v="Monitors"/>
    <s v="MON-6190"/>
    <n v="513.30999999999995"/>
    <n v="1186.26"/>
    <n v="1186.26"/>
    <n v="9.4E-2"/>
    <n v="15"/>
    <n v="16121.273400000002"/>
    <n v="7699.65"/>
    <n v="8421.6234000000022"/>
    <n v="0.52239194702820446"/>
    <d v="2024-05-27T00:00:00"/>
    <s v="Q2-2024"/>
    <s v="Africa → Kenya → Kisumu"/>
    <s v="Medium"/>
    <d v="2024-04-01T00:00:00"/>
    <d v="2023-01-01T00:00:00"/>
    <n v="15"/>
    <n v="0"/>
    <n v="0"/>
  </r>
  <r>
    <s v="ORD-2024-555229"/>
    <d v="2024-05-18T00:00:00"/>
    <d v="2024-05-22T00:00:00"/>
    <n v="4"/>
    <x v="3"/>
    <s v="Kenya"/>
    <s v="Nairobi"/>
    <s v="Corporate"/>
    <s v="Direct"/>
    <x v="15"/>
    <s v="Accessories"/>
    <s v="ACC-7354"/>
    <n v="857.42"/>
    <n v="1658.92"/>
    <n v="1658.92"/>
    <n v="0.122"/>
    <n v="9"/>
    <n v="13108.78584"/>
    <n v="7716.78"/>
    <n v="5392.0058400000007"/>
    <n v="0.41132763215544305"/>
    <d v="2024-05-04T00:00:00"/>
    <s v="Q2-2024"/>
    <s v="Africa → Kenya → Nairobi"/>
    <s v="High"/>
    <d v="2024-05-01T00:00:00"/>
    <d v="2023-01-01T00:00:00"/>
    <n v="16"/>
    <n v="1"/>
    <n v="0"/>
  </r>
  <r>
    <s v="ORD-2024-819778"/>
    <d v="2024-06-02T00:00:00"/>
    <d v="2024-06-15T00:00:00"/>
    <n v="13"/>
    <x v="3"/>
    <s v="Kenya"/>
    <s v="Mombasa"/>
    <s v="Education"/>
    <s v="Online"/>
    <x v="13"/>
    <s v="Phones"/>
    <s v="PHN-6866"/>
    <n v="1295.18"/>
    <n v="3024.03"/>
    <n v="3024.03"/>
    <n v="0.192"/>
    <n v="8"/>
    <n v="19547.329920000004"/>
    <n v="10361.44"/>
    <n v="9185.8899200000033"/>
    <n v="0.46993067378483178"/>
    <d v="2024-05-10T00:00:00"/>
    <s v="Q2-2024"/>
    <s v="Africa → Kenya → Mombasa"/>
    <s v="High"/>
    <d v="2024-06-01T00:00:00"/>
    <d v="2023-01-01T00:00:00"/>
    <n v="17"/>
    <n v="0"/>
    <n v="0"/>
  </r>
  <r>
    <s v="ORD-2024-166150"/>
    <d v="2024-06-02T00:00:00"/>
    <d v="2024-06-08T00:00:00"/>
    <n v="6"/>
    <x v="3"/>
    <s v="Kenya"/>
    <s v="Kisumu"/>
    <s v="Consumer"/>
    <s v="Marketplace"/>
    <x v="4"/>
    <s v="Accessories"/>
    <s v="ACC-9820"/>
    <n v="292.94"/>
    <n v="356.55"/>
    <n v="356.55"/>
    <n v="0.22900000000000001"/>
    <n v="2"/>
    <n v="549.80010000000004"/>
    <n v="585.88"/>
    <n v="-36.079899999999952"/>
    <n v="-6.5623669402751925E-2"/>
    <d v="2024-05-01T00:00:00"/>
    <s v="Q2-2024"/>
    <s v="Africa → Kenya → Kisumu"/>
    <s v="Low"/>
    <d v="2024-06-01T00:00:00"/>
    <d v="2023-01-01T00:00:00"/>
    <n v="17"/>
    <n v="1"/>
    <n v="1"/>
  </r>
  <r>
    <s v="ORD-2024-713332"/>
    <d v="2024-06-05T00:00:00"/>
    <d v="2024-06-23T00:00:00"/>
    <n v="18"/>
    <x v="3"/>
    <s v="Kenya"/>
    <s v="Nairobi"/>
    <s v="Consumer"/>
    <s v="Distributor"/>
    <x v="0"/>
    <s v="Laptops"/>
    <s v="LAP-1739"/>
    <n v="1208.74"/>
    <n v="1594.78"/>
    <n v="1594.78"/>
    <n v="5.8999999999999997E-2"/>
    <n v="39"/>
    <n v="58526.83122"/>
    <n v="47140.86"/>
    <n v="11385.971219999999"/>
    <n v="0.1945427589817838"/>
    <d v="2024-04-18T00:00:00"/>
    <s v="Q2-2024"/>
    <s v="Africa → Kenya → Nairobi"/>
    <s v="Medium"/>
    <d v="2024-06-01T00:00:00"/>
    <d v="2023-01-01T00:00:00"/>
    <n v="17"/>
    <n v="0"/>
    <n v="0"/>
  </r>
  <r>
    <s v="ORD-2024-878493"/>
    <d v="2024-06-19T00:00:00"/>
    <d v="2024-06-20T00:00:00"/>
    <n v="1"/>
    <x v="3"/>
    <s v="Kenya"/>
    <s v="Kisumu"/>
    <s v="Small Business"/>
    <s v="Direct"/>
    <x v="9"/>
    <s v="Laptops"/>
    <s v="LAP-4607"/>
    <n v="231.63"/>
    <n v="537.39"/>
    <n v="537.39"/>
    <n v="0.08"/>
    <n v="12"/>
    <n v="5932.7856000000002"/>
    <n v="2779.56"/>
    <n v="3153.2256000000002"/>
    <n v="0.53149158129024587"/>
    <d v="2024-03-16T00:00:00"/>
    <s v="Q2-2024"/>
    <s v="Africa → Kenya → Kisumu"/>
    <s v="Low"/>
    <d v="2024-06-01T00:00:00"/>
    <d v="2023-01-01T00:00:00"/>
    <n v="17"/>
    <n v="1"/>
    <n v="0"/>
  </r>
  <r>
    <s v="ORD-2024-341535"/>
    <d v="2024-06-25T00:00:00"/>
    <d v="2024-06-30T00:00:00"/>
    <n v="5"/>
    <x v="3"/>
    <s v="Kenya"/>
    <s v="Kisumu"/>
    <s v="Education"/>
    <s v="Direct"/>
    <x v="3"/>
    <s v="Networking"/>
    <s v="NET-5987"/>
    <n v="1323.55"/>
    <n v="3230.35"/>
    <n v="3230.35"/>
    <n v="2.1999999999999999E-2"/>
    <n v="26"/>
    <n v="82141.339799999987"/>
    <n v="34412.299999999996"/>
    <n v="47729.039799999991"/>
    <n v="0.58105991351263542"/>
    <d v="2024-03-15T00:00:00"/>
    <s v="Q2-2024"/>
    <s v="Africa → Kenya → Kisumu"/>
    <s v="High"/>
    <d v="2024-06-01T00:00:00"/>
    <d v="2023-01-01T00:00:00"/>
    <n v="17"/>
    <n v="1"/>
    <n v="0"/>
  </r>
  <r>
    <s v="ORD-2024-442776"/>
    <d v="2024-06-30T00:00:00"/>
    <d v="2024-07-21T00:00:00"/>
    <n v="21"/>
    <x v="3"/>
    <s v="Kenya"/>
    <s v="Kisumu"/>
    <s v="Small Business"/>
    <s v="Retail"/>
    <x v="12"/>
    <s v="Laptops"/>
    <s v="LAP-6577"/>
    <n v="753.43"/>
    <n v="1787.2"/>
    <n v="1787.2"/>
    <n v="7.2999999999999995E-2"/>
    <n v="9"/>
    <n v="14910.609600000002"/>
    <n v="6780.87"/>
    <n v="8129.7396000000017"/>
    <n v="0.54523187301476939"/>
    <d v="2024-03-13T00:00:00"/>
    <s v="Q2-2024"/>
    <s v="Africa → Kenya → Kisumu"/>
    <s v="High"/>
    <d v="2024-06-01T00:00:00"/>
    <d v="2023-01-01T00:00:00"/>
    <n v="17"/>
    <n v="0"/>
    <n v="0"/>
  </r>
  <r>
    <s v="ORD-2024-855073"/>
    <d v="2024-07-19T00:00:00"/>
    <d v="2024-07-19T00:00:00"/>
    <n v="0"/>
    <x v="3"/>
    <s v="Kenya"/>
    <s v="Kisumu"/>
    <s v="Small Business"/>
    <s v="Retail"/>
    <x v="4"/>
    <s v="Phones"/>
    <s v="PHN-6854"/>
    <n v="857.24"/>
    <n v="758.23"/>
    <n v="758.23"/>
    <n v="0.125"/>
    <n v="6"/>
    <n v="3980.7075"/>
    <n v="5143.4400000000005"/>
    <n v="-1162.7325000000005"/>
    <n v="-0.29209192084572921"/>
    <d v="2024-03-06T00:00:00"/>
    <s v="Q3-2024"/>
    <s v="Africa → Kenya → Kisumu"/>
    <s v="Low"/>
    <d v="2024-07-01T00:00:00"/>
    <d v="2023-01-01T00:00:00"/>
    <n v="18"/>
    <n v="1"/>
    <n v="0"/>
  </r>
  <r>
    <s v="ORD-2024-798002"/>
    <d v="2024-07-24T00:00:00"/>
    <d v="2024-07-25T00:00:00"/>
    <n v="1"/>
    <x v="3"/>
    <s v="Kenya"/>
    <s v="Mombasa"/>
    <s v="Non-Profit"/>
    <s v="Direct"/>
    <x v="9"/>
    <s v="Laptops"/>
    <s v="LAP-9815"/>
    <n v="1494.4"/>
    <n v="3661.07"/>
    <n v="3661.07"/>
    <n v="7.1999999999999995E-2"/>
    <n v="7"/>
    <n v="23782.310720000001"/>
    <n v="10460.800000000001"/>
    <n v="13321.51072"/>
    <n v="0.56014366630897339"/>
    <d v="2024-03-07T00:00:00"/>
    <s v="Q3-2024"/>
    <s v="Africa → Kenya → Mombasa"/>
    <s v="High"/>
    <d v="2024-07-01T00:00:00"/>
    <d v="2023-01-01T00:00:00"/>
    <n v="18"/>
    <n v="1"/>
    <n v="0"/>
  </r>
  <r>
    <s v="ORD-2024-689872"/>
    <d v="2024-08-03T00:00:00"/>
    <d v="2024-08-09T00:00:00"/>
    <n v="6"/>
    <x v="3"/>
    <s v="Kenya"/>
    <s v="Mombasa"/>
    <s v="Consumer"/>
    <s v="Marketplace"/>
    <x v="15"/>
    <s v="Laptops"/>
    <s v="LAP-1969"/>
    <n v="643.21"/>
    <n v="1112.81"/>
    <n v="1112.81"/>
    <n v="0.14099999999999999"/>
    <n v="4"/>
    <n v="3823.6151599999998"/>
    <n v="2572.84"/>
    <n v="1250.7751599999997"/>
    <n v="0.32711847496702562"/>
    <d v="2024-03-04T00:00:00"/>
    <s v="Q3-2024"/>
    <s v="Africa → Kenya → Mombasa"/>
    <s v="Medium"/>
    <d v="2024-08-01T00:00:00"/>
    <d v="2023-01-01T00:00:00"/>
    <n v="19"/>
    <n v="1"/>
    <n v="0"/>
  </r>
  <r>
    <s v="ORD-2024-687100"/>
    <d v="2024-09-10T00:00:00"/>
    <d v="2024-10-07T00:00:00"/>
    <n v="27"/>
    <x v="3"/>
    <s v="Kenya"/>
    <s v="Kisumu"/>
    <s v="Consumer"/>
    <s v="Retail"/>
    <x v="11"/>
    <s v="Printers"/>
    <s v="PRN-6068"/>
    <n v="1248.3900000000001"/>
    <n v="1805.11"/>
    <n v="1805.11"/>
    <n v="0.20300000000000001"/>
    <n v="11"/>
    <n v="15825.399369999997"/>
    <n v="13732.29"/>
    <n v="2093.1093699999965"/>
    <n v="0.13226265707820786"/>
    <d v="2024-01-27T00:00:00"/>
    <s v="Q3-2024"/>
    <s v="Africa → Kenya → Kisumu"/>
    <s v="High"/>
    <d v="2024-09-01T00:00:00"/>
    <d v="2023-01-01T00:00:00"/>
    <n v="20"/>
    <n v="0"/>
    <n v="1"/>
  </r>
  <r>
    <s v="ORD-2024-805860"/>
    <d v="2024-09-13T00:00:00"/>
    <d v="2024-10-02T00:00:00"/>
    <n v="19"/>
    <x v="3"/>
    <s v="Kenya"/>
    <s v="Mombasa"/>
    <s v="Small Business"/>
    <s v="Retail"/>
    <x v="3"/>
    <s v="Phones"/>
    <s v="PHN-8804"/>
    <n v="1338.99"/>
    <n v="1765.76"/>
    <n v="1765.76"/>
    <n v="0.126"/>
    <n v="24"/>
    <n v="37038.581760000001"/>
    <n v="32135.760000000002"/>
    <n v="4902.8217599999989"/>
    <n v="0.1323706666677725"/>
    <d v="2024-01-25T00:00:00"/>
    <s v="Q3-2024"/>
    <s v="Africa → Kenya → Mombasa"/>
    <s v="High"/>
    <d v="2024-09-01T00:00:00"/>
    <d v="2023-01-01T00:00:00"/>
    <n v="20"/>
    <n v="0"/>
    <n v="0"/>
  </r>
  <r>
    <s v="ORD-2024-998320"/>
    <d v="2024-10-25T00:00:00"/>
    <d v="2024-11-14T00:00:00"/>
    <n v="20"/>
    <x v="3"/>
    <s v="Kenya"/>
    <s v="Mombasa"/>
    <s v="Corporate"/>
    <s v="Direct"/>
    <x v="15"/>
    <s v="Printers"/>
    <s v="PRN-3143"/>
    <n v="1396.48"/>
    <n v="3204.5"/>
    <n v="3204.5"/>
    <n v="0.318"/>
    <n v="14"/>
    <n v="30596.565999999999"/>
    <n v="19550.72"/>
    <n v="11045.845999999998"/>
    <n v="0.36101587348070363"/>
    <d v="2023-12-06T00:00:00"/>
    <s v="Q4-2024"/>
    <s v="Africa → Kenya → Mombasa"/>
    <s v="High"/>
    <d v="2024-10-01T00:00:00"/>
    <d v="2023-01-01T00:00:00"/>
    <n v="21"/>
    <n v="0"/>
    <n v="1"/>
  </r>
  <r>
    <s v="ORD-2024-333192"/>
    <d v="2024-10-29T00:00:00"/>
    <d v="2024-11-04T00:00:00"/>
    <n v="6"/>
    <x v="3"/>
    <s v="Kenya"/>
    <s v="Nairobi"/>
    <s v="Corporate"/>
    <s v="Distributor"/>
    <x v="3"/>
    <s v="Printers"/>
    <s v="PRN-4893"/>
    <n v="805.81"/>
    <n v="1823.04"/>
    <n v="1823.04"/>
    <n v="0"/>
    <n v="11"/>
    <n v="20053.439999999999"/>
    <n v="8863.91"/>
    <n v="11189.529999999999"/>
    <n v="0.55798556257679477"/>
    <d v="2023-12-19T00:00:00"/>
    <s v="Q4-2024"/>
    <s v="Africa → Kenya → Nairobi"/>
    <s v="High"/>
    <d v="2024-10-01T00:00:00"/>
    <d v="2023-01-01T00:00:00"/>
    <n v="21"/>
    <n v="1"/>
    <n v="0"/>
  </r>
  <r>
    <s v="ORD-2024-320972"/>
    <d v="2024-11-08T00:00:00"/>
    <d v="2024-11-08T00:00:00"/>
    <n v="0"/>
    <x v="3"/>
    <s v="Kenya"/>
    <s v="Nakuru"/>
    <s v="Enterprise"/>
    <s v="Marketplace"/>
    <x v="3"/>
    <s v="Networking"/>
    <s v="NET-2628"/>
    <n v="803.28"/>
    <n v="1009"/>
    <n v="1009"/>
    <n v="0.11"/>
    <n v="4"/>
    <n v="3592.04"/>
    <n v="3213.12"/>
    <n v="378.92000000000007"/>
    <n v="0.10548880302001093"/>
    <d v="2023-11-15T00:00:00"/>
    <s v="Q4-2024"/>
    <s v="Africa → Kenya → Nakuru"/>
    <s v="Medium"/>
    <d v="2024-11-01T00:00:00"/>
    <d v="2023-01-01T00:00:00"/>
    <n v="22"/>
    <n v="1"/>
    <n v="0"/>
  </r>
  <r>
    <s v="ORD-2024-508213"/>
    <d v="2024-11-22T00:00:00"/>
    <d v="2024-12-15T00:00:00"/>
    <n v="23"/>
    <x v="3"/>
    <s v="Kenya"/>
    <s v="Mombasa"/>
    <s v="Non-Profit"/>
    <s v="Distributor"/>
    <x v="5"/>
    <s v="Components"/>
    <s v="CMP-3938"/>
    <n v="1335.76"/>
    <n v="2665.91"/>
    <n v="2665.91"/>
    <n v="0.21099999999999999"/>
    <n v="40"/>
    <n v="84136.119600000005"/>
    <n v="53430.400000000001"/>
    <n v="30705.719600000004"/>
    <n v="0.36495288522909253"/>
    <d v="2023-10-25T00:00:00"/>
    <s v="Q4-2024"/>
    <s v="Africa → Kenya → Mombasa"/>
    <s v="High"/>
    <d v="2024-11-01T00:00:00"/>
    <d v="2023-01-01T00:00:00"/>
    <n v="22"/>
    <n v="0"/>
    <n v="1"/>
  </r>
  <r>
    <s v="ORD-2024-266562"/>
    <d v="2024-11-27T00:00:00"/>
    <d v="2024-12-24T00:00:00"/>
    <n v="27"/>
    <x v="3"/>
    <s v="Kenya"/>
    <s v="Mombasa"/>
    <s v="Corporate"/>
    <s v="Distributor"/>
    <x v="7"/>
    <s v="Printers"/>
    <s v="PRN-5569"/>
    <n v="143.33000000000001"/>
    <n v="233.51"/>
    <n v="233.51"/>
    <n v="0.16300000000000001"/>
    <n v="14"/>
    <n v="2736.27018"/>
    <n v="2006.6200000000001"/>
    <n v="729.65017999999986"/>
    <n v="0.26665867476580835"/>
    <d v="2023-10-30T00:00:00"/>
    <s v="Q4-2024"/>
    <s v="Africa → Kenya → Mombasa"/>
    <s v="Low"/>
    <d v="2024-11-01T00:00:00"/>
    <d v="2023-01-01T00:00:00"/>
    <n v="22"/>
    <n v="0"/>
    <n v="0"/>
  </r>
  <r>
    <s v="ORD-2024-331226"/>
    <d v="2024-11-30T00:00:00"/>
    <d v="2024-12-19T00:00:00"/>
    <n v="19"/>
    <x v="3"/>
    <s v="Kenya"/>
    <s v="Kisumu"/>
    <s v="Corporate"/>
    <s v="Online"/>
    <x v="11"/>
    <s v="Phones"/>
    <s v="PHN-1919"/>
    <n v="1195.98"/>
    <n v="1841.9"/>
    <n v="1841.9"/>
    <n v="5.5E-2"/>
    <n v="19"/>
    <n v="33071.3145"/>
    <n v="22723.62"/>
    <n v="10347.694500000001"/>
    <n v="0.31289032977506842"/>
    <d v="2023-10-21T00:00:00"/>
    <s v="Q4-2024"/>
    <s v="Africa → Kenya → Kisumu"/>
    <s v="High"/>
    <d v="2024-11-01T00:00:00"/>
    <d v="2023-01-01T00:00:00"/>
    <n v="22"/>
    <n v="0"/>
    <n v="0"/>
  </r>
  <r>
    <s v="ORD-2025-146850"/>
    <d v="2025-01-21T00:00:00"/>
    <d v="2025-02-14T00:00:00"/>
    <n v="24"/>
    <x v="3"/>
    <s v="Kenya"/>
    <s v="Nairobi"/>
    <s v="Small Business"/>
    <s v="Retail"/>
    <x v="9"/>
    <s v="Accessories"/>
    <s v="ACC-1659"/>
    <n v="1030.44"/>
    <n v="2562.84"/>
    <n v="2562.84"/>
    <n v="0.14799999999999999"/>
    <n v="13"/>
    <n v="28386.015839999996"/>
    <n v="13395.720000000001"/>
    <n v="14990.295839999995"/>
    <n v="0.52808734852027039"/>
    <d v="2023-08-26T00:00:00"/>
    <s v="Q1-2025"/>
    <s v="Africa → Kenya → Nairobi"/>
    <s v="High"/>
    <d v="2025-01-01T00:00:00"/>
    <d v="2023-01-01T00:00:00"/>
    <n v="24"/>
    <n v="0"/>
    <n v="0"/>
  </r>
  <r>
    <s v="ORD-2025-564184"/>
    <d v="2025-01-29T00:00:00"/>
    <d v="2025-02-06T00:00:00"/>
    <n v="8"/>
    <x v="3"/>
    <s v="Kenya"/>
    <s v="Kisumu"/>
    <s v="Education"/>
    <s v="Retail"/>
    <x v="7"/>
    <s v="Phones"/>
    <s v="PHN-1671"/>
    <n v="1445.27"/>
    <n v="2691.45"/>
    <n v="2691.45"/>
    <n v="0"/>
    <n v="9"/>
    <n v="24223.05"/>
    <n v="13007.43"/>
    <n v="11215.619999999999"/>
    <n v="0.46301436028906351"/>
    <d v="2023-08-21T00:00:00"/>
    <s v="Q1-2025"/>
    <s v="Africa → Kenya → Kisumu"/>
    <s v="High"/>
    <d v="2025-01-01T00:00:00"/>
    <d v="2023-01-01T00:00:00"/>
    <n v="24"/>
    <n v="0"/>
    <n v="0"/>
  </r>
  <r>
    <s v="ORD-2025-332931"/>
    <d v="2025-02-15T00:00:00"/>
    <d v="2025-03-01T00:00:00"/>
    <n v="14"/>
    <x v="3"/>
    <s v="Kenya"/>
    <s v="Mombasa"/>
    <s v="Education"/>
    <s v="Direct"/>
    <x v="11"/>
    <s v="Accessories"/>
    <s v="ACC-5144"/>
    <n v="1162.8599999999999"/>
    <n v="1447.68"/>
    <n v="1447.68"/>
    <n v="8.6999999999999994E-2"/>
    <n v="12"/>
    <n v="15860.782080000001"/>
    <n v="13954.32"/>
    <n v="1906.4620800000012"/>
    <n v="0.12019975247021369"/>
    <d v="2023-08-08T00:00:00"/>
    <s v="Q1-2025"/>
    <s v="Africa → Kenya → Mombasa"/>
    <s v="Medium"/>
    <d v="2025-02-01T00:00:00"/>
    <d v="2023-01-01T00:00:00"/>
    <n v="25"/>
    <n v="0"/>
    <n v="0"/>
  </r>
  <r>
    <s v="ORD-2025-662997"/>
    <d v="2025-03-31T00:00:00"/>
    <d v="2025-04-04T00:00:00"/>
    <n v="4"/>
    <x v="3"/>
    <s v="Kenya"/>
    <s v="Nakuru"/>
    <s v="Corporate"/>
    <s v="Direct"/>
    <x v="5"/>
    <s v="Laptops"/>
    <s v="LAP-7136"/>
    <n v="862.08"/>
    <n v="1952.83"/>
    <n v="1952.83"/>
    <n v="0"/>
    <n v="7"/>
    <n v="13669.81"/>
    <n v="6034.56"/>
    <n v="7635.2499999999991"/>
    <n v="0.5585483631447693"/>
    <d v="2023-07-08T00:00:00"/>
    <s v="Q1-2025"/>
    <s v="Africa → Kenya → Nakuru"/>
    <s v="High"/>
    <d v="2025-03-01T00:00:00"/>
    <d v="2023-01-01T00:00:00"/>
    <n v="26"/>
    <n v="1"/>
    <n v="0"/>
  </r>
  <r>
    <s v="ORD-2025-608069"/>
    <d v="2025-04-12T00:00:00"/>
    <d v="2025-04-30T00:00:00"/>
    <n v="18"/>
    <x v="3"/>
    <s v="Kenya"/>
    <s v="Kisumu"/>
    <s v="Corporate"/>
    <s v="Marketplace"/>
    <x v="8"/>
    <s v="Networking"/>
    <s v="NET-3432"/>
    <n v="1119.04"/>
    <n v="1299.02"/>
    <n v="1299.02"/>
    <n v="2.5000000000000001E-2"/>
    <n v="14"/>
    <n v="17731.623"/>
    <n v="15666.56"/>
    <n v="2065.0630000000001"/>
    <n v="0.11646215352085933"/>
    <d v="2023-06-17T00:00:00"/>
    <s v="Q2-2025"/>
    <s v="Africa → Kenya → Kisumu"/>
    <s v="Medium"/>
    <d v="2025-04-01T00:00:00"/>
    <d v="2023-01-01T00:00:00"/>
    <n v="27"/>
    <n v="0"/>
    <n v="0"/>
  </r>
  <r>
    <s v="ORD-2025-762301"/>
    <d v="2025-05-02T00:00:00"/>
    <d v="2025-05-13T00:00:00"/>
    <n v="11"/>
    <x v="3"/>
    <s v="Kenya"/>
    <s v="Nakuru"/>
    <s v="Small Business"/>
    <s v="Online"/>
    <x v="4"/>
    <s v="Accessories"/>
    <s v="ACC-2252"/>
    <n v="1057.5999999999999"/>
    <n v="1437.06"/>
    <n v="1437.06"/>
    <n v="0.20499999999999999"/>
    <n v="4"/>
    <n v="4569.8508000000002"/>
    <n v="4230.3999999999996"/>
    <n v="339.45080000000053"/>
    <n v="7.4280499485891424E-2"/>
    <d v="2023-05-11T00:00:00"/>
    <s v="Q2-2025"/>
    <s v="Africa → Kenya → Nakuru"/>
    <s v="Medium"/>
    <d v="2025-05-01T00:00:00"/>
    <d v="2023-01-01T00:00:00"/>
    <n v="28"/>
    <n v="0"/>
    <n v="1"/>
  </r>
  <r>
    <s v="ORD-2025-155182"/>
    <d v="2025-07-11T00:00:00"/>
    <d v="2025-08-03T00:00:00"/>
    <n v="23"/>
    <x v="3"/>
    <s v="Kenya"/>
    <s v="Nakuru"/>
    <s v="Small Business"/>
    <s v="Retail"/>
    <x v="5"/>
    <s v="Phones"/>
    <s v="PHN-7636"/>
    <n v="389.93"/>
    <n v="486.13"/>
    <n v="486.13"/>
    <n v="0.13200000000000001"/>
    <n v="17"/>
    <n v="7173.3342799999991"/>
    <n v="6628.81"/>
    <n v="544.52427999999873"/>
    <n v="7.5909508569562828E-2"/>
    <d v="2023-04-11T00:00:00"/>
    <s v="Q3-2025"/>
    <s v="Africa → Kenya → Nakuru"/>
    <s v="Low"/>
    <d v="2025-07-01T00:00:00"/>
    <d v="2023-01-01T00:00:00"/>
    <n v="30"/>
    <n v="0"/>
    <n v="0"/>
  </r>
  <r>
    <s v="ORD-2025-649633"/>
    <d v="2025-07-19T00:00:00"/>
    <d v="2025-07-31T00:00:00"/>
    <n v="12"/>
    <x v="3"/>
    <s v="Kenya"/>
    <s v="Nairobi"/>
    <s v="Small Business"/>
    <s v="Marketplace"/>
    <x v="13"/>
    <s v="Accessories"/>
    <s v="ACC-1028"/>
    <n v="619.64"/>
    <n v="861.16"/>
    <n v="861.16"/>
    <n v="0.113"/>
    <n v="14"/>
    <n v="10693.88488"/>
    <n v="8674.9599999999991"/>
    <n v="2018.9248800000005"/>
    <n v="0.18879246435276761"/>
    <d v="2023-03-13T00:00:00"/>
    <s v="Q3-2025"/>
    <s v="Africa → Kenya → Nairobi"/>
    <s v="Medium"/>
    <d v="2025-07-01T00:00:00"/>
    <d v="2023-01-01T00:00:00"/>
    <n v="30"/>
    <n v="0"/>
    <n v="0"/>
  </r>
  <r>
    <s v="ORD-2025-863978"/>
    <d v="2025-08-07T00:00:00"/>
    <d v="2025-08-19T00:00:00"/>
    <n v="12"/>
    <x v="3"/>
    <s v="Kenya"/>
    <s v="Nakuru"/>
    <s v="Corporate"/>
    <s v="Marketplace"/>
    <x v="3"/>
    <s v="Components"/>
    <s v="CMP-2854"/>
    <n v="601.51"/>
    <n v="679.35"/>
    <n v="679.35"/>
    <n v="0.188"/>
    <n v="3"/>
    <n v="1654.8966000000003"/>
    <n v="1804.53"/>
    <n v="-149.63339999999971"/>
    <n v="-9.0418579626062243E-2"/>
    <d v="2023-02-28T00:00:00"/>
    <s v="Q3-2025"/>
    <s v="Africa → Kenya → Nakuru"/>
    <s v="Low"/>
    <d v="2025-08-01T00:00:00"/>
    <d v="2023-01-01T00:00:00"/>
    <n v="31"/>
    <n v="0"/>
    <n v="0"/>
  </r>
  <r>
    <s v="ORD-2025-762212"/>
    <d v="2025-08-25T00:00:00"/>
    <d v="2025-09-24T00:00:00"/>
    <n v="30"/>
    <x v="3"/>
    <s v="Kenya"/>
    <s v="Nairobi"/>
    <s v="Consumer"/>
    <s v="Direct"/>
    <x v="7"/>
    <s v="Components"/>
    <s v="CMP-4970"/>
    <n v="589.14"/>
    <n v="1300.58"/>
    <n v="1300.58"/>
    <n v="5.5E-2"/>
    <n v="11"/>
    <n v="13519.529099999998"/>
    <n v="6480.54"/>
    <n v="7038.989099999998"/>
    <n v="0.52065342275863724"/>
    <d v="2023-01-30T00:00:00"/>
    <s v="Q3-2025"/>
    <s v="Africa → Kenya → Nairobi"/>
    <s v="Medium"/>
    <d v="2025-08-01T00:00:00"/>
    <d v="2023-01-01T00:00:00"/>
    <n v="31"/>
    <n v="0"/>
    <n v="0"/>
  </r>
  <r>
    <s v="ORD-2025-725646"/>
    <d v="2025-09-10T00:00:00"/>
    <d v="2025-09-30T00:00:00"/>
    <n v="20"/>
    <x v="3"/>
    <s v="Kenya"/>
    <s v="Mombasa"/>
    <s v="Corporate"/>
    <s v="Direct"/>
    <x v="11"/>
    <s v="Phones"/>
    <s v="PHN-6954"/>
    <n v="1009.48"/>
    <n v="1088.81"/>
    <n v="1088.81"/>
    <n v="0.16"/>
    <n v="6"/>
    <n v="5487.6023999999998"/>
    <n v="6056.88"/>
    <n v="-569.27760000000035"/>
    <n v="-0.10373885688219693"/>
    <d v="2023-01-22T00:00:00"/>
    <s v="Q3-2025"/>
    <s v="Africa → Kenya → Mombasa"/>
    <s v="Medium"/>
    <d v="2025-09-01T00:00:00"/>
    <d v="2023-01-01T00:00:00"/>
    <n v="32"/>
    <n v="0"/>
    <n v="0"/>
  </r>
  <r>
    <s v="ORD-2025-244832"/>
    <d v="2025-09-11T00:00:00"/>
    <d v="2025-09-28T00:00:00"/>
    <n v="17"/>
    <x v="3"/>
    <s v="Kenya"/>
    <s v="Nairobi"/>
    <s v="Non-Profit"/>
    <s v="Distributor"/>
    <x v="9"/>
    <s v="Laptops"/>
    <s v="LAP-3278"/>
    <n v="891.46"/>
    <n v="728.61"/>
    <n v="728.61"/>
    <n v="0.185"/>
    <n v="6"/>
    <n v="3562.9028999999996"/>
    <n v="5348.76"/>
    <n v="-1785.8571000000006"/>
    <n v="-0.50123653383874167"/>
    <d v="2023-01-10T00:00:00"/>
    <s v="Q3-2025"/>
    <s v="Africa → Kenya → Nairobi"/>
    <s v="Low"/>
    <d v="2025-09-01T00:00:00"/>
    <d v="2023-01-01T00:00:00"/>
    <n v="32"/>
    <n v="0"/>
    <n v="0"/>
  </r>
  <r>
    <s v="ORD-2023-112666"/>
    <d v="2023-01-13T00:00:00"/>
    <d v="2023-01-15T00:00:00"/>
    <n v="2"/>
    <x v="3"/>
    <s v="Nigeria"/>
    <s v="Abuja"/>
    <s v="Education"/>
    <s v="Online"/>
    <x v="13"/>
    <s v="Printers"/>
    <s v="PRN-6276"/>
    <n v="28.38"/>
    <n v="47.22"/>
    <n v="47.22"/>
    <n v="0.19400000000000001"/>
    <n v="18"/>
    <n v="685.06776000000002"/>
    <n v="510.84"/>
    <n v="174.22776000000005"/>
    <n v="0.25432193743871417"/>
    <d v="2025-09-14T00:00:00"/>
    <s v="Q1-2023"/>
    <s v="Africa → Nigeria → Abuja"/>
    <s v="Low"/>
    <d v="2023-01-01T00:00:00"/>
    <d v="2023-01-01T00:00:00"/>
    <n v="0"/>
    <n v="1"/>
    <n v="0"/>
  </r>
  <r>
    <s v="ORD-2023-960380"/>
    <d v="2023-02-11T00:00:00"/>
    <d v="2023-02-12T00:00:00"/>
    <n v="1"/>
    <x v="3"/>
    <s v="Nigeria"/>
    <s v="Port Harcourt"/>
    <s v="Non-Profit"/>
    <s v="Direct"/>
    <x v="0"/>
    <s v="Accessories"/>
    <s v="ACC-8242"/>
    <n v="944.61"/>
    <n v="839.04"/>
    <n v="839.04"/>
    <n v="5.8999999999999997E-2"/>
    <n v="6"/>
    <n v="4737.2198399999997"/>
    <n v="5667.66"/>
    <n v="-930.44016000000011"/>
    <n v="-0.19641059343363726"/>
    <d v="2025-08-28T00:00:00"/>
    <s v="Q1-2023"/>
    <s v="Africa → Nigeria → Port Harcourt"/>
    <s v="Medium"/>
    <d v="2023-02-01T00:00:00"/>
    <d v="2023-01-01T00:00:00"/>
    <n v="1"/>
    <n v="1"/>
    <n v="0"/>
  </r>
  <r>
    <s v="ORD-2023-545150"/>
    <d v="2023-04-06T00:00:00"/>
    <d v="2023-04-08T00:00:00"/>
    <n v="2"/>
    <x v="3"/>
    <s v="Nigeria"/>
    <s v="Abuja"/>
    <s v="Small Business"/>
    <s v="Marketplace"/>
    <x v="12"/>
    <s v="Monitors"/>
    <s v="MON-4373"/>
    <n v="720.35"/>
    <n v="1571.66"/>
    <n v="1571.66"/>
    <n v="0.107"/>
    <n v="23"/>
    <n v="32280.32474"/>
    <n v="16568.05"/>
    <n v="15712.274740000001"/>
    <n v="0.4867446305622265"/>
    <d v="2025-06-24T00:00:00"/>
    <s v="Q2-2023"/>
    <s v="Africa → Nigeria → Abuja"/>
    <s v="Medium"/>
    <d v="2023-04-01T00:00:00"/>
    <d v="2023-01-01T00:00:00"/>
    <n v="3"/>
    <n v="1"/>
    <n v="0"/>
  </r>
  <r>
    <s v="ORD-2023-125739"/>
    <d v="2023-05-01T00:00:00"/>
    <d v="2023-05-18T00:00:00"/>
    <n v="17"/>
    <x v="3"/>
    <s v="Nigeria"/>
    <s v="Port Harcourt"/>
    <s v="Corporate"/>
    <s v="Direct"/>
    <x v="8"/>
    <s v="Components"/>
    <s v="CMP-5633"/>
    <n v="327.97"/>
    <n v="299.94"/>
    <n v="299.94"/>
    <n v="4.9000000000000002E-2"/>
    <n v="3"/>
    <n v="855.72881999999993"/>
    <n v="983.91000000000008"/>
    <n v="-128.18118000000015"/>
    <n v="-0.14979182306843442"/>
    <d v="2025-06-03T00:00:00"/>
    <s v="Q2-2023"/>
    <s v="Africa → Nigeria → Port Harcourt"/>
    <s v="Low"/>
    <d v="2023-05-01T00:00:00"/>
    <d v="2023-01-01T00:00:00"/>
    <n v="4"/>
    <n v="0"/>
    <n v="0"/>
  </r>
  <r>
    <s v="ORD-2023-898009"/>
    <d v="2023-05-04T00:00:00"/>
    <d v="2023-05-16T00:00:00"/>
    <n v="12"/>
    <x v="3"/>
    <s v="Nigeria"/>
    <s v="Abuja"/>
    <s v="Small Business"/>
    <s v="Marketplace"/>
    <x v="9"/>
    <s v="Phones"/>
    <s v="PHN-1670"/>
    <n v="77.739999999999995"/>
    <n v="147.12"/>
    <n v="147.12"/>
    <n v="0"/>
    <n v="15"/>
    <n v="2206.8000000000002"/>
    <n v="1166.0999999999999"/>
    <n v="1040.7000000000003"/>
    <n v="0.47158781946710177"/>
    <d v="2025-05-15T00:00:00"/>
    <s v="Q2-2023"/>
    <s v="Africa → Nigeria → Abuja"/>
    <s v="Low"/>
    <d v="2023-05-01T00:00:00"/>
    <d v="2023-01-01T00:00:00"/>
    <n v="4"/>
    <n v="0"/>
    <n v="0"/>
  </r>
  <r>
    <s v="ORD-2023-632893"/>
    <d v="2023-05-05T00:00:00"/>
    <d v="2023-05-07T00:00:00"/>
    <n v="2"/>
    <x v="3"/>
    <s v="Nigeria"/>
    <s v="Port Harcourt"/>
    <s v="Non-Profit"/>
    <s v="Marketplace"/>
    <x v="4"/>
    <s v="Components"/>
    <s v="CMP-9392"/>
    <n v="1269.6500000000001"/>
    <n v="2462.77"/>
    <n v="2462.77"/>
    <n v="0.107"/>
    <n v="8"/>
    <n v="17594.028880000002"/>
    <n v="10157.200000000001"/>
    <n v="7436.8288800000009"/>
    <n v="0.42269050089225502"/>
    <d v="2025-05-17T00:00:00"/>
    <s v="Q2-2023"/>
    <s v="Africa → Nigeria → Port Harcourt"/>
    <s v="High"/>
    <d v="2023-05-01T00:00:00"/>
    <d v="2023-01-01T00:00:00"/>
    <n v="4"/>
    <n v="1"/>
    <n v="0"/>
  </r>
  <r>
    <s v="ORD-2023-638181"/>
    <d v="2023-05-20T00:00:00"/>
    <d v="2023-06-07T00:00:00"/>
    <n v="18"/>
    <x v="3"/>
    <s v="Nigeria"/>
    <s v="Port Harcourt"/>
    <s v="Enterprise"/>
    <s v="Distributor"/>
    <x v="6"/>
    <s v="Components"/>
    <s v="CMP-4630"/>
    <n v="1120.06"/>
    <n v="2068.21"/>
    <n v="2068.21"/>
    <n v="7.8E-2"/>
    <n v="12"/>
    <n v="22882.675440000003"/>
    <n v="13440.72"/>
    <n v="9441.9554400000034"/>
    <n v="0.41262462795303284"/>
    <d v="2025-04-27T00:00:00"/>
    <s v="Q2-2023"/>
    <s v="Africa → Nigeria → Port Harcourt"/>
    <s v="High"/>
    <d v="2023-05-01T00:00:00"/>
    <d v="2023-01-01T00:00:00"/>
    <n v="4"/>
    <n v="0"/>
    <n v="0"/>
  </r>
  <r>
    <s v="ORD-2023-128295"/>
    <d v="2023-06-23T00:00:00"/>
    <d v="2023-07-03T00:00:00"/>
    <n v="10"/>
    <x v="3"/>
    <s v="Nigeria"/>
    <s v="Abuja"/>
    <s v="Consumer"/>
    <s v="Online"/>
    <x v="9"/>
    <s v="Printers"/>
    <s v="PRN-2542"/>
    <n v="337.75"/>
    <n v="548.89"/>
    <n v="548.89"/>
    <n v="0"/>
    <n v="13"/>
    <n v="7135.57"/>
    <n v="4390.75"/>
    <n v="2744.8199999999997"/>
    <n v="0.38466723751571352"/>
    <d v="2025-04-09T00:00:00"/>
    <s v="Q2-2023"/>
    <s v="Africa → Nigeria → Abuja"/>
    <s v="Low"/>
    <d v="2023-06-01T00:00:00"/>
    <d v="2023-01-01T00:00:00"/>
    <n v="5"/>
    <n v="0"/>
    <n v="0"/>
  </r>
  <r>
    <s v="ORD-2023-159821"/>
    <d v="2023-07-01T00:00:00"/>
    <d v="2023-07-08T00:00:00"/>
    <n v="7"/>
    <x v="3"/>
    <s v="Nigeria"/>
    <s v="Port Harcourt"/>
    <s v="Corporate"/>
    <s v="Retail"/>
    <x v="4"/>
    <s v="Laptops"/>
    <s v="LAP-3904"/>
    <n v="834.26"/>
    <n v="1780.56"/>
    <n v="1780.56"/>
    <n v="1.4E-2"/>
    <n v="47"/>
    <n v="82514.711519999997"/>
    <n v="39210.22"/>
    <n v="43304.491519999996"/>
    <n v="0.5248093427497933"/>
    <d v="2025-03-30T00:00:00"/>
    <s v="Q3-2023"/>
    <s v="Africa → Nigeria → Port Harcourt"/>
    <s v="High"/>
    <d v="2023-07-01T00:00:00"/>
    <d v="2023-01-01T00:00:00"/>
    <n v="6"/>
    <n v="1"/>
    <n v="0"/>
  </r>
  <r>
    <s v="ORD-2023-479747"/>
    <d v="2023-07-14T00:00:00"/>
    <d v="2023-07-14T00:00:00"/>
    <n v="0"/>
    <x v="3"/>
    <s v="Nigeria"/>
    <s v="Lagos"/>
    <s v="Education"/>
    <s v="Retail"/>
    <x v="14"/>
    <s v="Accessories"/>
    <s v="ACC-5334"/>
    <n v="956.38"/>
    <n v="1454.22"/>
    <n v="1454.22"/>
    <n v="3.9E-2"/>
    <n v="19"/>
    <n v="26552.60298"/>
    <n v="18171.22"/>
    <n v="8381.3829799999985"/>
    <n v="0.31565202802576603"/>
    <d v="2025-03-11T00:00:00"/>
    <s v="Q3-2023"/>
    <s v="Africa → Nigeria → Lagos"/>
    <s v="Medium"/>
    <d v="2023-07-01T00:00:00"/>
    <d v="2023-01-01T00:00:00"/>
    <n v="6"/>
    <n v="1"/>
    <n v="0"/>
  </r>
  <r>
    <s v="ORD-2023-660608"/>
    <d v="2023-07-25T00:00:00"/>
    <d v="2023-08-10T00:00:00"/>
    <n v="16"/>
    <x v="3"/>
    <s v="Nigeria"/>
    <s v="Port Harcourt"/>
    <s v="Corporate"/>
    <s v="Distributor"/>
    <x v="14"/>
    <s v="Accessories"/>
    <s v="ACC-8178"/>
    <n v="506.83"/>
    <n v="441.74"/>
    <n v="441.74"/>
    <n v="0.24"/>
    <n v="9"/>
    <n v="3021.5016000000001"/>
    <n v="4561.47"/>
    <n v="-1539.9684000000002"/>
    <n v="-0.50966989393618067"/>
    <d v="2025-02-16T00:00:00"/>
    <s v="Q3-2023"/>
    <s v="Africa → Nigeria → Port Harcourt"/>
    <s v="Low"/>
    <d v="2023-07-01T00:00:00"/>
    <d v="2023-01-01T00:00:00"/>
    <n v="6"/>
    <n v="0"/>
    <n v="1"/>
  </r>
  <r>
    <s v="ORD-2023-334213"/>
    <d v="2023-08-19T00:00:00"/>
    <d v="2023-08-23T00:00:00"/>
    <n v="4"/>
    <x v="3"/>
    <s v="Nigeria"/>
    <s v="Abuja"/>
    <s v="Small Business"/>
    <s v="Online"/>
    <x v="9"/>
    <s v="Monitors"/>
    <s v="MON-5517"/>
    <n v="790.63"/>
    <n v="1382.31"/>
    <n v="1382.31"/>
    <n v="0.10100000000000001"/>
    <n v="7"/>
    <n v="8698.8768300000011"/>
    <n v="5534.41"/>
    <n v="3164.4668300000012"/>
    <n v="0.36377878338116448"/>
    <d v="2025-01-21T00:00:00"/>
    <s v="Q3-2023"/>
    <s v="Africa → Nigeria → Abuja"/>
    <s v="Medium"/>
    <d v="2023-08-01T00:00:00"/>
    <d v="2023-01-01T00:00:00"/>
    <n v="7"/>
    <n v="1"/>
    <n v="0"/>
  </r>
  <r>
    <s v="ORD-2023-732585"/>
    <d v="2023-08-25T00:00:00"/>
    <d v="2023-09-16T00:00:00"/>
    <n v="22"/>
    <x v="3"/>
    <s v="Nigeria"/>
    <s v="Abuja"/>
    <s v="Corporate"/>
    <s v="Marketplace"/>
    <x v="11"/>
    <s v="Phones"/>
    <s v="PHN-3971"/>
    <n v="1196.83"/>
    <n v="2513.5100000000002"/>
    <n v="2513.5100000000002"/>
    <n v="8.3000000000000004E-2"/>
    <n v="7"/>
    <n v="16134.22069"/>
    <n v="8377.81"/>
    <n v="7756.4106900000006"/>
    <n v="0.48074281609445374"/>
    <d v="2025-01-10T00:00:00"/>
    <s v="Q3-2023"/>
    <s v="Africa → Nigeria → Abuja"/>
    <s v="High"/>
    <d v="2023-08-01T00:00:00"/>
    <d v="2023-01-01T00:00:00"/>
    <n v="7"/>
    <n v="0"/>
    <n v="0"/>
  </r>
  <r>
    <s v="ORD-2023-502205"/>
    <d v="2023-10-09T00:00:00"/>
    <d v="2023-10-11T00:00:00"/>
    <n v="2"/>
    <x v="3"/>
    <s v="Nigeria"/>
    <s v="Port Harcourt"/>
    <s v="Education"/>
    <s v="Marketplace"/>
    <x v="12"/>
    <s v="Networking"/>
    <s v="NET-8856"/>
    <n v="391.16"/>
    <n v="902.47"/>
    <n v="902.47"/>
    <n v="4.0000000000000001E-3"/>
    <n v="12"/>
    <n v="10786.32144"/>
    <n v="4693.92"/>
    <n v="6092.4014399999996"/>
    <n v="0.56482661618139207"/>
    <d v="2024-12-21T00:00:00"/>
    <s v="Q4-2023"/>
    <s v="Africa → Nigeria → Port Harcourt"/>
    <s v="Medium"/>
    <d v="2023-10-01T00:00:00"/>
    <d v="2023-01-01T00:00:00"/>
    <n v="9"/>
    <n v="1"/>
    <n v="0"/>
  </r>
  <r>
    <s v="ORD-2023-208944"/>
    <d v="2023-12-21T00:00:00"/>
    <d v="2024-01-06T00:00:00"/>
    <n v="16"/>
    <x v="3"/>
    <s v="Nigeria"/>
    <s v="Port Harcourt"/>
    <s v="Corporate"/>
    <s v="Marketplace"/>
    <x v="12"/>
    <s v="Components"/>
    <s v="CMP-4792"/>
    <n v="932.61"/>
    <n v="1982.98"/>
    <n v="1982.98"/>
    <n v="0.14399999999999999"/>
    <n v="16"/>
    <n v="27158.894079999998"/>
    <n v="14921.76"/>
    <n v="12237.134079999998"/>
    <n v="0.45057556629345635"/>
    <d v="2024-10-17T00:00:00"/>
    <s v="Q4-2023"/>
    <s v="Africa → Nigeria → Port Harcourt"/>
    <s v="High"/>
    <d v="2023-12-01T00:00:00"/>
    <d v="2023-01-01T00:00:00"/>
    <n v="11"/>
    <n v="0"/>
    <n v="0"/>
  </r>
  <r>
    <s v="ORD-2024-853298"/>
    <d v="2024-03-06T00:00:00"/>
    <d v="2024-03-26T00:00:00"/>
    <n v="20"/>
    <x v="3"/>
    <s v="Nigeria"/>
    <s v="Port Harcourt"/>
    <s v="Consumer"/>
    <s v="Marketplace"/>
    <x v="14"/>
    <s v="Phones"/>
    <s v="PHN-4741"/>
    <n v="65.64"/>
    <n v="151.88"/>
    <n v="151.88"/>
    <n v="0.16700000000000001"/>
    <n v="23"/>
    <n v="2909.8689199999999"/>
    <n v="1509.72"/>
    <n v="1400.1489199999999"/>
    <n v="0.48117250587356353"/>
    <d v="2024-07-18T00:00:00"/>
    <s v="Q1-2024"/>
    <s v="Africa → Nigeria → Port Harcourt"/>
    <s v="Low"/>
    <d v="2024-03-01T00:00:00"/>
    <d v="2023-01-01T00:00:00"/>
    <n v="14"/>
    <n v="0"/>
    <n v="0"/>
  </r>
  <r>
    <s v="ORD-2024-243988"/>
    <d v="2024-03-13T00:00:00"/>
    <d v="2024-04-06T00:00:00"/>
    <n v="24"/>
    <x v="3"/>
    <s v="Nigeria"/>
    <s v="Abuja"/>
    <s v="Consumer"/>
    <s v="Distributor"/>
    <x v="11"/>
    <s v="Components"/>
    <s v="CMP-9001"/>
    <n v="1232.78"/>
    <n v="1731.75"/>
    <n v="1731.75"/>
    <n v="9.2999999999999999E-2"/>
    <n v="16"/>
    <n v="25131.155999999999"/>
    <n v="19724.48"/>
    <n v="5406.6759999999995"/>
    <n v="0.21513837246484005"/>
    <d v="2024-07-15T00:00:00"/>
    <s v="Q1-2024"/>
    <s v="Africa → Nigeria → Abuja"/>
    <s v="High"/>
    <d v="2024-03-01T00:00:00"/>
    <d v="2023-01-01T00:00:00"/>
    <n v="14"/>
    <n v="0"/>
    <n v="0"/>
  </r>
  <r>
    <s v="ORD-2024-310809"/>
    <d v="2024-04-05T00:00:00"/>
    <d v="2024-04-09T00:00:00"/>
    <n v="4"/>
    <x v="3"/>
    <s v="Nigeria"/>
    <s v="Lagos"/>
    <s v="Non-Profit"/>
    <s v="Direct"/>
    <x v="12"/>
    <s v="Components"/>
    <s v="CMP-6529"/>
    <n v="395.07"/>
    <n v="970.27"/>
    <n v="970.27"/>
    <n v="0.123"/>
    <n v="38"/>
    <n v="32335.21802"/>
    <n v="15012.66"/>
    <n v="17322.55802"/>
    <n v="0.53571799049833657"/>
    <d v="2024-06-23T00:00:00"/>
    <s v="Q2-2024"/>
    <s v="Africa → Nigeria → Lagos"/>
    <s v="Medium"/>
    <d v="2024-04-01T00:00:00"/>
    <d v="2023-01-01T00:00:00"/>
    <n v="15"/>
    <n v="1"/>
    <n v="0"/>
  </r>
  <r>
    <s v="ORD-2024-599522"/>
    <d v="2024-04-19T00:00:00"/>
    <d v="2024-05-06T00:00:00"/>
    <n v="17"/>
    <x v="3"/>
    <s v="Nigeria"/>
    <s v="Port Harcourt"/>
    <s v="Non-Profit"/>
    <s v="Online"/>
    <x v="4"/>
    <s v="Printers"/>
    <s v="PRN-7303"/>
    <n v="865.33"/>
    <n v="1395.64"/>
    <n v="1395.64"/>
    <n v="0.17499999999999999"/>
    <n v="13"/>
    <n v="14968.239"/>
    <n v="11249.29"/>
    <n v="3718.9489999999987"/>
    <n v="0.24845601409758347"/>
    <d v="2024-06-19T00:00:00"/>
    <s v="Q2-2024"/>
    <s v="Africa → Nigeria → Port Harcourt"/>
    <s v="Medium"/>
    <d v="2024-04-01T00:00:00"/>
    <d v="2023-01-01T00:00:00"/>
    <n v="15"/>
    <n v="0"/>
    <n v="0"/>
  </r>
  <r>
    <s v="ORD-2024-247032"/>
    <d v="2024-04-21T00:00:00"/>
    <d v="2024-05-19T00:00:00"/>
    <n v="28"/>
    <x v="3"/>
    <s v="Nigeria"/>
    <s v="Lagos"/>
    <s v="Corporate"/>
    <s v="Distributor"/>
    <x v="4"/>
    <s v="Accessories"/>
    <s v="ACC-2990"/>
    <n v="187.22"/>
    <n v="309.47000000000003"/>
    <n v="309.47000000000003"/>
    <n v="0"/>
    <n v="5"/>
    <n v="1547.3500000000001"/>
    <n v="936.1"/>
    <n v="611.25000000000011"/>
    <n v="0.39503021294471197"/>
    <d v="2024-05-28T00:00:00"/>
    <s v="Q2-2024"/>
    <s v="Africa → Nigeria → Lagos"/>
    <s v="Low"/>
    <d v="2024-04-01T00:00:00"/>
    <d v="2023-01-01T00:00:00"/>
    <n v="15"/>
    <n v="0"/>
    <n v="0"/>
  </r>
  <r>
    <s v="ORD-2024-589570"/>
    <d v="2024-05-04T00:00:00"/>
    <d v="2024-05-29T00:00:00"/>
    <n v="25"/>
    <x v="3"/>
    <s v="Nigeria"/>
    <s v="Abuja"/>
    <s v="Non-Profit"/>
    <s v="Marketplace"/>
    <x v="13"/>
    <s v="Monitors"/>
    <s v="MON-6892"/>
    <n v="1295.3399999999999"/>
    <n v="2530.81"/>
    <n v="2530.81"/>
    <n v="3.1E-2"/>
    <n v="6"/>
    <n v="14714.12934"/>
    <n v="7772.0399999999991"/>
    <n v="6942.0893400000004"/>
    <n v="0.4717974933880798"/>
    <d v="2024-06-10T00:00:00"/>
    <s v="Q2-2024"/>
    <s v="Africa → Nigeria → Abuja"/>
    <s v="High"/>
    <d v="2024-05-01T00:00:00"/>
    <d v="2023-01-01T00:00:00"/>
    <n v="16"/>
    <n v="0"/>
    <n v="0"/>
  </r>
  <r>
    <s v="ORD-2024-527858"/>
    <d v="2024-05-07T00:00:00"/>
    <d v="2024-05-12T00:00:00"/>
    <n v="5"/>
    <x v="3"/>
    <s v="Nigeria"/>
    <s v="Abuja"/>
    <s v="Non-Profit"/>
    <s v="Distributor"/>
    <x v="11"/>
    <s v="Laptops"/>
    <s v="LAP-9100"/>
    <n v="1163.99"/>
    <n v="1617.85"/>
    <n v="1617.85"/>
    <n v="0.127"/>
    <n v="14"/>
    <n v="19773.362699999998"/>
    <n v="16295.86"/>
    <n v="3477.5026999999973"/>
    <n v="0.17586804797749436"/>
    <d v="2024-06-02T00:00:00"/>
    <s v="Q2-2024"/>
    <s v="Africa → Nigeria → Abuja"/>
    <s v="Medium"/>
    <d v="2024-05-01T00:00:00"/>
    <d v="2023-01-01T00:00:00"/>
    <n v="16"/>
    <n v="1"/>
    <n v="0"/>
  </r>
  <r>
    <s v="ORD-2024-638884"/>
    <d v="2024-05-26T00:00:00"/>
    <d v="2024-05-28T00:00:00"/>
    <n v="2"/>
    <x v="3"/>
    <s v="Nigeria"/>
    <s v="Abuja"/>
    <s v="Enterprise"/>
    <s v="Online"/>
    <x v="8"/>
    <s v="Accessories"/>
    <s v="ACC-5177"/>
    <n v="1227.08"/>
    <n v="1896.62"/>
    <n v="1896.62"/>
    <n v="0"/>
    <n v="18"/>
    <n v="34139.159999999996"/>
    <n v="22087.439999999999"/>
    <n v="12051.719999999998"/>
    <n v="0.353017473189147"/>
    <d v="2024-05-18T00:00:00"/>
    <s v="Q2-2024"/>
    <s v="Africa → Nigeria → Abuja"/>
    <s v="High"/>
    <d v="2024-05-01T00:00:00"/>
    <d v="2023-01-01T00:00:00"/>
    <n v="16"/>
    <n v="1"/>
    <n v="0"/>
  </r>
  <r>
    <s v="ORD-2024-566589"/>
    <d v="2024-06-11T00:00:00"/>
    <d v="2024-07-09T00:00:00"/>
    <n v="28"/>
    <x v="3"/>
    <s v="Nigeria"/>
    <s v="Port Harcourt"/>
    <s v="Corporate"/>
    <s v="Marketplace"/>
    <x v="14"/>
    <s v="Phones"/>
    <s v="PHN-2436"/>
    <n v="895.54"/>
    <n v="1045"/>
    <n v="1045"/>
    <n v="0.216"/>
    <n v="15"/>
    <n v="12289.2"/>
    <n v="13433.099999999999"/>
    <n v="-1143.8999999999978"/>
    <n v="-9.3081730299775234E-2"/>
    <d v="2024-03-30T00:00:00"/>
    <s v="Q2-2024"/>
    <s v="Africa → Nigeria → Port Harcourt"/>
    <s v="Medium"/>
    <d v="2024-06-01T00:00:00"/>
    <d v="2023-01-01T00:00:00"/>
    <n v="17"/>
    <n v="0"/>
    <n v="1"/>
  </r>
  <r>
    <s v="ORD-2024-787018"/>
    <d v="2024-06-23T00:00:00"/>
    <d v="2024-06-28T00:00:00"/>
    <n v="5"/>
    <x v="3"/>
    <s v="Nigeria"/>
    <s v="Port Harcourt"/>
    <s v="Non-Profit"/>
    <s v="Direct"/>
    <x v="3"/>
    <s v="Accessories"/>
    <s v="ACC-7671"/>
    <n v="242.31"/>
    <n v="587.95000000000005"/>
    <n v="587.95000000000005"/>
    <n v="0.22900000000000001"/>
    <n v="6"/>
    <n v="2719.8567000000003"/>
    <n v="1453.8600000000001"/>
    <n v="1265.9967000000001"/>
    <n v="0.46546448568411714"/>
    <d v="2024-03-27T00:00:00"/>
    <s v="Q2-2024"/>
    <s v="Africa → Nigeria → Port Harcourt"/>
    <s v="Low"/>
    <d v="2024-06-01T00:00:00"/>
    <d v="2023-01-01T00:00:00"/>
    <n v="17"/>
    <n v="1"/>
    <n v="1"/>
  </r>
  <r>
    <s v="ORD-2024-423853"/>
    <d v="2024-09-03T00:00:00"/>
    <d v="2024-09-08T00:00:00"/>
    <n v="5"/>
    <x v="3"/>
    <s v="Nigeria"/>
    <s v="Lagos"/>
    <s v="Small Business"/>
    <s v="Direct"/>
    <x v="12"/>
    <s v="Printers"/>
    <s v="PRN-1141"/>
    <n v="197.63"/>
    <n v="325.79000000000002"/>
    <n v="325.79000000000002"/>
    <n v="0.11600000000000001"/>
    <n v="10"/>
    <n v="2879.9836"/>
    <n v="1976.3"/>
    <n v="903.68360000000007"/>
    <n v="0.31378081458519419"/>
    <d v="2024-01-25T00:00:00"/>
    <s v="Q3-2024"/>
    <s v="Africa → Nigeria → Lagos"/>
    <s v="Low"/>
    <d v="2024-09-01T00:00:00"/>
    <d v="2023-01-01T00:00:00"/>
    <n v="20"/>
    <n v="1"/>
    <n v="0"/>
  </r>
  <r>
    <s v="ORD-2024-997336"/>
    <d v="2024-10-04T00:00:00"/>
    <d v="2024-11-02T00:00:00"/>
    <n v="29"/>
    <x v="3"/>
    <s v="Nigeria"/>
    <s v="Abuja"/>
    <s v="Corporate"/>
    <s v="Distributor"/>
    <x v="8"/>
    <s v="Accessories"/>
    <s v="ACC-9038"/>
    <n v="412.09"/>
    <n v="968.94"/>
    <n v="968.94"/>
    <n v="9.9000000000000005E-2"/>
    <n v="23"/>
    <n v="20079.343620000003"/>
    <n v="9478.07"/>
    <n v="10601.273620000004"/>
    <n v="0.52796913189137418"/>
    <d v="2024-01-02T00:00:00"/>
    <s v="Q4-2024"/>
    <s v="Africa → Nigeria → Abuja"/>
    <s v="Medium"/>
    <d v="2024-10-01T00:00:00"/>
    <d v="2023-01-01T00:00:00"/>
    <n v="21"/>
    <n v="0"/>
    <n v="0"/>
  </r>
  <r>
    <s v="ORD-2024-966651"/>
    <d v="2024-10-14T00:00:00"/>
    <d v="2024-11-08T00:00:00"/>
    <n v="25"/>
    <x v="3"/>
    <s v="Nigeria"/>
    <s v="Lagos"/>
    <s v="Enterprise"/>
    <s v="Online"/>
    <x v="13"/>
    <s v="Networking"/>
    <s v="NET-5268"/>
    <n v="859.35"/>
    <n v="1825.61"/>
    <n v="1825.61"/>
    <n v="0.187"/>
    <n v="24"/>
    <n v="35621.302319999995"/>
    <n v="20624.400000000001"/>
    <n v="14996.902319999994"/>
    <n v="0.42100937762681989"/>
    <d v="2023-12-21T00:00:00"/>
    <s v="Q4-2024"/>
    <s v="Africa → Nigeria → Lagos"/>
    <s v="High"/>
    <d v="2024-10-01T00:00:00"/>
    <d v="2023-01-01T00:00:00"/>
    <n v="21"/>
    <n v="0"/>
    <n v="0"/>
  </r>
  <r>
    <s v="ORD-2024-640340"/>
    <d v="2024-10-22T00:00:00"/>
    <d v="2024-10-29T00:00:00"/>
    <n v="7"/>
    <x v="3"/>
    <s v="Nigeria"/>
    <s v="Port Harcourt"/>
    <s v="Enterprise"/>
    <s v="Distributor"/>
    <x v="3"/>
    <s v="Monitors"/>
    <s v="MON-8758"/>
    <n v="1023.06"/>
    <n v="1355.61"/>
    <n v="1355.61"/>
    <n v="0.153"/>
    <n v="23"/>
    <n v="26408.63841"/>
    <n v="23530.379999999997"/>
    <n v="2878.2584100000022"/>
    <n v="0.10898927711888809"/>
    <d v="2024-01-01T00:00:00"/>
    <s v="Q4-2024"/>
    <s v="Africa → Nigeria → Port Harcourt"/>
    <s v="Medium"/>
    <d v="2024-10-01T00:00:00"/>
    <d v="2023-01-01T00:00:00"/>
    <n v="21"/>
    <n v="1"/>
    <n v="0"/>
  </r>
  <r>
    <s v="ORD-2024-358795"/>
    <d v="2024-10-22T00:00:00"/>
    <d v="2024-10-23T00:00:00"/>
    <n v="1"/>
    <x v="3"/>
    <s v="Nigeria"/>
    <s v="Port Harcourt"/>
    <s v="Education"/>
    <s v="Online"/>
    <x v="9"/>
    <s v="Printers"/>
    <s v="PRN-9322"/>
    <n v="1084.3900000000001"/>
    <n v="759.33"/>
    <n v="759.33"/>
    <n v="0.23699999999999999"/>
    <n v="31"/>
    <n v="17960.432489999999"/>
    <n v="33616.090000000004"/>
    <n v="-15655.657510000005"/>
    <n v="-0.87167486187856302"/>
    <d v="2023-12-28T00:00:00"/>
    <s v="Q4-2024"/>
    <s v="Africa → Nigeria → Port Harcourt"/>
    <s v="Low"/>
    <d v="2024-10-01T00:00:00"/>
    <d v="2023-01-01T00:00:00"/>
    <n v="21"/>
    <n v="1"/>
    <n v="1"/>
  </r>
  <r>
    <s v="ORD-2024-837651"/>
    <d v="2024-12-10T00:00:00"/>
    <d v="2024-12-19T00:00:00"/>
    <n v="9"/>
    <x v="3"/>
    <s v="Nigeria"/>
    <s v="Lagos"/>
    <s v="Corporate"/>
    <s v="Retail"/>
    <x v="13"/>
    <s v="Monitors"/>
    <s v="MON-4789"/>
    <n v="488.68"/>
    <n v="984.36"/>
    <n v="984.36"/>
    <n v="5.8999999999999997E-2"/>
    <n v="14"/>
    <n v="12967.958640000001"/>
    <n v="6841.52"/>
    <n v="6126.4386400000003"/>
    <n v="0.47242891576649876"/>
    <d v="2023-10-25T00:00:00"/>
    <s v="Q4-2024"/>
    <s v="Africa → Nigeria → Lagos"/>
    <s v="Medium"/>
    <d v="2024-12-01T00:00:00"/>
    <d v="2023-01-01T00:00:00"/>
    <n v="23"/>
    <n v="0"/>
    <n v="0"/>
  </r>
  <r>
    <s v="ORD-2025-460466"/>
    <d v="2025-02-07T00:00:00"/>
    <d v="2025-02-16T00:00:00"/>
    <n v="9"/>
    <x v="3"/>
    <s v="Nigeria"/>
    <s v="Lagos"/>
    <s v="Small Business"/>
    <s v="Distributor"/>
    <x v="5"/>
    <s v="Printers"/>
    <s v="PRN-1882"/>
    <n v="90.68"/>
    <n v="118.17"/>
    <n v="118.17"/>
    <n v="0.13500000000000001"/>
    <n v="21"/>
    <n v="2146.5580500000001"/>
    <n v="1904.2800000000002"/>
    <n v="242.27804999999989"/>
    <n v="0.11286815653552899"/>
    <d v="2023-07-26T00:00:00"/>
    <s v="Q1-2025"/>
    <s v="Africa → Nigeria → Lagos"/>
    <s v="Low"/>
    <d v="2025-02-01T00:00:00"/>
    <d v="2023-01-01T00:00:00"/>
    <n v="25"/>
    <n v="0"/>
    <n v="0"/>
  </r>
  <r>
    <s v="ORD-2025-881624"/>
    <d v="2025-02-21T00:00:00"/>
    <d v="2025-03-21T00:00:00"/>
    <n v="28"/>
    <x v="3"/>
    <s v="Nigeria"/>
    <s v="Abuja"/>
    <s v="Enterprise"/>
    <s v="Marketplace"/>
    <x v="14"/>
    <s v="Phones"/>
    <s v="PHN-5887"/>
    <n v="1437.39"/>
    <n v="1388.31"/>
    <n v="1388.31"/>
    <n v="0.13800000000000001"/>
    <n v="18"/>
    <n v="21541.017959999997"/>
    <n v="25873.02"/>
    <n v="-4332.002040000003"/>
    <n v="-0.20110479681341872"/>
    <d v="2023-07-24T00:00:00"/>
    <s v="Q1-2025"/>
    <s v="Africa → Nigeria → Abuja"/>
    <s v="Medium"/>
    <d v="2025-02-01T00:00:00"/>
    <d v="2023-01-01T00:00:00"/>
    <n v="25"/>
    <n v="0"/>
    <n v="0"/>
  </r>
  <r>
    <s v="ORD-2025-501927"/>
    <d v="2025-03-03T00:00:00"/>
    <d v="2025-03-24T00:00:00"/>
    <n v="21"/>
    <x v="3"/>
    <s v="Nigeria"/>
    <s v="Abuja"/>
    <s v="Enterprise"/>
    <s v="Direct"/>
    <x v="15"/>
    <s v="Accessories"/>
    <s v="ACC-4056"/>
    <n v="555.95000000000005"/>
    <n v="468.09"/>
    <n v="468.09"/>
    <n v="0.14199999999999999"/>
    <n v="11"/>
    <n v="4417.8334199999999"/>
    <n v="6115.4500000000007"/>
    <n v="-1697.6165800000008"/>
    <n v="-0.38426450674095375"/>
    <d v="2023-07-18T00:00:00"/>
    <s v="Q1-2025"/>
    <s v="Africa → Nigeria → Abuja"/>
    <s v="Low"/>
    <d v="2025-03-01T00:00:00"/>
    <d v="2023-01-01T00:00:00"/>
    <n v="26"/>
    <n v="0"/>
    <n v="0"/>
  </r>
  <r>
    <s v="ORD-2025-944081"/>
    <d v="2025-03-25T00:00:00"/>
    <d v="2025-03-26T00:00:00"/>
    <n v="1"/>
    <x v="3"/>
    <s v="Nigeria"/>
    <s v="Lagos"/>
    <s v="Education"/>
    <s v="Distributor"/>
    <x v="2"/>
    <s v="Accessories"/>
    <s v="ACC-9533"/>
    <n v="1450.43"/>
    <n v="1994.67"/>
    <n v="1994.67"/>
    <n v="0.1"/>
    <n v="24"/>
    <n v="43084.872000000003"/>
    <n v="34810.32"/>
    <n v="8274.5520000000033"/>
    <n v="0.19205237513529116"/>
    <d v="2023-07-05T00:00:00"/>
    <s v="Q1-2025"/>
    <s v="Africa → Nigeria → Lagos"/>
    <s v="High"/>
    <d v="2025-03-01T00:00:00"/>
    <d v="2023-01-01T00:00:00"/>
    <n v="26"/>
    <n v="1"/>
    <n v="0"/>
  </r>
  <r>
    <s v="ORD-2025-168148"/>
    <d v="2025-03-29T00:00:00"/>
    <d v="2025-04-02T00:00:00"/>
    <n v="4"/>
    <x v="3"/>
    <s v="Nigeria"/>
    <s v="Lagos"/>
    <s v="Non-Profit"/>
    <s v="Marketplace"/>
    <x v="2"/>
    <s v="Phones"/>
    <s v="PHN-4556"/>
    <n v="259.93"/>
    <n v="255.94"/>
    <n v="255.94"/>
    <n v="7.1999999999999995E-2"/>
    <n v="22"/>
    <n v="5225.2710400000005"/>
    <n v="5718.46"/>
    <n v="-493.1889599999995"/>
    <n v="-9.4385335463861311E-2"/>
    <d v="2023-07-07T00:00:00"/>
    <s v="Q1-2025"/>
    <s v="Africa → Nigeria → Lagos"/>
    <s v="Low"/>
    <d v="2025-03-01T00:00:00"/>
    <d v="2023-01-01T00:00:00"/>
    <n v="26"/>
    <n v="1"/>
    <n v="0"/>
  </r>
  <r>
    <s v="ORD-2025-440093"/>
    <d v="2025-04-16T00:00:00"/>
    <d v="2025-04-26T00:00:00"/>
    <n v="10"/>
    <x v="3"/>
    <s v="Nigeria"/>
    <s v="Port Harcourt"/>
    <s v="Enterprise"/>
    <s v="Marketplace"/>
    <x v="8"/>
    <s v="Laptops"/>
    <s v="LAP-3490"/>
    <n v="1457.44"/>
    <n v="1996.81"/>
    <n v="1996.81"/>
    <n v="0.126"/>
    <n v="23"/>
    <n v="40139.874619999995"/>
    <n v="33521.120000000003"/>
    <n v="6618.7546199999924"/>
    <n v="0.16489225944672353"/>
    <d v="2023-06-22T00:00:00"/>
    <s v="Q2-2025"/>
    <s v="Africa → Nigeria → Port Harcourt"/>
    <s v="High"/>
    <d v="2025-04-01T00:00:00"/>
    <d v="2023-01-01T00:00:00"/>
    <n v="27"/>
    <n v="0"/>
    <n v="0"/>
  </r>
  <r>
    <s v="ORD-2025-828263"/>
    <d v="2025-05-17T00:00:00"/>
    <d v="2025-05-30T00:00:00"/>
    <n v="13"/>
    <x v="3"/>
    <s v="Nigeria"/>
    <s v="Lagos"/>
    <s v="Consumer"/>
    <s v="Distributor"/>
    <x v="8"/>
    <s v="Accessories"/>
    <s v="ACC-3349"/>
    <n v="66.400000000000006"/>
    <n v="141.43"/>
    <n v="141.43"/>
    <n v="0.107"/>
    <n v="8"/>
    <n v="1010.3759200000001"/>
    <n v="531.20000000000005"/>
    <n v="479.17592000000002"/>
    <n v="0.47425508715607551"/>
    <d v="2023-05-07T00:00:00"/>
    <s v="Q2-2025"/>
    <s v="Africa → Nigeria → Lagos"/>
    <s v="Low"/>
    <d v="2025-05-01T00:00:00"/>
    <d v="2023-01-01T00:00:00"/>
    <n v="28"/>
    <n v="0"/>
    <n v="0"/>
  </r>
  <r>
    <s v="ORD-2025-580047"/>
    <d v="2025-06-14T00:00:00"/>
    <d v="2025-06-29T00:00:00"/>
    <n v="15"/>
    <x v="3"/>
    <s v="Nigeria"/>
    <s v="Port Harcourt"/>
    <s v="Consumer"/>
    <s v="Marketplace"/>
    <x v="3"/>
    <s v="Accessories"/>
    <s v="ACC-3961"/>
    <n v="730.99"/>
    <n v="1242.8399999999999"/>
    <n v="1242.8399999999999"/>
    <n v="0.12"/>
    <n v="10"/>
    <n v="10936.992"/>
    <n v="7309.9"/>
    <n v="3627.0920000000006"/>
    <n v="0.33163524303574515"/>
    <d v="2023-05-05T00:00:00"/>
    <s v="Q2-2025"/>
    <s v="Africa → Nigeria → Port Harcourt"/>
    <s v="Medium"/>
    <d v="2025-06-01T00:00:00"/>
    <d v="2023-01-01T00:00:00"/>
    <n v="29"/>
    <n v="0"/>
    <n v="0"/>
  </r>
  <r>
    <s v="ORD-2025-929414"/>
    <d v="2025-06-26T00:00:00"/>
    <d v="2025-07-11T00:00:00"/>
    <n v="15"/>
    <x v="3"/>
    <s v="Nigeria"/>
    <s v="Port Harcourt"/>
    <s v="Small Business"/>
    <s v="Online"/>
    <x v="4"/>
    <s v="Laptops"/>
    <s v="LAP-7523"/>
    <n v="1170.1500000000001"/>
    <n v="2115.19"/>
    <n v="2115.19"/>
    <n v="9.1999999999999998E-2"/>
    <n v="23"/>
    <n v="44173.627960000005"/>
    <n v="26913.45"/>
    <n v="17260.177960000005"/>
    <n v="0.39073489674946776"/>
    <d v="2023-04-16T00:00:00"/>
    <s v="Q2-2025"/>
    <s v="Africa → Nigeria → Port Harcourt"/>
    <s v="High"/>
    <d v="2025-06-01T00:00:00"/>
    <d v="2023-01-01T00:00:00"/>
    <n v="29"/>
    <n v="0"/>
    <n v="0"/>
  </r>
  <r>
    <s v="ORD-2025-650841"/>
    <d v="2025-07-03T00:00:00"/>
    <d v="2025-07-06T00:00:00"/>
    <n v="3"/>
    <x v="3"/>
    <s v="Nigeria"/>
    <s v="Lagos"/>
    <s v="Consumer"/>
    <s v="Online"/>
    <x v="10"/>
    <s v="Laptops"/>
    <s v="LAP-8910"/>
    <n v="1313.3"/>
    <n v="2884.34"/>
    <n v="2884.34"/>
    <n v="0.157"/>
    <n v="42"/>
    <n v="102122.94203999999"/>
    <n v="55158.6"/>
    <n v="46964.342039999996"/>
    <n v="0.45988042551305253"/>
    <d v="2023-03-23T00:00:00"/>
    <s v="Q3-2025"/>
    <s v="Africa → Nigeria → Lagos"/>
    <s v="High"/>
    <d v="2025-07-01T00:00:00"/>
    <d v="2023-01-01T00:00:00"/>
    <n v="30"/>
    <n v="1"/>
    <n v="0"/>
  </r>
  <r>
    <s v="ORD-2025-629393"/>
    <d v="2025-07-21T00:00:00"/>
    <d v="2025-08-07T00:00:00"/>
    <n v="17"/>
    <x v="3"/>
    <s v="Nigeria"/>
    <s v="Lagos"/>
    <s v="Enterprise"/>
    <s v="Direct"/>
    <x v="3"/>
    <s v="Accessories"/>
    <s v="ACC-8999"/>
    <n v="1204.95"/>
    <n v="2065.73"/>
    <n v="2065.73"/>
    <n v="0.13600000000000001"/>
    <n v="10"/>
    <n v="17847.907199999998"/>
    <n v="12049.5"/>
    <n v="5798.4071999999978"/>
    <n v="0.32487882949100039"/>
    <d v="2023-03-07T00:00:00"/>
    <s v="Q3-2025"/>
    <s v="Africa → Nigeria → Lagos"/>
    <s v="High"/>
    <d v="2025-07-01T00:00:00"/>
    <d v="2023-01-01T00:00:00"/>
    <n v="30"/>
    <n v="0"/>
    <n v="0"/>
  </r>
  <r>
    <s v="ORD-2025-922513"/>
    <d v="2025-08-26T00:00:00"/>
    <d v="2025-08-28T00:00:00"/>
    <n v="2"/>
    <x v="3"/>
    <s v="Nigeria"/>
    <s v="Port Harcourt"/>
    <s v="Small Business"/>
    <s v="Retail"/>
    <x v="4"/>
    <s v="Accessories"/>
    <s v="ACC-4483"/>
    <n v="521.05999999999995"/>
    <n v="1240.31"/>
    <n v="1240.31"/>
    <n v="0.14599999999999999"/>
    <n v="18"/>
    <n v="19066.045319999997"/>
    <n v="9379.0799999999981"/>
    <n v="9686.9653199999993"/>
    <n v="0.50807417885650974"/>
    <d v="2023-01-26T00:00:00"/>
    <s v="Q3-2025"/>
    <s v="Africa → Nigeria → Port Harcourt"/>
    <s v="Medium"/>
    <d v="2025-08-01T00:00:00"/>
    <d v="2023-01-01T00:00:00"/>
    <n v="31"/>
    <n v="1"/>
    <n v="0"/>
  </r>
  <r>
    <s v="ORD-2025-803803"/>
    <d v="2025-08-28T00:00:00"/>
    <d v="2025-09-05T00:00:00"/>
    <n v="8"/>
    <x v="3"/>
    <s v="Nigeria"/>
    <s v="Port Harcourt"/>
    <s v="Small Business"/>
    <s v="Marketplace"/>
    <x v="6"/>
    <s v="Laptops"/>
    <s v="LAP-7553"/>
    <n v="1271.0999999999999"/>
    <n v="1932.42"/>
    <n v="1932.42"/>
    <n v="0.25"/>
    <n v="21"/>
    <n v="30435.614999999998"/>
    <n v="26693.1"/>
    <n v="3742.5149999999994"/>
    <n v="0.12296498690760807"/>
    <d v="2023-02-11T00:00:00"/>
    <s v="Q3-2025"/>
    <s v="Africa → Nigeria → Port Harcourt"/>
    <s v="High"/>
    <d v="2025-08-01T00:00:00"/>
    <d v="2023-01-01T00:00:00"/>
    <n v="31"/>
    <n v="0"/>
    <n v="1"/>
  </r>
  <r>
    <s v="ORD-2023-689428"/>
    <d v="2023-01-07T00:00:00"/>
    <d v="2023-01-30T00:00:00"/>
    <n v="23"/>
    <x v="3"/>
    <s v="South Africa"/>
    <s v="Cape Town"/>
    <s v="Consumer"/>
    <s v="Online"/>
    <x v="4"/>
    <s v="Printers"/>
    <s v="PRN-4787"/>
    <n v="299.02"/>
    <n v="724.7"/>
    <n v="724.7"/>
    <n v="0.14000000000000001"/>
    <n v="5"/>
    <n v="3116.21"/>
    <n v="1495.1"/>
    <n v="1621.1100000000001"/>
    <n v="0.52021847051386139"/>
    <d v="2025-09-12T00:00:00"/>
    <s v="Q1-2023"/>
    <s v="Africa → South Africa → Cape Town"/>
    <s v="Low"/>
    <d v="2023-01-01T00:00:00"/>
    <d v="2023-01-01T00:00:00"/>
    <n v="0"/>
    <n v="0"/>
    <n v="0"/>
  </r>
  <r>
    <s v="ORD-2023-159379"/>
    <d v="2023-02-08T00:00:00"/>
    <d v="2023-02-11T00:00:00"/>
    <n v="3"/>
    <x v="3"/>
    <s v="South Africa"/>
    <s v="Cape Town"/>
    <s v="Corporate"/>
    <s v="Direct"/>
    <x v="3"/>
    <s v="Networking"/>
    <s v="NET-5018"/>
    <n v="1410.05"/>
    <n v="2763.95"/>
    <n v="2763.95"/>
    <n v="0.161"/>
    <n v="26"/>
    <n v="60292.805299999993"/>
    <n v="36661.299999999996"/>
    <n v="23631.505299999997"/>
    <n v="0.39194569206750779"/>
    <d v="2025-08-07T00:00:00"/>
    <s v="Q1-2023"/>
    <s v="Africa → South Africa → Cape Town"/>
    <s v="High"/>
    <d v="2023-02-01T00:00:00"/>
    <d v="2023-01-01T00:00:00"/>
    <n v="1"/>
    <n v="1"/>
    <n v="0"/>
  </r>
  <r>
    <s v="ORD-2023-480975"/>
    <d v="2023-02-15T00:00:00"/>
    <d v="2023-02-26T00:00:00"/>
    <n v="11"/>
    <x v="3"/>
    <s v="South Africa"/>
    <s v="Johannesburg"/>
    <s v="Non-Profit"/>
    <s v="Retail"/>
    <x v="12"/>
    <s v="Laptops"/>
    <s v="LAP-3393"/>
    <n v="498.5"/>
    <n v="755.87"/>
    <n v="755.87"/>
    <n v="0.13"/>
    <n v="40"/>
    <n v="26304.275999999998"/>
    <n v="19940"/>
    <n v="6364.275999999998"/>
    <n v="0.24194834330357537"/>
    <d v="2025-08-30T00:00:00"/>
    <s v="Q1-2023"/>
    <s v="Africa → South Africa → Johannesburg"/>
    <s v="Low"/>
    <d v="2023-02-01T00:00:00"/>
    <d v="2023-01-01T00:00:00"/>
    <n v="1"/>
    <n v="0"/>
    <n v="0"/>
  </r>
  <r>
    <s v="ORD-2023-281890"/>
    <d v="2023-03-13T00:00:00"/>
    <d v="2023-04-04T00:00:00"/>
    <n v="22"/>
    <x v="3"/>
    <s v="South Africa"/>
    <s v="Durban"/>
    <s v="Small Business"/>
    <s v="Retail"/>
    <x v="4"/>
    <s v="Components"/>
    <s v="CMP-2574"/>
    <n v="1113.7"/>
    <n v="1620.6"/>
    <n v="1620.6"/>
    <n v="0.13900000000000001"/>
    <n v="11"/>
    <n v="15348.702599999999"/>
    <n v="12250.7"/>
    <n v="3098.002599999998"/>
    <n v="0.20184133348182787"/>
    <d v="2025-07-21T00:00:00"/>
    <s v="Q1-2023"/>
    <s v="Africa → South Africa → Durban"/>
    <s v="Medium"/>
    <d v="2023-03-01T00:00:00"/>
    <d v="2023-01-01T00:00:00"/>
    <n v="2"/>
    <n v="0"/>
    <n v="0"/>
  </r>
  <r>
    <s v="ORD-2023-946143"/>
    <d v="2023-03-14T00:00:00"/>
    <d v="2023-03-30T00:00:00"/>
    <n v="16"/>
    <x v="3"/>
    <s v="South Africa"/>
    <s v="Cape Town"/>
    <s v="Consumer"/>
    <s v="Distributor"/>
    <x v="12"/>
    <s v="Components"/>
    <s v="CMP-8230"/>
    <n v="1309.77"/>
    <n v="1589.07"/>
    <n v="1589.07"/>
    <n v="0.10199999999999999"/>
    <n v="10"/>
    <n v="14269.848599999999"/>
    <n v="13097.7"/>
    <n v="1172.1485999999986"/>
    <n v="8.2141628328137886E-2"/>
    <d v="2025-07-24T00:00:00"/>
    <s v="Q1-2023"/>
    <s v="Africa → South Africa → Cape Town"/>
    <s v="Medium"/>
    <d v="2023-03-01T00:00:00"/>
    <d v="2023-01-01T00:00:00"/>
    <n v="2"/>
    <n v="0"/>
    <n v="0"/>
  </r>
  <r>
    <s v="ORD-2023-144816"/>
    <d v="2023-05-07T00:00:00"/>
    <d v="2023-05-29T00:00:00"/>
    <n v="22"/>
    <x v="3"/>
    <s v="South Africa"/>
    <s v="Durban"/>
    <s v="Education"/>
    <s v="Distributor"/>
    <x v="12"/>
    <s v="Accessories"/>
    <s v="ACC-2364"/>
    <n v="653.86"/>
    <n v="931.84"/>
    <n v="931.84"/>
    <n v="0.121"/>
    <n v="12"/>
    <n v="9829.0483199999999"/>
    <n v="7846.32"/>
    <n v="1982.7283200000002"/>
    <n v="0.20172129136506273"/>
    <d v="2025-05-16T00:00:00"/>
    <s v="Q2-2023"/>
    <s v="Africa → South Africa → Durban"/>
    <s v="Medium"/>
    <d v="2023-05-01T00:00:00"/>
    <d v="2023-01-01T00:00:00"/>
    <n v="4"/>
    <n v="0"/>
    <n v="0"/>
  </r>
  <r>
    <s v="ORD-2023-704111"/>
    <d v="2023-05-17T00:00:00"/>
    <d v="2023-06-15T00:00:00"/>
    <n v="29"/>
    <x v="3"/>
    <s v="South Africa"/>
    <s v="Durban"/>
    <s v="Enterprise"/>
    <s v="Retail"/>
    <x v="12"/>
    <s v="Accessories"/>
    <s v="ACC-5206"/>
    <n v="40.89"/>
    <n v="62.82"/>
    <n v="62.82"/>
    <n v="0.129"/>
    <n v="17"/>
    <n v="930.17574000000002"/>
    <n v="695.13"/>
    <n v="235.04574000000002"/>
    <n v="0.25268960465470752"/>
    <d v="2025-05-19T00:00:00"/>
    <s v="Q2-2023"/>
    <s v="Africa → South Africa → Durban"/>
    <s v="Low"/>
    <d v="2023-05-01T00:00:00"/>
    <d v="2023-01-01T00:00:00"/>
    <n v="4"/>
    <n v="0"/>
    <n v="0"/>
  </r>
  <r>
    <s v="ORD-2023-382272"/>
    <d v="2023-05-18T00:00:00"/>
    <d v="2023-05-20T00:00:00"/>
    <n v="2"/>
    <x v="3"/>
    <s v="South Africa"/>
    <s v="Durban"/>
    <s v="Corporate"/>
    <s v="Distributor"/>
    <x v="4"/>
    <s v="Components"/>
    <s v="CMP-5208"/>
    <n v="917.88"/>
    <n v="1347.92"/>
    <n v="1347.92"/>
    <n v="0.34300000000000003"/>
    <n v="5"/>
    <n v="4427.9172000000008"/>
    <n v="4589.3999999999996"/>
    <n v="-161.48279999999886"/>
    <n v="-3.6469245630880096E-2"/>
    <d v="2025-05-16T00:00:00"/>
    <s v="Q2-2023"/>
    <s v="Africa → South Africa → Durban"/>
    <s v="Medium"/>
    <d v="2023-05-01T00:00:00"/>
    <d v="2023-01-01T00:00:00"/>
    <n v="4"/>
    <n v="1"/>
    <n v="1"/>
  </r>
  <r>
    <s v="ORD-2023-497686"/>
    <d v="2023-07-03T00:00:00"/>
    <d v="2023-07-23T00:00:00"/>
    <n v="20"/>
    <x v="3"/>
    <s v="South Africa"/>
    <s v="Johannesburg"/>
    <s v="Small Business"/>
    <s v="Distributor"/>
    <x v="8"/>
    <s v="Laptops"/>
    <s v="LAP-6342"/>
    <n v="1001.96"/>
    <n v="1254.95"/>
    <n v="1254.95"/>
    <n v="4.4999999999999998E-2"/>
    <n v="18"/>
    <n v="21572.590500000002"/>
    <n v="18035.28"/>
    <n v="3537.3105000000032"/>
    <n v="0.16397244920585699"/>
    <d v="2025-03-24T00:00:00"/>
    <s v="Q3-2023"/>
    <s v="Africa → South Africa → Johannesburg"/>
    <s v="Medium"/>
    <d v="2023-07-01T00:00:00"/>
    <d v="2023-01-01T00:00:00"/>
    <n v="6"/>
    <n v="0"/>
    <n v="0"/>
  </r>
  <r>
    <s v="ORD-2023-621393"/>
    <d v="2023-07-07T00:00:00"/>
    <d v="2023-07-13T00:00:00"/>
    <n v="6"/>
    <x v="3"/>
    <s v="South Africa"/>
    <s v="Cape Town"/>
    <s v="Small Business"/>
    <s v="Marketplace"/>
    <x v="7"/>
    <s v="Accessories"/>
    <s v="ACC-9445"/>
    <n v="612.59"/>
    <n v="1424.74"/>
    <n v="1424.74"/>
    <n v="4.3999999999999997E-2"/>
    <n v="15"/>
    <n v="20430.771599999996"/>
    <n v="9188.85"/>
    <n v="11241.921599999996"/>
    <n v="0.55024459281802152"/>
    <d v="2025-03-29T00:00:00"/>
    <s v="Q3-2023"/>
    <s v="Africa → South Africa → Cape Town"/>
    <s v="Medium"/>
    <d v="2023-07-01T00:00:00"/>
    <d v="2023-01-01T00:00:00"/>
    <n v="6"/>
    <n v="1"/>
    <n v="0"/>
  </r>
  <r>
    <s v="ORD-2023-825084"/>
    <d v="2023-07-14T00:00:00"/>
    <d v="2023-07-21T00:00:00"/>
    <n v="7"/>
    <x v="3"/>
    <s v="South Africa"/>
    <s v="Durban"/>
    <s v="Enterprise"/>
    <s v="Marketplace"/>
    <x v="10"/>
    <s v="Monitors"/>
    <s v="MON-1018"/>
    <n v="620.74"/>
    <n v="1330.07"/>
    <n v="1330.07"/>
    <n v="0.29899999999999999"/>
    <n v="28"/>
    <n v="26106.613960000002"/>
    <n v="17380.72"/>
    <n v="8725.8939600000012"/>
    <n v="0.33424073965967516"/>
    <d v="2025-03-14T00:00:00"/>
    <s v="Q3-2023"/>
    <s v="Africa → South Africa → Durban"/>
    <s v="Medium"/>
    <d v="2023-07-01T00:00:00"/>
    <d v="2023-01-01T00:00:00"/>
    <n v="6"/>
    <n v="1"/>
    <n v="1"/>
  </r>
  <r>
    <s v="ORD-2023-369150"/>
    <d v="2023-07-18T00:00:00"/>
    <d v="2023-08-10T00:00:00"/>
    <n v="23"/>
    <x v="3"/>
    <s v="South Africa"/>
    <s v="Johannesburg"/>
    <s v="Small Business"/>
    <s v="Retail"/>
    <x v="11"/>
    <s v="Components"/>
    <s v="CMP-8659"/>
    <n v="1271.56"/>
    <n v="995.47"/>
    <n v="995.47"/>
    <n v="0.192"/>
    <n v="13"/>
    <n v="10456.416880000001"/>
    <n v="16530.28"/>
    <n v="-6073.8631199999982"/>
    <n v="-0.58087423155607754"/>
    <d v="2025-03-11T00:00:00"/>
    <s v="Q3-2023"/>
    <s v="Africa → South Africa → Johannesburg"/>
    <s v="Medium"/>
    <d v="2023-07-01T00:00:00"/>
    <d v="2023-01-01T00:00:00"/>
    <n v="6"/>
    <n v="0"/>
    <n v="0"/>
  </r>
  <r>
    <s v="ORD-2023-525643"/>
    <d v="2023-08-17T00:00:00"/>
    <d v="2023-09-03T00:00:00"/>
    <n v="17"/>
    <x v="3"/>
    <s v="South Africa"/>
    <s v="Durban"/>
    <s v="Enterprise"/>
    <s v="Retail"/>
    <x v="4"/>
    <s v="Phones"/>
    <s v="PHN-8072"/>
    <n v="676.37"/>
    <n v="1276.67"/>
    <n v="1276.67"/>
    <n v="6.6000000000000003E-2"/>
    <n v="10"/>
    <n v="11924.0978"/>
    <n v="6763.7"/>
    <n v="5160.3977999999997"/>
    <n v="0.4327705027712872"/>
    <d v="2025-02-15T00:00:00"/>
    <s v="Q3-2023"/>
    <s v="Africa → South Africa → Durban"/>
    <s v="Medium"/>
    <d v="2023-08-01T00:00:00"/>
    <d v="2023-01-01T00:00:00"/>
    <n v="7"/>
    <n v="0"/>
    <n v="0"/>
  </r>
  <r>
    <s v="ORD-2023-749324"/>
    <d v="2023-08-19T00:00:00"/>
    <d v="2023-09-07T00:00:00"/>
    <n v="19"/>
    <x v="3"/>
    <s v="South Africa"/>
    <s v="Johannesburg"/>
    <s v="Enterprise"/>
    <s v="Retail"/>
    <x v="0"/>
    <s v="Monitors"/>
    <s v="MON-2296"/>
    <n v="494.61"/>
    <n v="605.23"/>
    <n v="605.23"/>
    <n v="0.20399999999999999"/>
    <n v="18"/>
    <n v="8671.7354400000004"/>
    <n v="8902.98"/>
    <n v="-231.24455999999918"/>
    <n v="-2.6666468505639647E-2"/>
    <d v="2025-01-27T00:00:00"/>
    <s v="Q3-2023"/>
    <s v="Africa → South Africa → Johannesburg"/>
    <s v="Low"/>
    <d v="2023-08-01T00:00:00"/>
    <d v="2023-01-01T00:00:00"/>
    <n v="7"/>
    <n v="0"/>
    <n v="1"/>
  </r>
  <r>
    <s v="ORD-2023-640022"/>
    <d v="2023-08-24T00:00:00"/>
    <d v="2023-09-20T00:00:00"/>
    <n v="27"/>
    <x v="3"/>
    <s v="South Africa"/>
    <s v="Durban"/>
    <s v="Small Business"/>
    <s v="Marketplace"/>
    <x v="3"/>
    <s v="Printers"/>
    <s v="PRN-4732"/>
    <n v="1399.64"/>
    <n v="3342.11"/>
    <n v="3342.11"/>
    <n v="0"/>
    <n v="10"/>
    <n v="33421.1"/>
    <n v="13996.400000000001"/>
    <n v="19424.699999999997"/>
    <n v="0.58121067229983447"/>
    <d v="2025-01-29T00:00:00"/>
    <s v="Q3-2023"/>
    <s v="Africa → South Africa → Durban"/>
    <s v="High"/>
    <d v="2023-08-01T00:00:00"/>
    <d v="2023-01-01T00:00:00"/>
    <n v="7"/>
    <n v="0"/>
    <n v="0"/>
  </r>
  <r>
    <s v="ORD-2023-713375"/>
    <d v="2023-08-26T00:00:00"/>
    <d v="2023-09-10T00:00:00"/>
    <n v="15"/>
    <x v="3"/>
    <s v="South Africa"/>
    <s v="Cape Town"/>
    <s v="Non-Profit"/>
    <s v="Direct"/>
    <x v="1"/>
    <s v="Components"/>
    <s v="CMP-7063"/>
    <n v="241.14"/>
    <n v="496.52"/>
    <n v="496.52"/>
    <n v="9.2999999999999999E-2"/>
    <n v="10"/>
    <n v="4503.4363999999996"/>
    <n v="2411.3999999999996"/>
    <n v="2092.0364"/>
    <n v="0.46454223268257994"/>
    <d v="2025-01-22T00:00:00"/>
    <s v="Q3-2023"/>
    <s v="Africa → South Africa → Cape Town"/>
    <s v="Low"/>
    <d v="2023-08-01T00:00:00"/>
    <d v="2023-01-01T00:00:00"/>
    <n v="7"/>
    <n v="0"/>
    <n v="0"/>
  </r>
  <r>
    <s v="ORD-2023-835226"/>
    <d v="2023-10-26T00:00:00"/>
    <d v="2023-11-05T00:00:00"/>
    <n v="10"/>
    <x v="3"/>
    <s v="South Africa"/>
    <s v="Cape Town"/>
    <s v="Non-Profit"/>
    <s v="Online"/>
    <x v="14"/>
    <s v="Laptops"/>
    <s v="LAP-7320"/>
    <n v="20.38"/>
    <n v="42.56"/>
    <n v="42.56"/>
    <n v="7.1999999999999995E-2"/>
    <n v="11"/>
    <n v="434.45248000000004"/>
    <n v="224.17999999999998"/>
    <n v="210.27248000000006"/>
    <n v="0.48399419885921713"/>
    <d v="2024-11-20T00:00:00"/>
    <s v="Q4-2023"/>
    <s v="Africa → South Africa → Cape Town"/>
    <s v="Low"/>
    <d v="2023-10-01T00:00:00"/>
    <d v="2023-01-01T00:00:00"/>
    <n v="9"/>
    <n v="0"/>
    <n v="0"/>
  </r>
  <r>
    <s v="ORD-2023-825495"/>
    <d v="2023-11-29T00:00:00"/>
    <d v="2023-11-30T00:00:00"/>
    <n v="1"/>
    <x v="3"/>
    <s v="South Africa"/>
    <s v="Durban"/>
    <s v="Small Business"/>
    <s v="Marketplace"/>
    <x v="6"/>
    <s v="Laptops"/>
    <s v="LAP-1525"/>
    <n v="275.56"/>
    <n v="630.72"/>
    <n v="630.72"/>
    <n v="0.107"/>
    <n v="23"/>
    <n v="12954.358080000002"/>
    <n v="6337.88"/>
    <n v="6616.4780800000017"/>
    <n v="0.5107530638831933"/>
    <d v="2024-11-12T00:00:00"/>
    <s v="Q4-2023"/>
    <s v="Africa → South Africa → Durban"/>
    <s v="Low"/>
    <d v="2023-11-01T00:00:00"/>
    <d v="2023-01-01T00:00:00"/>
    <n v="10"/>
    <n v="1"/>
    <n v="0"/>
  </r>
  <r>
    <s v="ORD-2023-841426"/>
    <d v="2023-12-22T00:00:00"/>
    <d v="2023-12-23T00:00:00"/>
    <n v="1"/>
    <x v="3"/>
    <s v="South Africa"/>
    <s v="Cape Town"/>
    <s v="Non-Profit"/>
    <s v="Marketplace"/>
    <x v="0"/>
    <s v="Components"/>
    <s v="CMP-4531"/>
    <n v="1186.18"/>
    <n v="1285.0899999999999"/>
    <n v="1285.0899999999999"/>
    <n v="7.0000000000000007E-2"/>
    <n v="11"/>
    <n v="13146.470699999998"/>
    <n v="13047.980000000001"/>
    <n v="98.49069999999665"/>
    <n v="7.4917977796121861E-3"/>
    <d v="2024-10-25T00:00:00"/>
    <s v="Q4-2023"/>
    <s v="Africa → South Africa → Cape Town"/>
    <s v="Medium"/>
    <d v="2023-12-01T00:00:00"/>
    <d v="2023-01-01T00:00:00"/>
    <n v="11"/>
    <n v="1"/>
    <n v="0"/>
  </r>
  <r>
    <s v="ORD-2023-974506"/>
    <d v="2023-12-28T00:00:00"/>
    <d v="2024-01-01T00:00:00"/>
    <n v="4"/>
    <x v="3"/>
    <s v="South Africa"/>
    <s v="Cape Town"/>
    <s v="Education"/>
    <s v="Distributor"/>
    <x v="4"/>
    <s v="Printers"/>
    <s v="PRN-1654"/>
    <n v="1141.8"/>
    <n v="2318.7399999999998"/>
    <n v="2318.7399999999998"/>
    <n v="0.107"/>
    <n v="32"/>
    <n v="66260.314239999992"/>
    <n v="36537.599999999999"/>
    <n v="29722.714239999994"/>
    <n v="0.44857490612468304"/>
    <d v="2024-10-24T00:00:00"/>
    <s v="Q4-2023"/>
    <s v="Africa → South Africa → Cape Town"/>
    <s v="High"/>
    <d v="2023-12-01T00:00:00"/>
    <d v="2023-01-01T00:00:00"/>
    <n v="11"/>
    <n v="1"/>
    <n v="0"/>
  </r>
  <r>
    <s v="ORD-2024-296582"/>
    <d v="2024-01-11T00:00:00"/>
    <d v="2024-02-02T00:00:00"/>
    <n v="22"/>
    <x v="3"/>
    <s v="South Africa"/>
    <s v="Durban"/>
    <s v="Consumer"/>
    <s v="Online"/>
    <x v="12"/>
    <s v="Networking"/>
    <s v="NET-1412"/>
    <n v="1206.2"/>
    <n v="1759.79"/>
    <n v="1759.79"/>
    <n v="0"/>
    <n v="6"/>
    <n v="10558.74"/>
    <n v="7237.2000000000007"/>
    <n v="3321.5399999999991"/>
    <n v="0.31457730751964713"/>
    <d v="2024-09-10T00:00:00"/>
    <s v="Q1-2024"/>
    <s v="Africa → South Africa → Durban"/>
    <s v="High"/>
    <d v="2024-01-01T00:00:00"/>
    <d v="2023-01-01T00:00:00"/>
    <n v="12"/>
    <n v="0"/>
    <n v="0"/>
  </r>
  <r>
    <s v="ORD-2024-892173"/>
    <d v="2024-01-18T00:00:00"/>
    <d v="2024-02-03T00:00:00"/>
    <n v="16"/>
    <x v="3"/>
    <s v="South Africa"/>
    <s v="Cape Town"/>
    <s v="Non-Profit"/>
    <s v="Distributor"/>
    <x v="11"/>
    <s v="Printers"/>
    <s v="PRN-6660"/>
    <n v="666.23"/>
    <n v="1382.91"/>
    <n v="1382.91"/>
    <n v="0.17599999999999999"/>
    <n v="13"/>
    <n v="14813.731920000002"/>
    <n v="8660.99"/>
    <n v="6152.7419200000022"/>
    <n v="0.41534043907553048"/>
    <d v="2024-08-31T00:00:00"/>
    <s v="Q1-2024"/>
    <s v="Africa → South Africa → Cape Town"/>
    <s v="Medium"/>
    <d v="2024-01-01T00:00:00"/>
    <d v="2023-01-01T00:00:00"/>
    <n v="12"/>
    <n v="0"/>
    <n v="0"/>
  </r>
  <r>
    <s v="ORD-2024-838925"/>
    <d v="2024-01-27T00:00:00"/>
    <d v="2024-01-28T00:00:00"/>
    <n v="1"/>
    <x v="3"/>
    <s v="South Africa"/>
    <s v="Cape Town"/>
    <s v="Enterprise"/>
    <s v="Direct"/>
    <x v="13"/>
    <s v="Components"/>
    <s v="CMP-1470"/>
    <n v="109.75"/>
    <n v="124.25"/>
    <n v="124.25"/>
    <n v="0.12"/>
    <n v="19"/>
    <n v="2077.46"/>
    <n v="2085.25"/>
    <n v="-7.7899999999999636"/>
    <n v="-3.7497713554051405E-3"/>
    <d v="2024-09-09T00:00:00"/>
    <s v="Q1-2024"/>
    <s v="Africa → South Africa → Cape Town"/>
    <s v="Low"/>
    <d v="2024-01-01T00:00:00"/>
    <d v="2023-01-01T00:00:00"/>
    <n v="12"/>
    <n v="1"/>
    <n v="0"/>
  </r>
  <r>
    <s v="ORD-2024-277241"/>
    <d v="2024-01-28T00:00:00"/>
    <d v="2024-01-30T00:00:00"/>
    <n v="2"/>
    <x v="3"/>
    <s v="South Africa"/>
    <s v="Cape Town"/>
    <s v="Consumer"/>
    <s v="Direct"/>
    <x v="8"/>
    <s v="Accessories"/>
    <s v="ACC-6223"/>
    <n v="798.45"/>
    <n v="1592.02"/>
    <n v="1592.02"/>
    <n v="6.6000000000000003E-2"/>
    <n v="18"/>
    <n v="26765.040239999998"/>
    <n v="14372.1"/>
    <n v="12392.940239999998"/>
    <n v="0.46302714768494585"/>
    <d v="2024-09-03T00:00:00"/>
    <s v="Q1-2024"/>
    <s v="Africa → South Africa → Cape Town"/>
    <s v="Medium"/>
    <d v="2024-01-01T00:00:00"/>
    <d v="2023-01-01T00:00:00"/>
    <n v="12"/>
    <n v="1"/>
    <n v="0"/>
  </r>
  <r>
    <s v="ORD-2024-419248"/>
    <d v="2024-03-04T00:00:00"/>
    <d v="2024-03-16T00:00:00"/>
    <n v="12"/>
    <x v="3"/>
    <s v="South Africa"/>
    <s v="Johannesburg"/>
    <s v="Enterprise"/>
    <s v="Distributor"/>
    <x v="3"/>
    <s v="Monitors"/>
    <s v="MON-8422"/>
    <n v="441.08"/>
    <n v="1054.29"/>
    <n v="1054.29"/>
    <n v="0.23699999999999999"/>
    <n v="6"/>
    <n v="4826.5396199999996"/>
    <n v="2646.48"/>
    <n v="2180.0596199999995"/>
    <n v="0.45168169985932899"/>
    <d v="2024-07-09T00:00:00"/>
    <s v="Q1-2024"/>
    <s v="Africa → South Africa → Johannesburg"/>
    <s v="Medium"/>
    <d v="2024-03-01T00:00:00"/>
    <d v="2023-01-01T00:00:00"/>
    <n v="14"/>
    <n v="0"/>
    <n v="1"/>
  </r>
  <r>
    <s v="ORD-2024-939873"/>
    <d v="2024-04-12T00:00:00"/>
    <d v="2024-05-07T00:00:00"/>
    <n v="25"/>
    <x v="3"/>
    <s v="South Africa"/>
    <s v="Johannesburg"/>
    <s v="Education"/>
    <s v="Distributor"/>
    <x v="4"/>
    <s v="Laptops"/>
    <s v="LAP-8489"/>
    <n v="1376.51"/>
    <n v="1455.91"/>
    <n v="1455.91"/>
    <n v="0.185"/>
    <n v="17"/>
    <n v="20171.63305"/>
    <n v="23400.67"/>
    <n v="-3229.0369499999979"/>
    <n v="-0.1600781127634085"/>
    <d v="2024-06-03T00:00:00"/>
    <s v="Q2-2024"/>
    <s v="Africa → South Africa → Johannesburg"/>
    <s v="Medium"/>
    <d v="2024-04-01T00:00:00"/>
    <d v="2023-01-01T00:00:00"/>
    <n v="15"/>
    <n v="0"/>
    <n v="0"/>
  </r>
  <r>
    <s v="ORD-2024-155337"/>
    <d v="2024-05-21T00:00:00"/>
    <d v="2024-05-27T00:00:00"/>
    <n v="6"/>
    <x v="3"/>
    <s v="South Africa"/>
    <s v="Johannesburg"/>
    <s v="Non-Profit"/>
    <s v="Online"/>
    <x v="3"/>
    <s v="Components"/>
    <s v="CMP-8101"/>
    <n v="1157.51"/>
    <n v="1394.3"/>
    <n v="1394.3"/>
    <n v="0.27800000000000002"/>
    <n v="12"/>
    <n v="12080.215199999999"/>
    <n v="13890.119999999999"/>
    <n v="-1809.9048000000003"/>
    <n v="-0.14982388724333326"/>
    <d v="2024-05-26T00:00:00"/>
    <s v="Q2-2024"/>
    <s v="Africa → South Africa → Johannesburg"/>
    <s v="Medium"/>
    <d v="2024-05-01T00:00:00"/>
    <d v="2023-01-01T00:00:00"/>
    <n v="16"/>
    <n v="1"/>
    <n v="1"/>
  </r>
  <r>
    <s v="ORD-2024-970848"/>
    <d v="2024-05-23T00:00:00"/>
    <d v="2024-06-03T00:00:00"/>
    <n v="11"/>
    <x v="3"/>
    <s v="South Africa"/>
    <s v="Johannesburg"/>
    <s v="Small Business"/>
    <s v="Distributor"/>
    <x v="8"/>
    <s v="Printers"/>
    <s v="PRN-3785"/>
    <n v="180.89"/>
    <n v="249.57"/>
    <n v="249.57"/>
    <n v="2.1999999999999999E-2"/>
    <n v="8"/>
    <n v="1952.6356799999999"/>
    <n v="1447.12"/>
    <n v="505.51567999999997"/>
    <n v="0.25888888806948362"/>
    <d v="2024-05-18T00:00:00"/>
    <s v="Q2-2024"/>
    <s v="Africa → South Africa → Johannesburg"/>
    <s v="Low"/>
    <d v="2024-05-01T00:00:00"/>
    <d v="2023-01-01T00:00:00"/>
    <n v="16"/>
    <n v="0"/>
    <n v="0"/>
  </r>
  <r>
    <s v="ORD-2024-427031"/>
    <d v="2024-06-08T00:00:00"/>
    <d v="2024-06-24T00:00:00"/>
    <n v="16"/>
    <x v="3"/>
    <s v="South Africa"/>
    <s v="Durban"/>
    <s v="Education"/>
    <s v="Distributor"/>
    <x v="15"/>
    <s v="Monitors"/>
    <s v="MON-1389"/>
    <n v="597.85"/>
    <n v="741.92"/>
    <n v="741.92"/>
    <n v="3.1E-2"/>
    <n v="7"/>
    <n v="5032.4433599999993"/>
    <n v="4184.95"/>
    <n v="847.49335999999948"/>
    <n v="0.16840594108544515"/>
    <d v="2024-04-06T00:00:00"/>
    <s v="Q2-2024"/>
    <s v="Africa → South Africa → Durban"/>
    <s v="Low"/>
    <d v="2024-06-01T00:00:00"/>
    <d v="2023-01-01T00:00:00"/>
    <n v="17"/>
    <n v="0"/>
    <n v="0"/>
  </r>
  <r>
    <s v="ORD-2024-580808"/>
    <d v="2024-06-16T00:00:00"/>
    <d v="2024-07-03T00:00:00"/>
    <n v="17"/>
    <x v="3"/>
    <s v="South Africa"/>
    <s v="Johannesburg"/>
    <s v="Enterprise"/>
    <s v="Marketplace"/>
    <x v="8"/>
    <s v="Phones"/>
    <s v="PHN-6832"/>
    <n v="1173.83"/>
    <n v="2328.9"/>
    <n v="2328.9"/>
    <n v="0.12"/>
    <n v="17"/>
    <n v="34840.344000000005"/>
    <n v="19955.11"/>
    <n v="14885.234000000004"/>
    <n v="0.42724130393201637"/>
    <d v="2024-04-09T00:00:00"/>
    <s v="Q2-2024"/>
    <s v="Africa → South Africa → Johannesburg"/>
    <s v="High"/>
    <d v="2024-06-01T00:00:00"/>
    <d v="2023-01-01T00:00:00"/>
    <n v="17"/>
    <n v="0"/>
    <n v="0"/>
  </r>
  <r>
    <s v="ORD-2024-919471"/>
    <d v="2024-06-29T00:00:00"/>
    <d v="2024-07-26T00:00:00"/>
    <n v="27"/>
    <x v="3"/>
    <s v="South Africa"/>
    <s v="Durban"/>
    <s v="Enterprise"/>
    <s v="Distributor"/>
    <x v="7"/>
    <s v="Networking"/>
    <s v="NET-4241"/>
    <n v="5.36"/>
    <n v="4.37"/>
    <n v="4.37"/>
    <n v="0.11799999999999999"/>
    <n v="9"/>
    <n v="34.689059999999998"/>
    <n v="48.24"/>
    <n v="-13.550940000000004"/>
    <n v="-0.39064016148030545"/>
    <d v="2024-04-03T00:00:00"/>
    <s v="Q2-2024"/>
    <s v="Africa → South Africa → Durban"/>
    <s v="Low"/>
    <d v="2024-06-01T00:00:00"/>
    <d v="2023-01-01T00:00:00"/>
    <n v="17"/>
    <n v="0"/>
    <n v="0"/>
  </r>
  <r>
    <s v="ORD-2024-167215"/>
    <d v="2024-08-21T00:00:00"/>
    <d v="2024-08-23T00:00:00"/>
    <n v="2"/>
    <x v="3"/>
    <s v="South Africa"/>
    <s v="Johannesburg"/>
    <s v="Education"/>
    <s v="Retail"/>
    <x v="6"/>
    <s v="Components"/>
    <s v="CMP-1559"/>
    <n v="1432.52"/>
    <n v="3036.87"/>
    <n v="3036.87"/>
    <n v="0"/>
    <n v="9"/>
    <n v="27331.829999999998"/>
    <n v="12892.68"/>
    <n v="14439.149999999998"/>
    <n v="0.52829064135112791"/>
    <d v="2024-02-01T00:00:00"/>
    <s v="Q3-2024"/>
    <s v="Africa → South Africa → Johannesburg"/>
    <s v="High"/>
    <d v="2024-08-01T00:00:00"/>
    <d v="2023-01-01T00:00:00"/>
    <n v="19"/>
    <n v="1"/>
    <n v="0"/>
  </r>
  <r>
    <s v="ORD-2024-972999"/>
    <d v="2024-09-06T00:00:00"/>
    <d v="2024-10-04T00:00:00"/>
    <n v="28"/>
    <x v="3"/>
    <s v="South Africa"/>
    <s v="Cape Town"/>
    <s v="Corporate"/>
    <s v="Marketplace"/>
    <x v="0"/>
    <s v="Monitors"/>
    <s v="MON-3504"/>
    <n v="1174.17"/>
    <n v="1641.61"/>
    <n v="1641.61"/>
    <n v="0.122"/>
    <n v="9"/>
    <n v="12972.00222"/>
    <n v="10567.53"/>
    <n v="2404.4722199999997"/>
    <n v="0.18535860380079394"/>
    <d v="2024-01-11T00:00:00"/>
    <s v="Q3-2024"/>
    <s v="Africa → South Africa → Cape Town"/>
    <s v="High"/>
    <d v="2024-09-01T00:00:00"/>
    <d v="2023-01-01T00:00:00"/>
    <n v="20"/>
    <n v="0"/>
    <n v="0"/>
  </r>
  <r>
    <s v="ORD-2024-686712"/>
    <d v="2024-10-02T00:00:00"/>
    <d v="2024-10-23T00:00:00"/>
    <n v="21"/>
    <x v="3"/>
    <s v="South Africa"/>
    <s v="Durban"/>
    <s v="Corporate"/>
    <s v="Marketplace"/>
    <x v="4"/>
    <s v="Components"/>
    <s v="CMP-3978"/>
    <n v="1095.6099999999999"/>
    <n v="2366.5100000000002"/>
    <n v="2366.5100000000002"/>
    <n v="0.152"/>
    <n v="9"/>
    <n v="18061.204320000004"/>
    <n v="9860.49"/>
    <n v="8200.7143200000046"/>
    <n v="0.4540513564158607"/>
    <d v="2023-12-22T00:00:00"/>
    <s v="Q4-2024"/>
    <s v="Africa → South Africa → Durban"/>
    <s v="High"/>
    <d v="2024-10-01T00:00:00"/>
    <d v="2023-01-01T00:00:00"/>
    <n v="21"/>
    <n v="0"/>
    <n v="0"/>
  </r>
  <r>
    <s v="ORD-2025-636162"/>
    <d v="2025-01-07T00:00:00"/>
    <d v="2025-01-20T00:00:00"/>
    <n v="13"/>
    <x v="3"/>
    <s v="South Africa"/>
    <s v="Cape Town"/>
    <s v="Corporate"/>
    <s v="Direct"/>
    <x v="12"/>
    <s v="Networking"/>
    <s v="NET-7901"/>
    <n v="432.13"/>
    <n v="1034.6600000000001"/>
    <n v="1034.6600000000001"/>
    <n v="9.1999999999999998E-2"/>
    <n v="7"/>
    <n v="6576.298960000001"/>
    <n v="3024.91"/>
    <n v="3551.3889600000011"/>
    <n v="0.54002851476204794"/>
    <d v="2023-08-24T00:00:00"/>
    <s v="Q1-2025"/>
    <s v="Africa → South Africa → Cape Town"/>
    <s v="Medium"/>
    <d v="2025-01-01T00:00:00"/>
    <d v="2023-01-01T00:00:00"/>
    <n v="24"/>
    <n v="0"/>
    <n v="0"/>
  </r>
  <r>
    <s v="ORD-2025-473192"/>
    <d v="2025-03-30T00:00:00"/>
    <d v="2025-04-29T00:00:00"/>
    <n v="30"/>
    <x v="3"/>
    <s v="South Africa"/>
    <s v="Durban"/>
    <s v="Consumer"/>
    <s v="Marketplace"/>
    <x v="9"/>
    <s v="Monitors"/>
    <s v="MON-7106"/>
    <n v="194.6"/>
    <n v="314.87"/>
    <n v="314.87"/>
    <n v="0.29299999999999998"/>
    <n v="25"/>
    <n v="5565.3272500000003"/>
    <n v="4865"/>
    <n v="700.32725000000028"/>
    <n v="0.1258375686712763"/>
    <d v="2023-06-15T00:00:00"/>
    <s v="Q1-2025"/>
    <s v="Africa → South Africa → Durban"/>
    <s v="Low"/>
    <d v="2025-03-01T00:00:00"/>
    <d v="2023-01-01T00:00:00"/>
    <n v="26"/>
    <n v="0"/>
    <n v="1"/>
  </r>
  <r>
    <s v="ORD-2025-306251"/>
    <d v="2025-04-10T00:00:00"/>
    <d v="2025-04-19T00:00:00"/>
    <n v="9"/>
    <x v="3"/>
    <s v="South Africa"/>
    <s v="Durban"/>
    <s v="Enterprise"/>
    <m/>
    <x v="2"/>
    <s v="Networking"/>
    <s v="NET-5270"/>
    <n v="113.74"/>
    <n v="165.7"/>
    <n v="165.7"/>
    <n v="0.124"/>
    <n v="13"/>
    <n v="1886.9915999999998"/>
    <n v="1478.62"/>
    <n v="408.37159999999994"/>
    <n v="0.21641410592394794"/>
    <d v="2023-06-03T00:00:00"/>
    <s v="Q2-2025"/>
    <s v="Africa → South Africa → Durban"/>
    <s v="Low"/>
    <d v="2025-04-01T00:00:00"/>
    <d v="2023-01-01T00:00:00"/>
    <n v="27"/>
    <n v="0"/>
    <n v="0"/>
  </r>
  <r>
    <s v="ORD-2025-700847"/>
    <d v="2025-05-19T00:00:00"/>
    <d v="2025-05-21T00:00:00"/>
    <n v="2"/>
    <x v="3"/>
    <s v="South Africa"/>
    <s v="Johannesburg"/>
    <s v="Non-Profit"/>
    <s v="Distributor"/>
    <x v="13"/>
    <s v="Laptops"/>
    <s v="LAP-7099"/>
    <n v="1263.8399999999999"/>
    <n v="2281.7199999999998"/>
    <n v="2281.7199999999998"/>
    <n v="7.8E-2"/>
    <n v="15"/>
    <n v="31556.187599999997"/>
    <n v="18957.599999999999"/>
    <n v="12598.587599999999"/>
    <n v="0.39924301882398494"/>
    <d v="2023-04-18T00:00:00"/>
    <s v="Q2-2025"/>
    <s v="Africa → South Africa → Johannesburg"/>
    <s v="High"/>
    <d v="2025-05-01T00:00:00"/>
    <d v="2023-01-01T00:00:00"/>
    <n v="28"/>
    <n v="1"/>
    <n v="0"/>
  </r>
  <r>
    <s v="ORD-2025-485946"/>
    <d v="2025-06-15T00:00:00"/>
    <d v="2025-06-30T00:00:00"/>
    <n v="15"/>
    <x v="3"/>
    <s v="South Africa"/>
    <s v="Johannesburg"/>
    <s v="Small Business"/>
    <s v="Direct"/>
    <x v="5"/>
    <s v="Monitors"/>
    <s v="MON-5891"/>
    <n v="1487.59"/>
    <n v="1480.83"/>
    <n v="1480.83"/>
    <n v="8.9999999999999993E-3"/>
    <n v="11"/>
    <n v="16142.527829999999"/>
    <n v="16363.49"/>
    <n v="-220.9621700000007"/>
    <n v="-1.3688201273492908E-2"/>
    <d v="2023-04-19T00:00:00"/>
    <s v="Q2-2025"/>
    <s v="Africa → South Africa → Johannesburg"/>
    <s v="Medium"/>
    <d v="2025-06-01T00:00:00"/>
    <d v="2023-01-01T00:00:00"/>
    <n v="29"/>
    <n v="0"/>
    <n v="0"/>
  </r>
  <r>
    <s v="ORD-2025-262434"/>
    <d v="2025-06-19T00:00:00"/>
    <d v="2025-06-21T00:00:00"/>
    <n v="2"/>
    <x v="3"/>
    <s v="South Africa"/>
    <s v="Johannesburg"/>
    <s v="Small Business"/>
    <m/>
    <x v="15"/>
    <s v="Phones"/>
    <s v="PHN-7379"/>
    <n v="1466.27"/>
    <n v="3589.89"/>
    <n v="3589.89"/>
    <n v="9.7000000000000003E-2"/>
    <n v="9"/>
    <n v="29175.036029999999"/>
    <n v="13196.43"/>
    <n v="15978.606029999999"/>
    <n v="0.54768076425234147"/>
    <d v="2023-04-06T00:00:00"/>
    <s v="Q2-2025"/>
    <s v="Africa → South Africa → Johannesburg"/>
    <s v="High"/>
    <d v="2025-06-01T00:00:00"/>
    <d v="2023-01-01T00:00:00"/>
    <n v="29"/>
    <n v="1"/>
    <n v="0"/>
  </r>
  <r>
    <s v="ORD-2025-908258"/>
    <d v="2025-06-21T00:00:00"/>
    <d v="2025-06-27T00:00:00"/>
    <n v="6"/>
    <x v="3"/>
    <s v="South Africa"/>
    <s v="Durban"/>
    <s v="Enterprise"/>
    <s v="Distributor"/>
    <x v="1"/>
    <s v="Phones"/>
    <s v="PHN-3819"/>
    <n v="93.91"/>
    <n v="99.04"/>
    <n v="99.04"/>
    <n v="5.7000000000000002E-2"/>
    <n v="6"/>
    <n v="560.36831999999993"/>
    <n v="563.46"/>
    <n v="-3.0916800000001103"/>
    <n v="-5.5172283829323376E-3"/>
    <d v="2023-04-26T00:00:00"/>
    <s v="Q2-2025"/>
    <s v="Africa → South Africa → Durban"/>
    <s v="Low"/>
    <d v="2025-06-01T00:00:00"/>
    <d v="2023-01-01T00:00:00"/>
    <n v="29"/>
    <n v="1"/>
    <n v="0"/>
  </r>
  <r>
    <s v="ORD-2025-312803"/>
    <d v="2025-06-24T00:00:00"/>
    <d v="2025-07-14T00:00:00"/>
    <n v="20"/>
    <x v="3"/>
    <s v="South Africa"/>
    <s v="Johannesburg"/>
    <s v="Enterprise"/>
    <s v="Marketplace"/>
    <x v="9"/>
    <s v="Laptops"/>
    <s v="LAP-1308"/>
    <n v="1151.06"/>
    <n v="2821.36"/>
    <n v="2821.36"/>
    <n v="0.248"/>
    <n v="20"/>
    <n v="42433.254400000005"/>
    <n v="23021.199999999997"/>
    <n v="19412.054400000008"/>
    <n v="0.45747267501594235"/>
    <d v="2023-03-27T00:00:00"/>
    <s v="Q2-2025"/>
    <s v="Africa → South Africa → Johannesburg"/>
    <s v="High"/>
    <d v="2025-06-01T00:00:00"/>
    <d v="2023-01-01T00:00:00"/>
    <n v="29"/>
    <n v="0"/>
    <n v="1"/>
  </r>
  <r>
    <s v="ORD-2025-678688"/>
    <d v="2025-07-16T00:00:00"/>
    <d v="2025-07-17T00:00:00"/>
    <n v="1"/>
    <x v="3"/>
    <s v="South Africa"/>
    <s v="Durban"/>
    <s v="Small Business"/>
    <s v="Distributor"/>
    <x v="7"/>
    <s v="Networking"/>
    <s v="NET-1612"/>
    <n v="1198.9000000000001"/>
    <n v="2941.2"/>
    <n v="2941.2"/>
    <n v="5.0999999999999997E-2"/>
    <n v="24"/>
    <n v="66988.771199999988"/>
    <n v="28773.600000000002"/>
    <n v="38215.171199999982"/>
    <n v="0.57047129713583977"/>
    <d v="2023-03-17T00:00:00"/>
    <s v="Q3-2025"/>
    <s v="Africa → South Africa → Durban"/>
    <s v="High"/>
    <d v="2025-07-01T00:00:00"/>
    <d v="2023-01-01T00:00:00"/>
    <n v="30"/>
    <n v="1"/>
    <n v="0"/>
  </r>
  <r>
    <s v="ORD-2025-474710"/>
    <d v="2025-07-24T00:00:00"/>
    <d v="2025-08-06T00:00:00"/>
    <n v="13"/>
    <x v="3"/>
    <s v="South Africa"/>
    <s v="Johannesburg"/>
    <s v="Education"/>
    <s v="Marketplace"/>
    <x v="0"/>
    <s v="Networking"/>
    <s v="NET-7966"/>
    <n v="1463.9"/>
    <n v="2633.02"/>
    <n v="2633.02"/>
    <n v="8.4000000000000005E-2"/>
    <n v="4"/>
    <n v="9647.3852800000004"/>
    <n v="5855.6"/>
    <n v="3791.7852800000001"/>
    <n v="0.39303761277791527"/>
    <d v="2023-02-23T00:00:00"/>
    <s v="Q3-2025"/>
    <s v="Africa → South Africa → Johannesburg"/>
    <s v="High"/>
    <d v="2025-07-01T00:00:00"/>
    <d v="2023-01-01T00:00:00"/>
    <n v="30"/>
    <n v="0"/>
    <n v="0"/>
  </r>
  <r>
    <s v="ORD-2025-588029"/>
    <d v="2025-09-14T00:00:00"/>
    <d v="2025-09-23T00:00:00"/>
    <n v="9"/>
    <x v="3"/>
    <s v="South Africa"/>
    <s v="Durban"/>
    <s v="Non-Profit"/>
    <s v="Online"/>
    <x v="0"/>
    <s v="Components"/>
    <s v="CMP-6898"/>
    <n v="1310.3"/>
    <n v="2875.8"/>
    <n v="2875.8"/>
    <n v="8.3000000000000004E-2"/>
    <n v="5"/>
    <n v="13185.543"/>
    <n v="6551.5"/>
    <n v="6634.0429999999997"/>
    <n v="0.50313005691157353"/>
    <d v="2023-01-13T00:00:00"/>
    <s v="Q3-2025"/>
    <s v="Africa → South Africa → Durban"/>
    <s v="High"/>
    <d v="2025-09-01T00:00:00"/>
    <d v="2023-01-01T00:00:00"/>
    <n v="32"/>
    <n v="0"/>
    <n v="0"/>
  </r>
  <r>
    <s v="ORD-2023-780206"/>
    <d v="2023-01-19T00:00:00"/>
    <d v="2023-02-03T00:00:00"/>
    <n v="15"/>
    <x v="2"/>
    <s v="United Kingdom"/>
    <s v="London"/>
    <s v="Enterprise"/>
    <s v="Distributor"/>
    <x v="2"/>
    <s v="Accessories"/>
    <s v="ACC-3645"/>
    <n v="873.06"/>
    <n v="2101.5500000000002"/>
    <n v="2101.5500000000002"/>
    <n v="6.6000000000000003E-2"/>
    <n v="10"/>
    <n v="19628.476999999999"/>
    <n v="8730.5999999999985"/>
    <n v="10897.877"/>
    <n v="0.55520746719167269"/>
    <d v="2025-09-15T00:00:00"/>
    <s v="Q1-2023"/>
    <s v="Europe → United Kingdom → London"/>
    <s v="High"/>
    <d v="2023-01-01T00:00:00"/>
    <d v="2023-01-01T00:00:00"/>
    <n v="0"/>
    <n v="0"/>
    <n v="0"/>
  </r>
  <r>
    <s v="ORD-2023-430904"/>
    <d v="2023-01-27T00:00:00"/>
    <d v="2023-01-31T00:00:00"/>
    <n v="4"/>
    <x v="2"/>
    <s v="United Kingdom"/>
    <s v="Manchester"/>
    <s v="Enterprise"/>
    <s v="Online"/>
    <x v="1"/>
    <s v="Laptops"/>
    <s v="LAP-9782"/>
    <n v="941.2"/>
    <n v="668.02"/>
    <n v="668.02"/>
    <n v="0.22"/>
    <n v="16"/>
    <n v="8336.8896000000004"/>
    <n v="15059.2"/>
    <n v="-6722.3104000000003"/>
    <n v="-0.80633314371825193"/>
    <d v="2025-09-08T00:00:00"/>
    <s v="Q1-2023"/>
    <s v="Europe → United Kingdom → Manchester"/>
    <s v="Low"/>
    <d v="2023-01-01T00:00:00"/>
    <d v="2023-01-01T00:00:00"/>
    <n v="0"/>
    <n v="1"/>
    <n v="1"/>
  </r>
  <r>
    <s v="ORD-2023-735274"/>
    <d v="2023-02-23T00:00:00"/>
    <d v="2023-03-08T00:00:00"/>
    <n v="13"/>
    <x v="2"/>
    <s v="United Kingdom"/>
    <s v="Manchester"/>
    <s v="Small Business"/>
    <s v="Direct"/>
    <x v="5"/>
    <s v="Printers"/>
    <s v="PRN-7410"/>
    <n v="307.37"/>
    <n v="462.61"/>
    <n v="462.61"/>
    <n v="0.188"/>
    <n v="11"/>
    <n v="4132.0325200000007"/>
    <n v="3381.07"/>
    <n v="750.9625200000005"/>
    <n v="0.18174167709599739"/>
    <d v="2025-08-20T00:00:00"/>
    <s v="Q1-2023"/>
    <s v="Europe → United Kingdom → Manchester"/>
    <s v="Low"/>
    <d v="2023-02-01T00:00:00"/>
    <d v="2023-01-01T00:00:00"/>
    <n v="1"/>
    <n v="0"/>
    <n v="0"/>
  </r>
  <r>
    <s v="ORD-2023-548874"/>
    <d v="2023-03-19T00:00:00"/>
    <d v="2023-04-09T00:00:00"/>
    <n v="21"/>
    <x v="2"/>
    <s v="United Kingdom"/>
    <s v="Manchester"/>
    <s v="Consumer"/>
    <s v="Retail"/>
    <x v="11"/>
    <s v="Accessories"/>
    <s v="ACC-9150"/>
    <n v="1082.17"/>
    <n v="1234.0999999999999"/>
    <n v="1234.0999999999999"/>
    <n v="0.189"/>
    <n v="16"/>
    <n v="16013.681599999998"/>
    <n v="17314.72"/>
    <n v="-1301.0384000000031"/>
    <n v="-8.124542703534228E-2"/>
    <d v="2025-07-11T00:00:00"/>
    <s v="Q1-2023"/>
    <s v="Europe → United Kingdom → Manchester"/>
    <s v="Medium"/>
    <d v="2023-03-01T00:00:00"/>
    <d v="2023-01-01T00:00:00"/>
    <n v="2"/>
    <n v="0"/>
    <n v="0"/>
  </r>
  <r>
    <s v="ORD-2023-868734"/>
    <d v="2023-04-06T00:00:00"/>
    <d v="2023-04-27T00:00:00"/>
    <n v="21"/>
    <x v="2"/>
    <s v="United Kingdom"/>
    <s v="Manchester"/>
    <s v="Enterprise"/>
    <s v="Distributor"/>
    <x v="14"/>
    <s v="Printers"/>
    <s v="PRN-8970"/>
    <n v="1084.79"/>
    <n v="2484.9899999999998"/>
    <n v="2484.9899999999998"/>
    <n v="3.4000000000000002E-2"/>
    <n v="18"/>
    <n v="43209.006119999991"/>
    <n v="19526.22"/>
    <n v="23682.78611999999"/>
    <n v="0.54809837685755114"/>
    <d v="2025-06-24T00:00:00"/>
    <s v="Q2-2023"/>
    <s v="Europe → United Kingdom → Manchester"/>
    <s v="High"/>
    <d v="2023-04-01T00:00:00"/>
    <d v="2023-01-01T00:00:00"/>
    <n v="3"/>
    <n v="0"/>
    <n v="0"/>
  </r>
  <r>
    <s v="ORD-2023-294716"/>
    <d v="2023-04-10T00:00:00"/>
    <d v="2023-04-25T00:00:00"/>
    <n v="15"/>
    <x v="2"/>
    <s v="United Kingdom"/>
    <s v="London"/>
    <s v="Small Business"/>
    <s v="Retail"/>
    <x v="0"/>
    <s v="Printers"/>
    <s v="PRN-5067"/>
    <n v="405.66"/>
    <n v="962.51"/>
    <n v="962.51"/>
    <n v="0.19"/>
    <n v="7"/>
    <n v="5457.4317000000001"/>
    <n v="2839.6200000000003"/>
    <n v="2617.8116999999997"/>
    <n v="0.47967832561239376"/>
    <d v="2025-06-19T00:00:00"/>
    <s v="Q2-2023"/>
    <s v="Europe → United Kingdom → London"/>
    <s v="Medium"/>
    <d v="2023-04-01T00:00:00"/>
    <d v="2023-01-01T00:00:00"/>
    <n v="3"/>
    <n v="0"/>
    <n v="0"/>
  </r>
  <r>
    <s v="ORD-2023-256951"/>
    <d v="2023-04-19T00:00:00"/>
    <d v="2023-05-07T00:00:00"/>
    <n v="18"/>
    <x v="2"/>
    <s v="United Kingdom"/>
    <s v="London"/>
    <s v="Non-Profit"/>
    <s v="Direct"/>
    <x v="15"/>
    <s v="Networking"/>
    <s v="NET-2439"/>
    <n v="516.96"/>
    <n v="745.38"/>
    <n v="745.38"/>
    <n v="0.19700000000000001"/>
    <n v="4"/>
    <n v="2394.1605599999998"/>
    <n v="2067.84"/>
    <n v="326.32055999999966"/>
    <n v="0.13629852794835101"/>
    <d v="2025-06-14T00:00:00"/>
    <s v="Q2-2023"/>
    <s v="Europe → United Kingdom → London"/>
    <s v="Low"/>
    <d v="2023-04-01T00:00:00"/>
    <d v="2023-01-01T00:00:00"/>
    <n v="3"/>
    <n v="0"/>
    <n v="0"/>
  </r>
  <r>
    <s v="ORD-2023-501220"/>
    <d v="2023-04-19T00:00:00"/>
    <d v="2023-05-07T00:00:00"/>
    <n v="18"/>
    <x v="2"/>
    <s v="United Kingdom"/>
    <s v="Birmingham"/>
    <s v="Enterprise"/>
    <s v="Retail"/>
    <x v="1"/>
    <s v="Laptops"/>
    <s v="LAP-9766"/>
    <n v="1089.1500000000001"/>
    <n v="1088.2"/>
    <n v="1088.2"/>
    <n v="5.0999999999999997E-2"/>
    <n v="15"/>
    <n v="15490.527"/>
    <n v="16337.250000000002"/>
    <n v="-846.72300000000178"/>
    <n v="-5.4660696824582002E-2"/>
    <d v="2025-06-21T00:00:00"/>
    <s v="Q2-2023"/>
    <s v="Europe → United Kingdom → Birmingham"/>
    <s v="Medium"/>
    <d v="2023-04-01T00:00:00"/>
    <d v="2023-01-01T00:00:00"/>
    <n v="3"/>
    <n v="0"/>
    <n v="0"/>
  </r>
  <r>
    <s v="ORD-2023-927385"/>
    <d v="2023-05-29T00:00:00"/>
    <d v="2023-06-20T00:00:00"/>
    <n v="22"/>
    <x v="2"/>
    <s v="United Kingdom"/>
    <s v="London"/>
    <s v="Small Business"/>
    <s v="Direct"/>
    <x v="12"/>
    <s v="Components"/>
    <s v="CMP-8545"/>
    <n v="1295.3900000000001"/>
    <n v="2905.06"/>
    <n v="2905.06"/>
    <n v="0.14799999999999999"/>
    <n v="8"/>
    <n v="19800.88896"/>
    <n v="10363.120000000001"/>
    <n v="9437.7689599999994"/>
    <n v="0.47663359857556614"/>
    <d v="2025-05-12T00:00:00"/>
    <s v="Q2-2023"/>
    <s v="Europe → United Kingdom → London"/>
    <s v="High"/>
    <d v="2023-05-01T00:00:00"/>
    <d v="2023-01-01T00:00:00"/>
    <n v="4"/>
    <n v="0"/>
    <n v="0"/>
  </r>
  <r>
    <s v="ORD-2023-386663"/>
    <d v="2023-06-05T00:00:00"/>
    <d v="2023-06-28T00:00:00"/>
    <n v="23"/>
    <x v="2"/>
    <s v="United Kingdom"/>
    <s v="Birmingham"/>
    <s v="Corporate"/>
    <s v="Direct"/>
    <x v="12"/>
    <s v="Printers"/>
    <s v="PRN-3690"/>
    <n v="605.82000000000005"/>
    <n v="771.12"/>
    <n v="771.12"/>
    <n v="0.13200000000000001"/>
    <n v="19"/>
    <n v="12717.311040000001"/>
    <n v="11510.580000000002"/>
    <n v="1206.7310399999988"/>
    <n v="9.4888851597986767E-2"/>
    <d v="2025-04-14T00:00:00"/>
    <s v="Q2-2023"/>
    <s v="Europe → United Kingdom → Birmingham"/>
    <s v="Low"/>
    <d v="2023-06-01T00:00:00"/>
    <d v="2023-01-01T00:00:00"/>
    <n v="5"/>
    <n v="0"/>
    <n v="0"/>
  </r>
  <r>
    <s v="ORD-2023-290279"/>
    <d v="2023-06-14T00:00:00"/>
    <d v="2023-06-16T00:00:00"/>
    <n v="2"/>
    <x v="2"/>
    <s v="United Kingdom"/>
    <s v="Manchester"/>
    <s v="Non-Profit"/>
    <s v="Direct"/>
    <x v="12"/>
    <s v="Components"/>
    <s v="CMP-5820"/>
    <n v="357.36"/>
    <n v="703.62"/>
    <n v="703.62"/>
    <n v="0.25700000000000001"/>
    <n v="20"/>
    <n v="10455.7932"/>
    <n v="7147.2000000000007"/>
    <n v="3308.5931999999993"/>
    <n v="0.31643636563125593"/>
    <d v="2025-04-12T00:00:00"/>
    <s v="Q2-2023"/>
    <s v="Europe → United Kingdom → Manchester"/>
    <s v="Low"/>
    <d v="2023-06-01T00:00:00"/>
    <d v="2023-01-01T00:00:00"/>
    <n v="5"/>
    <n v="1"/>
    <n v="1"/>
  </r>
  <r>
    <s v="ORD-2023-173313"/>
    <d v="2023-06-15T00:00:00"/>
    <d v="2023-07-12T00:00:00"/>
    <n v="27"/>
    <x v="2"/>
    <s v="United Kingdom"/>
    <s v="Manchester"/>
    <s v="Consumer"/>
    <s v="Direct"/>
    <x v="14"/>
    <s v="Accessories"/>
    <s v="ACC-3833"/>
    <n v="751.28"/>
    <n v="1111.8800000000001"/>
    <n v="1111.8800000000001"/>
    <n v="0.13500000000000001"/>
    <n v="7"/>
    <n v="6732.4334000000008"/>
    <n v="5258.96"/>
    <n v="1473.4734000000008"/>
    <n v="0.21886193482433863"/>
    <d v="2025-04-06T00:00:00"/>
    <s v="Q2-2023"/>
    <s v="Europe → United Kingdom → Manchester"/>
    <s v="Medium"/>
    <d v="2023-06-01T00:00:00"/>
    <d v="2023-01-01T00:00:00"/>
    <n v="5"/>
    <n v="0"/>
    <n v="0"/>
  </r>
  <r>
    <s v="ORD-2023-920483"/>
    <d v="2023-07-02T00:00:00"/>
    <d v="2023-08-01T00:00:00"/>
    <n v="30"/>
    <x v="2"/>
    <s v="United Kingdom"/>
    <s v="Birmingham"/>
    <s v="Small Business"/>
    <s v="Retail"/>
    <x v="7"/>
    <s v="Components"/>
    <s v="CMP-7256"/>
    <n v="137.46"/>
    <n v="188.3"/>
    <n v="188.3"/>
    <n v="3.7999999999999999E-2"/>
    <n v="37"/>
    <n v="6702.3501999999999"/>
    <n v="5086.0200000000004"/>
    <n v="1616.3301999999994"/>
    <n v="0.24115872071262398"/>
    <d v="2025-03-31T00:00:00"/>
    <s v="Q3-2023"/>
    <s v="Europe → United Kingdom → Birmingham"/>
    <s v="Low"/>
    <d v="2023-07-01T00:00:00"/>
    <d v="2023-01-01T00:00:00"/>
    <n v="6"/>
    <n v="0"/>
    <n v="0"/>
  </r>
  <r>
    <s v="ORD-2023-569862"/>
    <d v="2023-07-16T00:00:00"/>
    <d v="2023-08-13T00:00:00"/>
    <n v="28"/>
    <x v="2"/>
    <s v="United Kingdom"/>
    <s v="Manchester"/>
    <s v="Non-Profit"/>
    <s v="Online"/>
    <x v="9"/>
    <s v="Laptops"/>
    <s v="LAP-1178"/>
    <n v="1039.03"/>
    <n v="2545.81"/>
    <n v="2545.81"/>
    <n v="0.216"/>
    <n v="21"/>
    <n v="41914.215840000004"/>
    <n v="21819.63"/>
    <n v="20094.585840000003"/>
    <n v="0.47942172929364774"/>
    <d v="2025-03-10T00:00:00"/>
    <s v="Q3-2023"/>
    <s v="Europe → United Kingdom → Manchester"/>
    <s v="High"/>
    <d v="2023-07-01T00:00:00"/>
    <d v="2023-01-01T00:00:00"/>
    <n v="6"/>
    <n v="0"/>
    <n v="1"/>
  </r>
  <r>
    <s v="ORD-2023-197661"/>
    <d v="2023-08-08T00:00:00"/>
    <d v="2023-08-22T00:00:00"/>
    <n v="14"/>
    <x v="2"/>
    <s v="United Kingdom"/>
    <s v="Birmingham"/>
    <s v="Non-Profit"/>
    <s v="Direct"/>
    <x v="1"/>
    <s v="Monitors"/>
    <s v="MON-7511"/>
    <n v="446.69"/>
    <n v="967.25"/>
    <n v="967.25"/>
    <n v="9.4E-2"/>
    <n v="10"/>
    <n v="8763.2849999999999"/>
    <n v="4466.8999999999996"/>
    <n v="4296.3850000000002"/>
    <n v="0.49027105702941309"/>
    <d v="2025-02-04T00:00:00"/>
    <s v="Q3-2023"/>
    <s v="Europe → United Kingdom → Birmingham"/>
    <s v="Medium"/>
    <d v="2023-08-01T00:00:00"/>
    <d v="2023-01-01T00:00:00"/>
    <n v="7"/>
    <n v="0"/>
    <n v="0"/>
  </r>
  <r>
    <s v="ORD-2023-375011"/>
    <d v="2023-08-23T00:00:00"/>
    <d v="2023-09-22T00:00:00"/>
    <n v="30"/>
    <x v="2"/>
    <s v="United Kingdom"/>
    <s v="London"/>
    <s v="Consumer"/>
    <s v="Distributor"/>
    <x v="13"/>
    <s v="Accessories"/>
    <s v="ACC-1492"/>
    <n v="209.81"/>
    <n v="523"/>
    <n v="523"/>
    <n v="5.8999999999999997E-2"/>
    <n v="15"/>
    <n v="7382.1450000000004"/>
    <n v="3147.15"/>
    <n v="4234.9950000000008"/>
    <n v="0.57368082041195356"/>
    <d v="2025-01-13T00:00:00"/>
    <s v="Q3-2023"/>
    <s v="Europe → United Kingdom → London"/>
    <s v="Low"/>
    <d v="2023-08-01T00:00:00"/>
    <d v="2023-01-01T00:00:00"/>
    <n v="7"/>
    <n v="0"/>
    <n v="0"/>
  </r>
  <r>
    <s v="ORD-2023-664749"/>
    <d v="2023-08-27T00:00:00"/>
    <d v="2023-09-11T00:00:00"/>
    <n v="15"/>
    <x v="2"/>
    <s v="United Kingdom"/>
    <s v="London"/>
    <s v="Consumer"/>
    <s v="Marketplace"/>
    <x v="1"/>
    <s v="Printers"/>
    <s v="PRN-5107"/>
    <n v="943.79"/>
    <n v="1913.76"/>
    <n v="1913.76"/>
    <n v="9.0999999999999998E-2"/>
    <n v="9"/>
    <n v="15656.47056"/>
    <n v="8494.11"/>
    <n v="7162.3605599999992"/>
    <n v="0.45746967891338081"/>
    <d v="2025-01-20T00:00:00"/>
    <s v="Q3-2023"/>
    <s v="Europe → United Kingdom → London"/>
    <s v="High"/>
    <d v="2023-08-01T00:00:00"/>
    <d v="2023-01-01T00:00:00"/>
    <n v="7"/>
    <n v="0"/>
    <n v="0"/>
  </r>
  <r>
    <s v="ORD-2023-667815"/>
    <d v="2023-10-21T00:00:00"/>
    <d v="2023-11-09T00:00:00"/>
    <n v="19"/>
    <x v="2"/>
    <s v="United Kingdom"/>
    <s v="London"/>
    <s v="Non-Profit"/>
    <s v="Direct"/>
    <x v="4"/>
    <s v="Accessories"/>
    <s v="ACC-8557"/>
    <n v="1142.48"/>
    <n v="2105.5300000000002"/>
    <n v="2105.5300000000002"/>
    <n v="0.20699999999999999"/>
    <n v="14"/>
    <n v="23375.594060000003"/>
    <n v="15994.720000000001"/>
    <n v="7380.8740600000019"/>
    <n v="0.31575129346680658"/>
    <d v="2024-12-12T00:00:00"/>
    <s v="Q4-2023"/>
    <s v="Europe → United Kingdom → London"/>
    <s v="High"/>
    <d v="2023-10-01T00:00:00"/>
    <d v="2023-01-01T00:00:00"/>
    <n v="9"/>
    <n v="0"/>
    <n v="1"/>
  </r>
  <r>
    <s v="ORD-2023-659070"/>
    <d v="2023-10-21T00:00:00"/>
    <d v="2023-10-21T00:00:00"/>
    <n v="0"/>
    <x v="2"/>
    <s v="United Kingdom"/>
    <s v="Manchester"/>
    <s v="Enterprise"/>
    <s v="Distributor"/>
    <x v="9"/>
    <s v="Monitors"/>
    <s v="MON-8697"/>
    <n v="384.19"/>
    <n v="278.35000000000002"/>
    <n v="278.35000000000002"/>
    <n v="5.6000000000000001E-2"/>
    <n v="10"/>
    <n v="2627.6239999999998"/>
    <n v="3841.9"/>
    <n v="-1214.2760000000003"/>
    <n v="-0.46211938998882657"/>
    <d v="2024-12-10T00:00:00"/>
    <s v="Q4-2023"/>
    <s v="Europe → United Kingdom → Manchester"/>
    <s v="Low"/>
    <d v="2023-10-01T00:00:00"/>
    <d v="2023-01-01T00:00:00"/>
    <n v="9"/>
    <n v="1"/>
    <n v="0"/>
  </r>
  <r>
    <s v="ORD-2023-181257"/>
    <d v="2023-11-15T00:00:00"/>
    <d v="2023-12-06T00:00:00"/>
    <n v="21"/>
    <x v="2"/>
    <s v="United Kingdom"/>
    <s v="Manchester"/>
    <s v="Education"/>
    <s v="Direct"/>
    <x v="15"/>
    <s v="Accessories"/>
    <s v="ACC-1060"/>
    <n v="1184.99"/>
    <n v="1154.3399999999999"/>
    <n v="1154.3399999999999"/>
    <n v="2.8000000000000001E-2"/>
    <n v="5"/>
    <n v="5610.0923999999995"/>
    <n v="5924.95"/>
    <n v="-314.85760000000028"/>
    <n v="-5.6123424990290764E-2"/>
    <d v="2024-11-02T00:00:00"/>
    <s v="Q4-2023"/>
    <s v="Europe → United Kingdom → Manchester"/>
    <s v="Medium"/>
    <d v="2023-11-01T00:00:00"/>
    <d v="2023-01-01T00:00:00"/>
    <n v="10"/>
    <n v="0"/>
    <n v="0"/>
  </r>
  <r>
    <s v="ORD-2024-921935"/>
    <d v="2024-01-01T00:00:00"/>
    <d v="2024-01-27T00:00:00"/>
    <n v="26"/>
    <x v="2"/>
    <s v="United Kingdom"/>
    <s v="Manchester"/>
    <s v="Education"/>
    <s v="Distributor"/>
    <x v="0"/>
    <s v="Accessories"/>
    <s v="ACC-3103"/>
    <n v="657.45"/>
    <n v="1325.96"/>
    <n v="1325.96"/>
    <n v="0.16700000000000001"/>
    <n v="21"/>
    <n v="23195.01828"/>
    <n v="13806.45"/>
    <n v="9388.5682799999995"/>
    <n v="0.40476658249048808"/>
    <d v="2024-10-22T00:00:00"/>
    <s v="Q1-2024"/>
    <s v="Europe → United Kingdom → Manchester"/>
    <s v="Medium"/>
    <d v="2024-01-01T00:00:00"/>
    <d v="2023-01-01T00:00:00"/>
    <n v="12"/>
    <n v="0"/>
    <n v="0"/>
  </r>
  <r>
    <s v="ORD-2024-207669"/>
    <d v="2024-01-24T00:00:00"/>
    <d v="2024-02-04T00:00:00"/>
    <n v="11"/>
    <x v="2"/>
    <s v="United Kingdom"/>
    <s v="Manchester"/>
    <s v="Consumer"/>
    <s v="Retail"/>
    <x v="7"/>
    <s v="Laptops"/>
    <s v="LAP-5689"/>
    <n v="525.34"/>
    <n v="1233.79"/>
    <n v="1233.79"/>
    <n v="0.14299999999999999"/>
    <n v="4"/>
    <n v="4229.4321199999995"/>
    <n v="2101.36"/>
    <n v="2128.0721199999994"/>
    <n v="0.50315788494082736"/>
    <d v="2024-08-27T00:00:00"/>
    <s v="Q1-2024"/>
    <s v="Europe → United Kingdom → Manchester"/>
    <s v="Medium"/>
    <d v="2024-01-01T00:00:00"/>
    <d v="2023-01-01T00:00:00"/>
    <n v="12"/>
    <n v="0"/>
    <n v="0"/>
  </r>
  <r>
    <s v="ORD-2024-907733"/>
    <d v="2024-03-09T00:00:00"/>
    <d v="2024-03-22T00:00:00"/>
    <n v="13"/>
    <x v="2"/>
    <s v="United Kingdom"/>
    <s v="Manchester"/>
    <s v="Consumer"/>
    <s v="Online"/>
    <x v="6"/>
    <s v="Laptops"/>
    <s v="LAP-8633"/>
    <n v="985.45"/>
    <n v="1802.44"/>
    <n v="1802.44"/>
    <n v="8.9999999999999993E-3"/>
    <n v="19"/>
    <n v="33938.142760000002"/>
    <n v="18723.55"/>
    <n v="15214.592760000003"/>
    <n v="0.44830363486867486"/>
    <d v="2024-06-29T00:00:00"/>
    <s v="Q1-2024"/>
    <s v="Europe → United Kingdom → Manchester"/>
    <s v="High"/>
    <d v="2024-03-01T00:00:00"/>
    <d v="2023-01-01T00:00:00"/>
    <n v="14"/>
    <n v="0"/>
    <n v="0"/>
  </r>
  <r>
    <s v="ORD-2024-629525"/>
    <d v="2024-04-18T00:00:00"/>
    <d v="2024-05-08T00:00:00"/>
    <n v="20"/>
    <x v="2"/>
    <s v="United Kingdom"/>
    <s v="London"/>
    <s v="Non-Profit"/>
    <m/>
    <x v="0"/>
    <s v="Laptops"/>
    <s v="LAP-9932"/>
    <n v="645.33000000000004"/>
    <n v="1321.85"/>
    <n v="1321.85"/>
    <n v="0"/>
    <n v="10"/>
    <n v="13218.5"/>
    <n v="6453.3"/>
    <n v="6765.2"/>
    <n v="0.51179785906116426"/>
    <d v="2024-06-16T00:00:00"/>
    <s v="Q2-2024"/>
    <s v="Europe → United Kingdom → London"/>
    <s v="Medium"/>
    <d v="2024-04-01T00:00:00"/>
    <d v="2023-01-01T00:00:00"/>
    <n v="15"/>
    <n v="0"/>
    <n v="0"/>
  </r>
  <r>
    <s v="ORD-2024-567435"/>
    <d v="2024-04-24T00:00:00"/>
    <d v="2024-04-26T00:00:00"/>
    <n v="2"/>
    <x v="2"/>
    <s v="United Kingdom"/>
    <s v="London"/>
    <s v="Non-Profit"/>
    <s v="Distributor"/>
    <x v="1"/>
    <s v="Phones"/>
    <s v="PHN-9107"/>
    <n v="1232.77"/>
    <n v="891.73"/>
    <n v="891.73"/>
    <n v="0.16700000000000001"/>
    <n v="10"/>
    <n v="7428.1108999999988"/>
    <n v="12327.7"/>
    <n v="-4899.589100000002"/>
    <n v="-0.65960096260813805"/>
    <d v="2024-06-04T00:00:00"/>
    <s v="Q2-2024"/>
    <s v="Europe → United Kingdom → London"/>
    <s v="Medium"/>
    <d v="2024-04-01T00:00:00"/>
    <d v="2023-01-01T00:00:00"/>
    <n v="15"/>
    <n v="1"/>
    <n v="0"/>
  </r>
  <r>
    <s v="ORD-2024-641220"/>
    <d v="2024-05-10T00:00:00"/>
    <d v="2024-05-16T00:00:00"/>
    <n v="6"/>
    <x v="2"/>
    <s v="United Kingdom"/>
    <s v="Birmingham"/>
    <s v="Non-Profit"/>
    <s v="Direct"/>
    <x v="2"/>
    <s v="Laptops"/>
    <s v="LAP-1066"/>
    <n v="210.76"/>
    <n v="221.58"/>
    <n v="221.58"/>
    <n v="8.8999999999999996E-2"/>
    <n v="5"/>
    <n v="1009.2969000000002"/>
    <n v="1053.8"/>
    <n v="-44.50309999999979"/>
    <n v="-4.4093170205912434E-2"/>
    <d v="2024-05-19T00:00:00"/>
    <s v="Q2-2024"/>
    <s v="Europe → United Kingdom → Birmingham"/>
    <s v="Low"/>
    <d v="2024-05-01T00:00:00"/>
    <d v="2023-01-01T00:00:00"/>
    <n v="16"/>
    <n v="1"/>
    <n v="0"/>
  </r>
  <r>
    <s v="ORD-2024-973420"/>
    <d v="2024-05-12T00:00:00"/>
    <d v="2024-05-24T00:00:00"/>
    <n v="12"/>
    <x v="2"/>
    <s v="United Kingdom"/>
    <s v="Manchester"/>
    <s v="Education"/>
    <s v="Marketplace"/>
    <x v="12"/>
    <s v="Printers"/>
    <s v="PRN-5813"/>
    <n v="111.02"/>
    <n v="172.88"/>
    <n v="172.88"/>
    <n v="0.19700000000000001"/>
    <n v="29"/>
    <n v="4025.8565599999993"/>
    <n v="3219.58"/>
    <n v="806.27655999999934"/>
    <n v="0.20027453735212053"/>
    <d v="2024-05-23T00:00:00"/>
    <s v="Q2-2024"/>
    <s v="Europe → United Kingdom → Manchester"/>
    <s v="Low"/>
    <d v="2024-05-01T00:00:00"/>
    <d v="2023-01-01T00:00:00"/>
    <n v="16"/>
    <n v="0"/>
    <n v="0"/>
  </r>
  <r>
    <s v="ORD-2024-548345"/>
    <d v="2024-05-14T00:00:00"/>
    <d v="2024-05-28T00:00:00"/>
    <n v="14"/>
    <x v="2"/>
    <s v="United Kingdom"/>
    <s v="Birmingham"/>
    <s v="Consumer"/>
    <s v="Retail"/>
    <x v="7"/>
    <s v="Networking"/>
    <s v="NET-2365"/>
    <n v="1421.14"/>
    <n v="3524"/>
    <n v="3524"/>
    <n v="0"/>
    <n v="31"/>
    <n v="109244"/>
    <n v="44055.340000000004"/>
    <n v="65188.659999999996"/>
    <n v="0.59672531214528945"/>
    <d v="2024-05-22T00:00:00"/>
    <s v="Q2-2024"/>
    <s v="Europe → United Kingdom → Birmingham"/>
    <s v="High"/>
    <d v="2024-05-01T00:00:00"/>
    <d v="2023-01-01T00:00:00"/>
    <n v="16"/>
    <n v="0"/>
    <n v="0"/>
  </r>
  <r>
    <s v="ORD-2024-223618"/>
    <d v="2024-06-10T00:00:00"/>
    <d v="2024-06-11T00:00:00"/>
    <n v="1"/>
    <x v="2"/>
    <s v="United Kingdom"/>
    <s v="Birmingham"/>
    <s v="Small Business"/>
    <s v="Marketplace"/>
    <x v="3"/>
    <s v="Laptops"/>
    <s v="LAP-9230"/>
    <n v="1187.1300000000001"/>
    <n v="1795.17"/>
    <n v="1795.17"/>
    <n v="1.2E-2"/>
    <n v="17"/>
    <n v="30151.675319999998"/>
    <n v="20181.210000000003"/>
    <n v="9970.4653199999957"/>
    <n v="0.33067699271046663"/>
    <d v="2024-04-04T00:00:00"/>
    <s v="Q2-2024"/>
    <s v="Europe → United Kingdom → Birmingham"/>
    <s v="High"/>
    <d v="2024-06-01T00:00:00"/>
    <d v="2023-01-01T00:00:00"/>
    <n v="17"/>
    <n v="1"/>
    <n v="0"/>
  </r>
  <r>
    <s v="ORD-2024-704056"/>
    <d v="2024-06-23T00:00:00"/>
    <d v="2024-06-25T00:00:00"/>
    <n v="2"/>
    <x v="2"/>
    <s v="United Kingdom"/>
    <s v="Birmingham"/>
    <s v="Small Business"/>
    <s v="Marketplace"/>
    <x v="11"/>
    <s v="Accessories"/>
    <s v="ACC-7838"/>
    <n v="951.44"/>
    <n v="1646.43"/>
    <n v="1646.43"/>
    <n v="0.11"/>
    <n v="24"/>
    <n v="35167.7448"/>
    <n v="22834.560000000001"/>
    <n v="12333.184799999999"/>
    <n v="0.35069592520473475"/>
    <d v="2024-04-05T00:00:00"/>
    <s v="Q2-2024"/>
    <s v="Europe → United Kingdom → Birmingham"/>
    <s v="High"/>
    <d v="2024-06-01T00:00:00"/>
    <d v="2023-01-01T00:00:00"/>
    <n v="17"/>
    <n v="1"/>
    <n v="0"/>
  </r>
  <r>
    <s v="ORD-2024-286833"/>
    <d v="2024-08-14T00:00:00"/>
    <d v="2024-09-04T00:00:00"/>
    <n v="21"/>
    <x v="2"/>
    <s v="United Kingdom"/>
    <s v="Manchester"/>
    <s v="Non-Profit"/>
    <s v="Online"/>
    <x v="9"/>
    <s v="Phones"/>
    <s v="PHN-2341"/>
    <n v="1138.8"/>
    <n v="2250.81"/>
    <n v="2250.81"/>
    <n v="0.123"/>
    <n v="12"/>
    <n v="23687.524440000001"/>
    <n v="13665.599999999999"/>
    <n v="10021.924440000003"/>
    <n v="0.42308872188756258"/>
    <d v="2024-02-16T00:00:00"/>
    <s v="Q3-2024"/>
    <s v="Europe → United Kingdom → Manchester"/>
    <s v="High"/>
    <d v="2024-08-01T00:00:00"/>
    <d v="2023-01-01T00:00:00"/>
    <n v="19"/>
    <n v="0"/>
    <n v="0"/>
  </r>
  <r>
    <s v="ORD-2024-728474"/>
    <d v="2024-09-09T00:00:00"/>
    <d v="2024-09-13T00:00:00"/>
    <n v="4"/>
    <x v="2"/>
    <s v="United Kingdom"/>
    <s v="London"/>
    <s v="Consumer"/>
    <s v="Marketplace"/>
    <x v="8"/>
    <s v="Networking"/>
    <s v="NET-1145"/>
    <n v="1133.08"/>
    <n v="976.17"/>
    <n v="976.17"/>
    <n v="4.2000000000000003E-2"/>
    <n v="27"/>
    <n v="25249.613219999999"/>
    <n v="30593.159999999996"/>
    <n v="-5343.5467799999969"/>
    <n v="-0.21162885678452373"/>
    <d v="2024-01-12T00:00:00"/>
    <s v="Q3-2024"/>
    <s v="Europe → United Kingdom → London"/>
    <s v="Medium"/>
    <d v="2024-09-01T00:00:00"/>
    <d v="2023-01-01T00:00:00"/>
    <n v="20"/>
    <n v="1"/>
    <n v="0"/>
  </r>
  <r>
    <s v="ORD-2024-500511"/>
    <d v="2024-10-08T00:00:00"/>
    <d v="2024-10-08T00:00:00"/>
    <n v="0"/>
    <x v="2"/>
    <s v="United Kingdom"/>
    <s v="London"/>
    <s v="Corporate"/>
    <s v="Online"/>
    <x v="6"/>
    <s v="Monitors"/>
    <s v="MON-9733"/>
    <n v="1108.1099999999999"/>
    <n v="2503.79"/>
    <n v="2503.79"/>
    <n v="0.184"/>
    <n v="19"/>
    <n v="38818.760160000005"/>
    <n v="21054.089999999997"/>
    <n v="17764.670160000009"/>
    <n v="0.45763105485025896"/>
    <d v="2023-12-20T00:00:00"/>
    <s v="Q4-2024"/>
    <s v="Europe → United Kingdom → London"/>
    <s v="High"/>
    <d v="2024-10-01T00:00:00"/>
    <d v="2023-01-01T00:00:00"/>
    <n v="21"/>
    <n v="1"/>
    <n v="0"/>
  </r>
  <r>
    <s v="ORD-2024-942981"/>
    <d v="2024-10-09T00:00:00"/>
    <d v="2024-11-08T00:00:00"/>
    <n v="30"/>
    <x v="2"/>
    <s v="United Kingdom"/>
    <s v="Manchester"/>
    <s v="Small Business"/>
    <s v="Distributor"/>
    <x v="9"/>
    <s v="Components"/>
    <s v="CMP-1072"/>
    <n v="343.85"/>
    <n v="538.04"/>
    <n v="538.04"/>
    <n v="0.13900000000000001"/>
    <n v="5"/>
    <n v="2316.2621999999997"/>
    <n v="1719.25"/>
    <n v="597.01219999999967"/>
    <n v="0.25774810813732563"/>
    <d v="2023-12-18T00:00:00"/>
    <s v="Q4-2024"/>
    <s v="Europe → United Kingdom → Manchester"/>
    <s v="Low"/>
    <d v="2024-10-01T00:00:00"/>
    <d v="2023-01-01T00:00:00"/>
    <n v="21"/>
    <n v="0"/>
    <n v="0"/>
  </r>
  <r>
    <s v="ORD-2024-964950"/>
    <d v="2024-10-10T00:00:00"/>
    <d v="2024-10-11T00:00:00"/>
    <n v="1"/>
    <x v="2"/>
    <s v="United Kingdom"/>
    <s v="Manchester"/>
    <s v="Non-Profit"/>
    <s v="Distributor"/>
    <x v="11"/>
    <s v="Components"/>
    <s v="CMP-8127"/>
    <n v="1389.46"/>
    <n v="1784.7"/>
    <n v="1784.7"/>
    <n v="0.14599999999999999"/>
    <n v="33"/>
    <n v="50296.415399999998"/>
    <n v="45852.18"/>
    <n v="4444.2353999999978"/>
    <n v="8.8360877503011831E-2"/>
    <d v="2023-12-24T00:00:00"/>
    <s v="Q4-2024"/>
    <s v="Europe → United Kingdom → Manchester"/>
    <s v="High"/>
    <d v="2024-10-01T00:00:00"/>
    <d v="2023-01-01T00:00:00"/>
    <n v="21"/>
    <n v="1"/>
    <n v="0"/>
  </r>
  <r>
    <s v="ORD-2024-925626"/>
    <d v="2024-11-04T00:00:00"/>
    <d v="2024-11-05T00:00:00"/>
    <n v="1"/>
    <x v="2"/>
    <s v="United Kingdom"/>
    <s v="London"/>
    <s v="Corporate"/>
    <s v="Retail"/>
    <x v="3"/>
    <s v="Printers"/>
    <s v="PRN-2293"/>
    <n v="840.68"/>
    <n v="1493.53"/>
    <n v="1493.53"/>
    <n v="0"/>
    <n v="27"/>
    <n v="40325.31"/>
    <n v="22698.359999999997"/>
    <n v="17626.95"/>
    <n v="0.43711877230454027"/>
    <d v="2023-12-05T00:00:00"/>
    <s v="Q4-2024"/>
    <s v="Europe → United Kingdom → London"/>
    <s v="Medium"/>
    <d v="2024-11-01T00:00:00"/>
    <d v="2023-01-01T00:00:00"/>
    <n v="22"/>
    <n v="1"/>
    <n v="0"/>
  </r>
  <r>
    <s v="ORD-2024-496601"/>
    <d v="2024-11-11T00:00:00"/>
    <d v="2024-11-24T00:00:00"/>
    <n v="13"/>
    <x v="2"/>
    <s v="United Kingdom"/>
    <s v="London"/>
    <s v="Corporate"/>
    <s v="Retail"/>
    <x v="6"/>
    <s v="Networking"/>
    <s v="NET-2932"/>
    <n v="164.53"/>
    <n v="327.72"/>
    <n v="327.72"/>
    <n v="6.7000000000000004E-2"/>
    <n v="14"/>
    <n v="4280.6786400000001"/>
    <n v="2303.42"/>
    <n v="1977.25864"/>
    <n v="0.46190307805960412"/>
    <d v="2023-12-05T00:00:00"/>
    <s v="Q4-2024"/>
    <s v="Europe → United Kingdom → London"/>
    <s v="Low"/>
    <d v="2024-11-01T00:00:00"/>
    <d v="2023-01-01T00:00:00"/>
    <n v="22"/>
    <n v="0"/>
    <n v="0"/>
  </r>
  <r>
    <s v="ORD-2024-140633"/>
    <d v="2024-12-07T00:00:00"/>
    <d v="2024-12-26T00:00:00"/>
    <n v="19"/>
    <x v="2"/>
    <s v="United Kingdom"/>
    <s v="London"/>
    <s v="Enterprise"/>
    <s v="Online"/>
    <x v="0"/>
    <s v="Networking"/>
    <s v="NET-4491"/>
    <n v="1035.24"/>
    <n v="2383.41"/>
    <n v="2383.41"/>
    <n v="0.17"/>
    <n v="15"/>
    <n v="29673.454499999993"/>
    <n v="15528.6"/>
    <n v="14144.854499999992"/>
    <n v="0.47668378145860962"/>
    <d v="2023-09-30T00:00:00"/>
    <s v="Q4-2024"/>
    <s v="Europe → United Kingdom → London"/>
    <s v="High"/>
    <d v="2024-12-01T00:00:00"/>
    <d v="2023-01-01T00:00:00"/>
    <n v="23"/>
    <n v="0"/>
    <n v="0"/>
  </r>
  <r>
    <s v="ORD-2024-930679"/>
    <d v="2024-12-17T00:00:00"/>
    <d v="2025-01-16T00:00:00"/>
    <n v="30"/>
    <x v="2"/>
    <s v="United Kingdom"/>
    <s v="Manchester"/>
    <s v="Corporate"/>
    <s v="Retail"/>
    <x v="0"/>
    <s v="Monitors"/>
    <s v="MON-4215"/>
    <n v="722.87"/>
    <n v="-33.659999999999997"/>
    <n v="33.659999999999997"/>
    <n v="0.10199999999999999"/>
    <n v="28"/>
    <n v="846.34703999999988"/>
    <n v="20240.36"/>
    <n v="-19394.01296"/>
    <n v="-22.914965189693348"/>
    <d v="2023-10-18T00:00:00"/>
    <s v="Q4-2024"/>
    <s v="Europe → United Kingdom → Manchester"/>
    <s v="Low"/>
    <d v="2024-12-01T00:00:00"/>
    <d v="2023-01-01T00:00:00"/>
    <n v="23"/>
    <n v="0"/>
    <n v="0"/>
  </r>
  <r>
    <s v="ORD-2024-165942"/>
    <d v="2024-12-29T00:00:00"/>
    <d v="2025-01-12T00:00:00"/>
    <n v="14"/>
    <x v="2"/>
    <s v="United Kingdom"/>
    <s v="Manchester"/>
    <s v="Corporate"/>
    <s v="Direct"/>
    <x v="7"/>
    <s v="Monitors"/>
    <s v="MON-6310"/>
    <n v="1399.72"/>
    <n v="3149.21"/>
    <n v="3149.21"/>
    <n v="0.185"/>
    <n v="12"/>
    <n v="30799.273800000003"/>
    <n v="16796.64"/>
    <n v="14002.633800000003"/>
    <n v="0.45464168703873797"/>
    <d v="2023-09-08T00:00:00"/>
    <s v="Q4-2024"/>
    <s v="Europe → United Kingdom → Manchester"/>
    <s v="High"/>
    <d v="2024-12-01T00:00:00"/>
    <d v="2023-01-01T00:00:00"/>
    <n v="23"/>
    <n v="0"/>
    <n v="0"/>
  </r>
  <r>
    <s v="ORD-2025-192876"/>
    <d v="2025-01-31T00:00:00"/>
    <d v="2025-02-17T00:00:00"/>
    <n v="17"/>
    <x v="2"/>
    <s v="United Kingdom"/>
    <s v="London"/>
    <s v="Enterprise"/>
    <s v="Retail"/>
    <x v="15"/>
    <s v="Components"/>
    <s v="CMP-5820"/>
    <n v="378.26"/>
    <n v="541.55999999999995"/>
    <n v="541.55999999999995"/>
    <n v="0.16300000000000001"/>
    <n v="25"/>
    <n v="11332.142999999998"/>
    <n v="9456.5"/>
    <n v="1875.6429999999982"/>
    <n v="0.16551529573885526"/>
    <d v="2023-08-30T00:00:00"/>
    <s v="Q1-2025"/>
    <s v="Europe → United Kingdom → London"/>
    <s v="Low"/>
    <d v="2025-01-01T00:00:00"/>
    <d v="2023-01-01T00:00:00"/>
    <n v="24"/>
    <n v="0"/>
    <n v="0"/>
  </r>
  <r>
    <s v="ORD-2025-964661"/>
    <d v="2025-02-04T00:00:00"/>
    <d v="2025-02-25T00:00:00"/>
    <n v="21"/>
    <x v="2"/>
    <s v="United Kingdom"/>
    <s v="Birmingham"/>
    <s v="Corporate"/>
    <s v="Marketplace"/>
    <x v="0"/>
    <s v="Monitors"/>
    <s v="MON-4959"/>
    <n v="1016.32"/>
    <n v="2253.42"/>
    <n v="2253.42"/>
    <n v="5.5E-2"/>
    <n v="12"/>
    <n v="25553.782800000001"/>
    <n v="12195.84"/>
    <n v="13357.942800000001"/>
    <n v="0.52273837124419797"/>
    <d v="2023-08-30T00:00:00"/>
    <s v="Q1-2025"/>
    <s v="Europe → United Kingdom → Birmingham"/>
    <s v="High"/>
    <d v="2025-02-01T00:00:00"/>
    <d v="2023-01-01T00:00:00"/>
    <n v="25"/>
    <n v="0"/>
    <n v="0"/>
  </r>
  <r>
    <s v="ORD-2025-659650"/>
    <d v="2025-02-04T00:00:00"/>
    <d v="2025-02-08T00:00:00"/>
    <n v="4"/>
    <x v="2"/>
    <s v="United Kingdom"/>
    <s v="Manchester"/>
    <s v="Enterprise"/>
    <s v="Marketplace"/>
    <x v="11"/>
    <s v="Networking"/>
    <s v="NET-2502"/>
    <n v="586.21"/>
    <n v="727.22"/>
    <n v="727.22"/>
    <n v="6.8000000000000005E-2"/>
    <n v="15"/>
    <n v="10166.535600000001"/>
    <n v="8793.1500000000015"/>
    <n v="1373.3855999999996"/>
    <n v="0.13508884973559721"/>
    <d v="2023-08-03T00:00:00"/>
    <s v="Q1-2025"/>
    <s v="Europe → United Kingdom → Manchester"/>
    <s v="Low"/>
    <d v="2025-02-01T00:00:00"/>
    <d v="2023-01-01T00:00:00"/>
    <n v="25"/>
    <n v="1"/>
    <n v="0"/>
  </r>
  <r>
    <s v="ORD-2025-330203"/>
    <d v="2025-03-25T00:00:00"/>
    <d v="2025-04-17T00:00:00"/>
    <n v="23"/>
    <x v="2"/>
    <s v="United Kingdom"/>
    <s v="London"/>
    <s v="Consumer"/>
    <s v="Retail"/>
    <x v="15"/>
    <s v="Networking"/>
    <s v="NET-7166"/>
    <n v="1421.19"/>
    <n v="1808.26"/>
    <n v="1808.26"/>
    <n v="0.104"/>
    <n v="13"/>
    <n v="21062.61248"/>
    <n v="18475.47"/>
    <n v="2587.1424799999986"/>
    <n v="0.12283103449093123"/>
    <d v="2023-07-14T00:00:00"/>
    <s v="Q1-2025"/>
    <s v="Europe → United Kingdom → London"/>
    <s v="High"/>
    <d v="2025-03-01T00:00:00"/>
    <d v="2023-01-01T00:00:00"/>
    <n v="26"/>
    <n v="0"/>
    <n v="0"/>
  </r>
  <r>
    <s v="ORD-2025-269934"/>
    <d v="2025-04-04T00:00:00"/>
    <d v="2025-04-10T00:00:00"/>
    <n v="6"/>
    <x v="2"/>
    <s v="United Kingdom"/>
    <s v="Birmingham"/>
    <s v="Non-Profit"/>
    <s v="Direct"/>
    <x v="1"/>
    <s v="Printers"/>
    <s v="PRN-8657"/>
    <n v="290.14"/>
    <n v="250.73"/>
    <n v="250.73"/>
    <n v="3.4000000000000002E-2"/>
    <n v="17"/>
    <n v="4117.4880599999997"/>
    <n v="4932.38"/>
    <n v="-814.89194000000043"/>
    <n v="-0.19790997038131072"/>
    <d v="2023-06-20T00:00:00"/>
    <s v="Q2-2025"/>
    <s v="Europe → United Kingdom → Birmingham"/>
    <s v="Low"/>
    <d v="2025-04-01T00:00:00"/>
    <d v="2023-01-01T00:00:00"/>
    <n v="27"/>
    <n v="1"/>
    <n v="0"/>
  </r>
  <r>
    <s v="ORD-2025-845715"/>
    <d v="2025-04-14T00:00:00"/>
    <d v="2025-05-04T00:00:00"/>
    <n v="20"/>
    <x v="2"/>
    <s v="United Kingdom"/>
    <s v="Birmingham"/>
    <s v="Enterprise"/>
    <s v="Marketplace"/>
    <x v="12"/>
    <s v="Monitors"/>
    <s v="MON-6962"/>
    <n v="1413.87"/>
    <n v="3275"/>
    <n v="3275"/>
    <n v="0.255"/>
    <n v="38"/>
    <n v="92715.25"/>
    <n v="53727.06"/>
    <n v="38988.19"/>
    <n v="0.42051539525590453"/>
    <d v="2023-06-23T00:00:00"/>
    <s v="Q2-2025"/>
    <s v="Europe → United Kingdom → Birmingham"/>
    <s v="High"/>
    <d v="2025-04-01T00:00:00"/>
    <d v="2023-01-01T00:00:00"/>
    <n v="27"/>
    <n v="0"/>
    <n v="1"/>
  </r>
  <r>
    <s v="ORD-2025-745263"/>
    <d v="2025-05-19T00:00:00"/>
    <d v="2025-05-21T00:00:00"/>
    <n v="2"/>
    <x v="2"/>
    <s v="United Kingdom"/>
    <s v="Birmingham"/>
    <s v="Enterprise"/>
    <s v="Online"/>
    <x v="3"/>
    <s v="Laptops"/>
    <s v="LAP-3385"/>
    <n v="1015.16"/>
    <n v="2148.14"/>
    <n v="2148.14"/>
    <n v="3.7999999999999999E-2"/>
    <n v="19"/>
    <n v="39263.702919999996"/>
    <n v="19288.04"/>
    <n v="19975.662919999995"/>
    <n v="0.50875647059322227"/>
    <d v="2023-05-01T00:00:00"/>
    <s v="Q2-2025"/>
    <s v="Europe → United Kingdom → Birmingham"/>
    <s v="High"/>
    <d v="2025-05-01T00:00:00"/>
    <d v="2023-01-01T00:00:00"/>
    <n v="28"/>
    <n v="1"/>
    <n v="0"/>
  </r>
  <r>
    <s v="ORD-2025-184082"/>
    <d v="2025-06-19T00:00:00"/>
    <d v="2025-07-12T00:00:00"/>
    <n v="23"/>
    <x v="2"/>
    <s v="United Kingdom"/>
    <s v="London"/>
    <s v="Non-Profit"/>
    <s v="Direct"/>
    <x v="10"/>
    <s v="Networking"/>
    <s v="NET-6370"/>
    <n v="801.24"/>
    <n v="1959.09"/>
    <n v="1959.09"/>
    <n v="0.123"/>
    <n v="23"/>
    <n v="39516.804389999998"/>
    <n v="18428.52"/>
    <n v="21088.284389999997"/>
    <n v="0.53365358650651762"/>
    <d v="2023-04-19T00:00:00"/>
    <s v="Q2-2025"/>
    <s v="Europe → United Kingdom → London"/>
    <s v="High"/>
    <d v="2025-06-01T00:00:00"/>
    <d v="2023-01-01T00:00:00"/>
    <n v="29"/>
    <n v="0"/>
    <n v="0"/>
  </r>
  <r>
    <s v="ORD-2025-278048"/>
    <d v="2025-06-22T00:00:00"/>
    <d v="2025-07-08T00:00:00"/>
    <n v="16"/>
    <x v="2"/>
    <s v="United Kingdom"/>
    <s v="London"/>
    <s v="Education"/>
    <s v="Direct"/>
    <x v="4"/>
    <s v="Phones"/>
    <s v="PHN-5316"/>
    <n v="892.73"/>
    <n v="979.84"/>
    <n v="979.84"/>
    <n v="0.17399999999999999"/>
    <n v="10"/>
    <n v="8093.4784"/>
    <n v="8927.2999999999993"/>
    <n v="-833.82159999999931"/>
    <n v="-0.10302388649112838"/>
    <d v="2023-04-10T00:00:00"/>
    <s v="Q2-2025"/>
    <s v="Europe → United Kingdom → London"/>
    <s v="Medium"/>
    <d v="2025-06-01T00:00:00"/>
    <d v="2023-01-01T00:00:00"/>
    <n v="29"/>
    <n v="0"/>
    <n v="0"/>
  </r>
  <r>
    <s v="ORD-2025-591006"/>
    <d v="2025-06-25T00:00:00"/>
    <d v="2025-07-10T00:00:00"/>
    <n v="15"/>
    <x v="2"/>
    <s v="United Kingdom"/>
    <s v="Birmingham"/>
    <s v="Non-Profit"/>
    <s v="Marketplace"/>
    <x v="0"/>
    <s v="Phones"/>
    <s v="PHN-5383"/>
    <n v="546.83000000000004"/>
    <n v="400.84"/>
    <n v="400.84"/>
    <n v="7.8E-2"/>
    <n v="13"/>
    <n v="4804.4682400000002"/>
    <n v="7108.7900000000009"/>
    <n v="-2304.3217600000007"/>
    <n v="-0.47962056254533608"/>
    <d v="2023-04-19T00:00:00"/>
    <s v="Q2-2025"/>
    <s v="Europe → United Kingdom → Birmingham"/>
    <s v="Low"/>
    <d v="2025-06-01T00:00:00"/>
    <d v="2023-01-01T00:00:00"/>
    <n v="29"/>
    <n v="0"/>
    <n v="0"/>
  </r>
  <r>
    <s v="ORD-2025-150713"/>
    <d v="2025-07-11T00:00:00"/>
    <d v="2025-07-16T00:00:00"/>
    <n v="5"/>
    <x v="2"/>
    <s v="United Kingdom"/>
    <s v="London"/>
    <s v="Enterprise"/>
    <s v="Online"/>
    <x v="12"/>
    <s v="Printers"/>
    <s v="PRN-5753"/>
    <n v="930.03"/>
    <n v="1086.68"/>
    <n v="1086.68"/>
    <n v="0.109"/>
    <n v="26"/>
    <n v="25174.028880000002"/>
    <n v="24180.78"/>
    <n v="993.24888000000283"/>
    <n v="3.9455300728168656E-2"/>
    <d v="2023-03-19T00:00:00"/>
    <s v="Q3-2025"/>
    <s v="Europe → United Kingdom → London"/>
    <s v="Medium"/>
    <d v="2025-07-01T00:00:00"/>
    <d v="2023-01-01T00:00:00"/>
    <n v="30"/>
    <n v="1"/>
    <n v="0"/>
  </r>
  <r>
    <s v="ORD-2025-789245"/>
    <d v="2025-07-23T00:00:00"/>
    <d v="2025-08-17T00:00:00"/>
    <n v="25"/>
    <x v="2"/>
    <s v="United Kingdom"/>
    <s v="Birmingham"/>
    <s v="Education"/>
    <s v="Online"/>
    <x v="14"/>
    <s v="Printers"/>
    <s v="PRN-5876"/>
    <n v="1142.06"/>
    <n v="1455"/>
    <n v="1455"/>
    <n v="7.8E-2"/>
    <n v="28"/>
    <n v="37562.28"/>
    <n v="31977.68"/>
    <n v="5584.5999999999985"/>
    <n v="0.1486757459877302"/>
    <d v="2023-02-28T00:00:00"/>
    <s v="Q3-2025"/>
    <s v="Europe → United Kingdom → Birmingham"/>
    <s v="Medium"/>
    <d v="2025-07-01T00:00:00"/>
    <d v="2023-01-01T00:00:00"/>
    <n v="30"/>
    <n v="0"/>
    <n v="0"/>
  </r>
  <r>
    <s v="ORD-2025-537785"/>
    <d v="2025-08-05T00:00:00"/>
    <d v="2025-08-14T00:00:00"/>
    <n v="9"/>
    <x v="2"/>
    <s v="United Kingdom"/>
    <s v="London"/>
    <s v="Non-Profit"/>
    <s v="Direct"/>
    <x v="6"/>
    <s v="Components"/>
    <s v="CMP-6346"/>
    <n v="41.76"/>
    <n v="45.19"/>
    <n v="45.19"/>
    <n v="0.17899999999999999"/>
    <n v="23"/>
    <n v="853.32276999999988"/>
    <n v="960.4799999999999"/>
    <n v="-107.15723000000003"/>
    <n v="-0.12557643340514638"/>
    <d v="2023-02-19T00:00:00"/>
    <s v="Q3-2025"/>
    <s v="Europe → United Kingdom → London"/>
    <s v="Low"/>
    <d v="2025-08-01T00:00:00"/>
    <d v="2023-01-01T00:00:00"/>
    <n v="31"/>
    <n v="0"/>
    <n v="0"/>
  </r>
  <r>
    <s v="ORD-2025-737787"/>
    <d v="2025-09-14T00:00:00"/>
    <d v="2025-09-26T00:00:00"/>
    <n v="12"/>
    <x v="2"/>
    <s v="United Kingdom"/>
    <s v="London"/>
    <s v="Small Business"/>
    <s v="Direct"/>
    <x v="1"/>
    <s v="Networking"/>
    <s v="NET-9003"/>
    <n v="425.15"/>
    <n v="885.92"/>
    <n v="885.92"/>
    <n v="0.23899999999999999"/>
    <n v="13"/>
    <n v="8764.4065599999994"/>
    <n v="5526.95"/>
    <n v="3237.4565599999996"/>
    <n v="0.3693868532725848"/>
    <d v="2023-01-21T00:00:00"/>
    <s v="Q3-2025"/>
    <s v="Europe → United Kingdom → London"/>
    <s v="Medium"/>
    <d v="2025-09-01T00:00:00"/>
    <d v="2023-01-01T00:00:00"/>
    <n v="32"/>
    <n v="0"/>
    <n v="1"/>
  </r>
  <r>
    <s v="ORD-2023-382017"/>
    <d v="2023-01-13T00:00:00"/>
    <d v="2023-01-19T00:00:00"/>
    <n v="6"/>
    <x v="0"/>
    <s v="USA"/>
    <s v="Chicago"/>
    <s v="Corporate"/>
    <s v="Direct"/>
    <x v="15"/>
    <s v="Phones"/>
    <s v="PHN-3159"/>
    <n v="833.57"/>
    <n v="881.57"/>
    <n v="881.57"/>
    <n v="5.7000000000000002E-2"/>
    <n v="18"/>
    <n v="14963.769179999999"/>
    <n v="15004.26"/>
    <n v="-40.490820000000895"/>
    <n v="-2.7059238560107821E-3"/>
    <d v="2025-09-11T00:00:00"/>
    <s v="Q1-2023"/>
    <s v="Americas → USA → Chicago"/>
    <s v="Medium"/>
    <d v="2023-01-01T00:00:00"/>
    <d v="2023-01-01T00:00:00"/>
    <n v="0"/>
    <n v="1"/>
    <n v="0"/>
  </r>
  <r>
    <s v="ORD-2023-521818"/>
    <d v="2023-01-22T00:00:00"/>
    <d v="2023-01-30T00:00:00"/>
    <n v="8"/>
    <x v="0"/>
    <s v="USA"/>
    <s v="San Francisco"/>
    <s v="Small Business"/>
    <s v="Online"/>
    <x v="4"/>
    <s v="Networking"/>
    <s v="NET-4155"/>
    <n v="413.52"/>
    <n v="1004.34"/>
    <n v="1004.34"/>
    <n v="0.111"/>
    <n v="18"/>
    <n v="16071.44868"/>
    <n v="7443.36"/>
    <n v="8628.0886800000007"/>
    <n v="0.53685817948304593"/>
    <d v="2025-08-30T00:00:00"/>
    <s v="Q1-2023"/>
    <s v="Americas → USA → San Francisco"/>
    <s v="Medium"/>
    <d v="2023-01-01T00:00:00"/>
    <d v="2023-01-01T00:00:00"/>
    <n v="0"/>
    <n v="0"/>
    <n v="0"/>
  </r>
  <r>
    <s v="ORD-2023-855675"/>
    <d v="2023-02-05T00:00:00"/>
    <d v="2023-02-28T00:00:00"/>
    <n v="23"/>
    <x v="0"/>
    <s v="USA"/>
    <s v="Austin"/>
    <s v="Non-Profit"/>
    <s v="Distributor"/>
    <x v="11"/>
    <s v="Phones"/>
    <s v="PHN-2036"/>
    <n v="1214.49"/>
    <n v="1533.95"/>
    <n v="1533.95"/>
    <n v="0"/>
    <n v="11"/>
    <n v="16873.45"/>
    <n v="13359.39"/>
    <n v="3514.0600000000013"/>
    <n v="0.20825972163369086"/>
    <d v="2025-09-02T00:00:00"/>
    <s v="Q1-2023"/>
    <s v="Americas → USA → Austin"/>
    <s v="Medium"/>
    <d v="2023-02-01T00:00:00"/>
    <d v="2023-01-01T00:00:00"/>
    <n v="1"/>
    <n v="0"/>
    <n v="0"/>
  </r>
  <r>
    <s v="ORD-2023-286994"/>
    <d v="2023-02-24T00:00:00"/>
    <d v="2023-03-09T00:00:00"/>
    <n v="13"/>
    <x v="0"/>
    <s v="USA"/>
    <s v="New York"/>
    <s v="Enterprise"/>
    <s v="Online"/>
    <x v="3"/>
    <s v="Components"/>
    <s v="CMP-1632"/>
    <n v="6.85"/>
    <n v="10.18"/>
    <n v="10.18"/>
    <n v="4.7E-2"/>
    <n v="10"/>
    <n v="97.0154"/>
    <n v="68.5"/>
    <n v="28.5154"/>
    <n v="0.2939265312517394"/>
    <d v="2025-08-06T00:00:00"/>
    <s v="Q1-2023"/>
    <s v="Americas → USA → New York"/>
    <s v="Low"/>
    <d v="2023-02-01T00:00:00"/>
    <d v="2023-01-01T00:00:00"/>
    <n v="1"/>
    <n v="0"/>
    <n v="0"/>
  </r>
  <r>
    <s v="ORD-2023-619493"/>
    <d v="2023-02-26T00:00:00"/>
    <d v="2023-02-27T00:00:00"/>
    <n v="1"/>
    <x v="0"/>
    <s v="USA"/>
    <s v="San Francisco"/>
    <s v="Non-Profit"/>
    <s v="Online"/>
    <x v="11"/>
    <s v="Networking"/>
    <s v="NET-1282"/>
    <n v="1015.91"/>
    <n v="2331.48"/>
    <n v="2331.48"/>
    <n v="0.14599999999999999"/>
    <n v="26"/>
    <n v="51768.181920000003"/>
    <n v="26413.66"/>
    <n v="25354.521920000003"/>
    <n v="0.48977037592669626"/>
    <d v="2025-08-01T00:00:00"/>
    <s v="Q1-2023"/>
    <s v="Americas → USA → San Francisco"/>
    <s v="High"/>
    <d v="2023-02-01T00:00:00"/>
    <d v="2023-01-01T00:00:00"/>
    <n v="1"/>
    <n v="1"/>
    <n v="0"/>
  </r>
  <r>
    <s v="ORD-2023-766015"/>
    <d v="2023-04-11T00:00:00"/>
    <d v="2023-04-13T00:00:00"/>
    <n v="2"/>
    <x v="0"/>
    <s v="USA"/>
    <s v="San Francisco"/>
    <s v="Education"/>
    <s v="Marketplace"/>
    <x v="2"/>
    <s v="Networking"/>
    <s v="NET-1816"/>
    <n v="32.1"/>
    <n v="70.599999999999994"/>
    <n v="70.599999999999994"/>
    <n v="0.28199999999999997"/>
    <n v="22"/>
    <n v="1115.1975999999997"/>
    <n v="706.2"/>
    <n v="408.99759999999969"/>
    <n v="0.36674899587301818"/>
    <d v="2025-06-15T00:00:00"/>
    <s v="Q2-2023"/>
    <s v="Americas → USA → San Francisco"/>
    <s v="Low"/>
    <d v="2023-04-01T00:00:00"/>
    <d v="2023-01-01T00:00:00"/>
    <n v="3"/>
    <n v="1"/>
    <n v="1"/>
  </r>
  <r>
    <s v="ORD-2023-664790"/>
    <d v="2023-04-16T00:00:00"/>
    <d v="2023-04-23T00:00:00"/>
    <n v="7"/>
    <x v="0"/>
    <s v="USA"/>
    <s v="Austin"/>
    <s v="Corporate"/>
    <s v="Distributor"/>
    <x v="13"/>
    <s v="Printers"/>
    <s v="PRN-9249"/>
    <n v="1099.1500000000001"/>
    <n v="1431.37"/>
    <n v="1431.37"/>
    <n v="0.104"/>
    <n v="8"/>
    <n v="10260.060159999999"/>
    <n v="8793.2000000000007"/>
    <n v="1466.8601599999984"/>
    <n v="0.14296798821109433"/>
    <d v="2025-07-03T00:00:00"/>
    <s v="Q2-2023"/>
    <s v="Americas → USA → Austin"/>
    <s v="Medium"/>
    <d v="2023-04-01T00:00:00"/>
    <d v="2023-01-01T00:00:00"/>
    <n v="3"/>
    <n v="1"/>
    <n v="0"/>
  </r>
  <r>
    <s v="ORD-2023-378676"/>
    <d v="2023-05-03T00:00:00"/>
    <d v="2023-05-16T00:00:00"/>
    <n v="13"/>
    <x v="0"/>
    <s v="USA"/>
    <s v="New York"/>
    <s v="Corporate"/>
    <s v="Marketplace"/>
    <x v="11"/>
    <s v="Phones"/>
    <s v="PHN-5366"/>
    <n v="64.5"/>
    <n v="123.62"/>
    <n v="123.62"/>
    <n v="0"/>
    <n v="3"/>
    <n v="370.86"/>
    <n v="193.5"/>
    <n v="177.36"/>
    <n v="0.47823976702798904"/>
    <d v="2025-06-01T00:00:00"/>
    <s v="Q2-2023"/>
    <s v="Americas → USA → New York"/>
    <s v="Low"/>
    <d v="2023-05-01T00:00:00"/>
    <d v="2023-01-01T00:00:00"/>
    <n v="4"/>
    <n v="0"/>
    <n v="0"/>
  </r>
  <r>
    <s v="ORD-2023-177794"/>
    <d v="2023-05-04T00:00:00"/>
    <d v="2023-05-26T00:00:00"/>
    <n v="22"/>
    <x v="0"/>
    <s v="USA"/>
    <s v="San Francisco"/>
    <s v="Enterprise"/>
    <s v="Online"/>
    <x v="9"/>
    <s v="Networking"/>
    <s v="NET-5941"/>
    <n v="249.71"/>
    <n v="361.33"/>
    <n v="361.33"/>
    <n v="9.4E-2"/>
    <n v="12"/>
    <n v="3928.3797600000003"/>
    <n v="2996.52"/>
    <n v="931.85976000000028"/>
    <n v="0.23721223937881206"/>
    <d v="2025-06-01T00:00:00"/>
    <s v="Q2-2023"/>
    <s v="Americas → USA → San Francisco"/>
    <s v="Low"/>
    <d v="2023-05-01T00:00:00"/>
    <d v="2023-01-01T00:00:00"/>
    <n v="4"/>
    <n v="0"/>
    <n v="0"/>
  </r>
  <r>
    <s v="ORD-2023-172095"/>
    <d v="2023-05-24T00:00:00"/>
    <d v="2023-06-21T00:00:00"/>
    <n v="28"/>
    <x v="0"/>
    <s v="USA"/>
    <s v="Austin"/>
    <s v="Small Business"/>
    <s v="Marketplace"/>
    <x v="2"/>
    <s v="Monitors"/>
    <s v="MON-6882"/>
    <n v="813.97"/>
    <n v="1568.83"/>
    <n v="1568.83"/>
    <n v="1.7000000000000001E-2"/>
    <n v="15"/>
    <n v="23132.398349999996"/>
    <n v="12209.550000000001"/>
    <n v="10922.848349999995"/>
    <n v="0.4721883215364911"/>
    <d v="2025-05-07T00:00:00"/>
    <s v="Q2-2023"/>
    <s v="Americas → USA → Austin"/>
    <s v="Medium"/>
    <d v="2023-05-01T00:00:00"/>
    <d v="2023-01-01T00:00:00"/>
    <n v="4"/>
    <n v="0"/>
    <n v="0"/>
  </r>
  <r>
    <s v="ORD-2023-715175"/>
    <d v="2023-06-15T00:00:00"/>
    <d v="2023-06-23T00:00:00"/>
    <n v="8"/>
    <x v="0"/>
    <s v="USA"/>
    <s v="San Francisco"/>
    <s v="Consumer"/>
    <s v="Distributor"/>
    <x v="13"/>
    <s v="Monitors"/>
    <s v="MON-5424"/>
    <n v="1097.0899999999999"/>
    <n v="2182.31"/>
    <n v="2182.31"/>
    <n v="0.112"/>
    <n v="9"/>
    <n v="17441.021520000002"/>
    <n v="9873.81"/>
    <n v="7567.2115200000026"/>
    <n v="0.43387432962699546"/>
    <d v="2025-03-30T00:00:00"/>
    <s v="Q2-2023"/>
    <s v="Americas → USA → San Francisco"/>
    <s v="High"/>
    <d v="2023-06-01T00:00:00"/>
    <d v="2023-01-01T00:00:00"/>
    <n v="5"/>
    <n v="0"/>
    <n v="0"/>
  </r>
  <r>
    <s v="ORD-2023-651638"/>
    <d v="2023-06-17T00:00:00"/>
    <d v="2023-06-24T00:00:00"/>
    <n v="7"/>
    <x v="0"/>
    <s v="USA"/>
    <s v="San Francisco"/>
    <s v="Corporate"/>
    <s v="Retail"/>
    <x v="14"/>
    <s v="Printers"/>
    <s v="PRN-6536"/>
    <n v="313.99"/>
    <n v="454.42"/>
    <n v="454.42"/>
    <n v="0.129"/>
    <n v="9"/>
    <n v="3562.1983800000003"/>
    <n v="2825.91"/>
    <n v="736.28838000000042"/>
    <n v="0.20669493988147858"/>
    <d v="2025-04-01T00:00:00"/>
    <s v="Q2-2023"/>
    <s v="Americas → USA → San Francisco"/>
    <s v="Low"/>
    <d v="2023-06-01T00:00:00"/>
    <d v="2023-01-01T00:00:00"/>
    <n v="5"/>
    <n v="1"/>
    <n v="0"/>
  </r>
  <r>
    <s v="ORD-2023-602648"/>
    <d v="2023-06-20T00:00:00"/>
    <d v="2023-07-08T00:00:00"/>
    <n v="18"/>
    <x v="0"/>
    <s v="USA"/>
    <s v="Austin"/>
    <s v="Non-Profit"/>
    <s v="Direct"/>
    <x v="8"/>
    <s v="Monitors"/>
    <s v="MON-4326"/>
    <n v="337"/>
    <n v="511.03"/>
    <n v="511.03"/>
    <n v="0.108"/>
    <n v="7"/>
    <n v="3190.8713200000002"/>
    <n v="2359"/>
    <n v="831.8713200000002"/>
    <n v="0.26070349963219458"/>
    <d v="2025-04-22T00:00:00"/>
    <s v="Q2-2023"/>
    <s v="Americas → USA → Austin"/>
    <s v="Low"/>
    <d v="2023-06-01T00:00:00"/>
    <d v="2023-01-01T00:00:00"/>
    <n v="5"/>
    <n v="0"/>
    <n v="0"/>
  </r>
  <r>
    <s v="ORD-2023-594955"/>
    <d v="2023-06-20T00:00:00"/>
    <d v="2023-07-08T00:00:00"/>
    <n v="18"/>
    <x v="0"/>
    <s v="USA"/>
    <s v="New York"/>
    <s v="Consumer"/>
    <s v="Marketplace"/>
    <x v="13"/>
    <s v="Networking"/>
    <s v="NET-3828"/>
    <n v="1145.53"/>
    <n v="1278.3"/>
    <n v="1278.3"/>
    <n v="0.09"/>
    <n v="41"/>
    <n v="47693.373"/>
    <n v="46966.729999999996"/>
    <n v="726.64300000000367"/>
    <n v="1.5235722581416158E-2"/>
    <d v="2025-04-10T00:00:00"/>
    <s v="Q2-2023"/>
    <s v="Americas → USA → New York"/>
    <s v="Medium"/>
    <d v="2023-06-01T00:00:00"/>
    <d v="2023-01-01T00:00:00"/>
    <n v="5"/>
    <n v="0"/>
    <n v="0"/>
  </r>
  <r>
    <s v="ORD-2023-912395"/>
    <d v="2023-07-26T00:00:00"/>
    <d v="2023-08-25T00:00:00"/>
    <n v="30"/>
    <x v="0"/>
    <s v="USA"/>
    <s v="New York"/>
    <s v="Consumer"/>
    <s v="Retail"/>
    <x v="3"/>
    <s v="Accessories"/>
    <s v="ACC-7078"/>
    <n v="1261.48"/>
    <n v="1643.18"/>
    <n v="1643.18"/>
    <n v="0.151"/>
    <n v="23"/>
    <n v="32086.37586"/>
    <n v="29014.04"/>
    <n v="3072.3358599999992"/>
    <n v="9.5752037357079045E-2"/>
    <d v="2025-03-08T00:00:00"/>
    <s v="Q3-2023"/>
    <s v="Americas → USA → New York"/>
    <s v="High"/>
    <d v="2023-07-01T00:00:00"/>
    <d v="2023-01-01T00:00:00"/>
    <n v="6"/>
    <n v="0"/>
    <n v="0"/>
  </r>
  <r>
    <s v="ORD-2023-133848"/>
    <d v="2023-08-15T00:00:00"/>
    <d v="2023-09-07T00:00:00"/>
    <n v="23"/>
    <x v="0"/>
    <s v="USA"/>
    <s v="New York"/>
    <s v="Enterprise"/>
    <s v="Online"/>
    <x v="12"/>
    <s v="Phones"/>
    <s v="PHN-2013"/>
    <n v="590.33000000000004"/>
    <n v="973.04"/>
    <n v="973.04"/>
    <n v="0"/>
    <n v="26"/>
    <n v="25299.040000000001"/>
    <n v="15348.580000000002"/>
    <n v="9950.4599999999991"/>
    <n v="0.39331373838691108"/>
    <d v="2025-01-21T00:00:00"/>
    <s v="Q3-2023"/>
    <s v="Americas → USA → New York"/>
    <s v="Medium"/>
    <d v="2023-08-01T00:00:00"/>
    <d v="2023-01-01T00:00:00"/>
    <n v="7"/>
    <n v="0"/>
    <n v="0"/>
  </r>
  <r>
    <s v="ORD-2023-132101"/>
    <d v="2023-09-25T00:00:00"/>
    <d v="2023-10-09T00:00:00"/>
    <n v="14"/>
    <x v="0"/>
    <s v="USA"/>
    <s v="New York"/>
    <s v="Small Business"/>
    <s v="Marketplace"/>
    <x v="9"/>
    <s v="Laptops"/>
    <s v="LAP-6750"/>
    <n v="1279.56"/>
    <n v="3083.8"/>
    <n v="3083.8"/>
    <n v="0.106"/>
    <n v="5"/>
    <n v="13784.586000000001"/>
    <n v="6397.7999999999993"/>
    <n v="7386.7860000000019"/>
    <n v="0.53587289455047848"/>
    <d v="2024-12-14T00:00:00"/>
    <s v="Q3-2023"/>
    <s v="Americas → USA → New York"/>
    <s v="High"/>
    <d v="2023-09-01T00:00:00"/>
    <d v="2023-01-01T00:00:00"/>
    <n v="8"/>
    <n v="0"/>
    <n v="0"/>
  </r>
  <r>
    <s v="ORD-2023-271918"/>
    <d v="2023-09-25T00:00:00"/>
    <d v="2023-10-02T00:00:00"/>
    <n v="7"/>
    <x v="0"/>
    <s v="USA"/>
    <s v="New York"/>
    <s v="Education"/>
    <s v="Marketplace"/>
    <x v="14"/>
    <s v="Accessories"/>
    <s v="ACC-3551"/>
    <n v="145.58000000000001"/>
    <n v="228.15"/>
    <n v="228.15"/>
    <n v="0.20399999999999999"/>
    <n v="5"/>
    <n v="908.03700000000003"/>
    <n v="727.90000000000009"/>
    <n v="180.13699999999994"/>
    <n v="0.19838068272548359"/>
    <d v="2024-12-23T00:00:00"/>
    <s v="Q3-2023"/>
    <s v="Americas → USA → New York"/>
    <s v="Low"/>
    <d v="2023-09-01T00:00:00"/>
    <d v="2023-01-01T00:00:00"/>
    <n v="8"/>
    <n v="1"/>
    <n v="1"/>
  </r>
  <r>
    <s v="ORD-2023-302041"/>
    <d v="2023-10-04T00:00:00"/>
    <d v="2023-10-29T00:00:00"/>
    <n v="25"/>
    <x v="0"/>
    <s v="USA"/>
    <s v="San Francisco"/>
    <s v="Small Business"/>
    <s v="Distributor"/>
    <x v="13"/>
    <s v="Accessories"/>
    <s v="ACC-5079"/>
    <n v="1239.8399999999999"/>
    <n v="1482.75"/>
    <n v="1482.75"/>
    <n v="6.7000000000000004E-2"/>
    <n v="4"/>
    <n v="5533.6230000000005"/>
    <n v="4959.3599999999997"/>
    <n v="574.26300000000083"/>
    <n v="0.10377703721413634"/>
    <d v="2025-01-04T00:00:00"/>
    <s v="Q4-2023"/>
    <s v="Americas → USA → San Francisco"/>
    <s v="Medium"/>
    <d v="2023-10-01T00:00:00"/>
    <d v="2023-01-01T00:00:00"/>
    <n v="9"/>
    <n v="0"/>
    <n v="0"/>
  </r>
  <r>
    <s v="ORD-2024-719055"/>
    <d v="2024-01-01T00:00:00"/>
    <d v="2024-01-02T00:00:00"/>
    <n v="1"/>
    <x v="0"/>
    <s v="USA"/>
    <s v="Chicago"/>
    <s v="Education"/>
    <s v="Marketplace"/>
    <x v="7"/>
    <s v="Networking"/>
    <s v="NET-4554"/>
    <n v="404.77"/>
    <n v="433.88"/>
    <n v="433.88"/>
    <n v="0.215"/>
    <n v="22"/>
    <n v="7493.1076000000012"/>
    <n v="8904.9399999999987"/>
    <n v="-1411.8323999999975"/>
    <n v="-0.18841747314558746"/>
    <d v="2024-09-23T00:00:00"/>
    <s v="Q1-2024"/>
    <s v="Americas → USA → Chicago"/>
    <s v="Low"/>
    <d v="2024-01-01T00:00:00"/>
    <d v="2023-01-01T00:00:00"/>
    <n v="12"/>
    <n v="1"/>
    <n v="1"/>
  </r>
  <r>
    <s v="ORD-2024-999607"/>
    <d v="2024-01-12T00:00:00"/>
    <d v="2024-01-29T00:00:00"/>
    <n v="17"/>
    <x v="0"/>
    <s v="USA"/>
    <s v="Chicago"/>
    <s v="Education"/>
    <s v="Distributor"/>
    <x v="4"/>
    <s v="Printers"/>
    <s v="PRN-8604"/>
    <n v="493.76"/>
    <n v="625.04"/>
    <n v="625.04"/>
    <n v="0.25800000000000001"/>
    <n v="10"/>
    <n v="4637.7968000000001"/>
    <n v="4937.6000000000004"/>
    <n v="-299.80320000000029"/>
    <n v="-6.464345311549663E-2"/>
    <d v="2024-09-06T00:00:00"/>
    <s v="Q1-2024"/>
    <s v="Americas → USA → Chicago"/>
    <s v="Low"/>
    <d v="2024-01-01T00:00:00"/>
    <d v="2023-01-01T00:00:00"/>
    <n v="12"/>
    <n v="0"/>
    <n v="1"/>
  </r>
  <r>
    <s v="ORD-2024-206311"/>
    <d v="2024-01-13T00:00:00"/>
    <d v="2024-01-15T00:00:00"/>
    <n v="2"/>
    <x v="0"/>
    <s v="USA"/>
    <s v="San Francisco"/>
    <s v="Non-Profit"/>
    <s v="Direct"/>
    <x v="6"/>
    <s v="Components"/>
    <s v="CMP-2410"/>
    <n v="1061.3699999999999"/>
    <n v="1938.33"/>
    <n v="1938.33"/>
    <n v="0.17"/>
    <n v="4"/>
    <n v="6435.2555999999995"/>
    <n v="4245.4799999999996"/>
    <n v="2189.7755999999999"/>
    <n v="0.34027795259600879"/>
    <d v="2024-09-22T00:00:00"/>
    <s v="Q1-2024"/>
    <s v="Americas → USA → San Francisco"/>
    <s v="High"/>
    <d v="2024-01-01T00:00:00"/>
    <d v="2023-01-01T00:00:00"/>
    <n v="12"/>
    <n v="1"/>
    <n v="0"/>
  </r>
  <r>
    <s v="ORD-2024-331408"/>
    <d v="2024-02-01T00:00:00"/>
    <d v="2024-02-01T00:00:00"/>
    <n v="0"/>
    <x v="0"/>
    <s v="USA"/>
    <s v="Austin"/>
    <s v="Consumer"/>
    <s v="Distributor"/>
    <x v="15"/>
    <s v="Printers"/>
    <s v="PRN-4906"/>
    <n v="714.43"/>
    <n v="1595.52"/>
    <n v="1595.52"/>
    <n v="0.19400000000000001"/>
    <n v="14"/>
    <n v="18003.847679999999"/>
    <n v="10002.019999999999"/>
    <n v="8001.8276800000003"/>
    <n v="0.44445097638151093"/>
    <d v="2024-09-07T00:00:00"/>
    <s v="Q1-2024"/>
    <s v="Americas → USA → Austin"/>
    <s v="Medium"/>
    <d v="2024-02-01T00:00:00"/>
    <d v="2023-01-01T00:00:00"/>
    <n v="13"/>
    <n v="1"/>
    <n v="0"/>
  </r>
  <r>
    <s v="ORD-2024-437164"/>
    <d v="2024-02-20T00:00:00"/>
    <d v="2024-02-20T00:00:00"/>
    <n v="0"/>
    <x v="0"/>
    <s v="USA"/>
    <s v="New York"/>
    <s v="Enterprise"/>
    <s v="Online"/>
    <x v="5"/>
    <s v="Networking"/>
    <s v="NET-9177"/>
    <n v="1407.05"/>
    <n v="2858.93"/>
    <n v="2858.93"/>
    <n v="0"/>
    <n v="12"/>
    <n v="34307.159999999996"/>
    <n v="16884.599999999999"/>
    <n v="17422.559999999998"/>
    <n v="0.50784034586366222"/>
    <d v="2024-08-08T00:00:00"/>
    <s v="Q1-2024"/>
    <s v="Americas → USA → New York"/>
    <s v="High"/>
    <d v="2024-02-01T00:00:00"/>
    <d v="2023-01-01T00:00:00"/>
    <n v="13"/>
    <n v="1"/>
    <n v="0"/>
  </r>
  <r>
    <s v="ORD-2024-961501"/>
    <d v="2024-03-02T00:00:00"/>
    <d v="2024-03-23T00:00:00"/>
    <n v="21"/>
    <x v="0"/>
    <s v="USA"/>
    <s v="Chicago"/>
    <s v="Small Business"/>
    <s v="Online"/>
    <x v="8"/>
    <s v="Components"/>
    <s v="CMP-3223"/>
    <n v="225.01"/>
    <n v="333.48"/>
    <n v="333.48"/>
    <n v="0.11899999999999999"/>
    <n v="12"/>
    <n v="3525.5505600000001"/>
    <n v="2700.12"/>
    <n v="825.43056000000024"/>
    <n v="0.23412813004729685"/>
    <d v="2024-07-31T00:00:00"/>
    <s v="Q1-2024"/>
    <s v="Americas → USA → Chicago"/>
    <s v="Low"/>
    <d v="2024-03-01T00:00:00"/>
    <d v="2023-01-01T00:00:00"/>
    <n v="14"/>
    <n v="0"/>
    <n v="0"/>
  </r>
  <r>
    <s v="ORD-2024-251426"/>
    <d v="2024-03-09T00:00:00"/>
    <d v="2024-03-26T00:00:00"/>
    <n v="17"/>
    <x v="0"/>
    <s v="USA"/>
    <s v="San Francisco"/>
    <s v="Education"/>
    <s v="Direct"/>
    <x v="14"/>
    <s v="Phones"/>
    <s v="PHN-3398"/>
    <n v="1137.4100000000001"/>
    <n v="1680.93"/>
    <n v="1680.93"/>
    <n v="0.254"/>
    <n v="9"/>
    <n v="11285.764020000001"/>
    <n v="10236.69"/>
    <n v="1049.07402"/>
    <n v="9.2955516183121464E-2"/>
    <d v="2024-07-11T00:00:00"/>
    <s v="Q1-2024"/>
    <s v="Americas → USA → San Francisco"/>
    <s v="High"/>
    <d v="2024-03-01T00:00:00"/>
    <d v="2023-01-01T00:00:00"/>
    <n v="14"/>
    <n v="0"/>
    <n v="1"/>
  </r>
  <r>
    <s v="ORD-2024-687073"/>
    <d v="2024-03-11T00:00:00"/>
    <d v="2024-03-29T00:00:00"/>
    <n v="18"/>
    <x v="0"/>
    <s v="USA"/>
    <s v="New York"/>
    <s v="Corporate"/>
    <s v="Retail"/>
    <x v="3"/>
    <s v="Monitors"/>
    <s v="MON-7099"/>
    <n v="710.98"/>
    <n v="1481.45"/>
    <n v="1481.45"/>
    <n v="0.21099999999999999"/>
    <n v="9"/>
    <n v="10519.776450000001"/>
    <n v="6398.82"/>
    <n v="4120.9564500000015"/>
    <n v="0.39173422264120461"/>
    <d v="2024-07-19T00:00:00"/>
    <s v="Q1-2024"/>
    <s v="Americas → USA → New York"/>
    <s v="Medium"/>
    <d v="2024-03-01T00:00:00"/>
    <d v="2023-01-01T00:00:00"/>
    <n v="14"/>
    <n v="0"/>
    <n v="1"/>
  </r>
  <r>
    <s v="ORD-2024-207096"/>
    <d v="2024-03-26T00:00:00"/>
    <d v="2024-04-05T00:00:00"/>
    <n v="10"/>
    <x v="0"/>
    <s v="USA"/>
    <s v="Austin"/>
    <s v="Consumer"/>
    <s v="Direct"/>
    <x v="9"/>
    <s v="Monitors"/>
    <s v="MON-5444"/>
    <n v="5.66"/>
    <n v="4.22"/>
    <n v="4.22"/>
    <n v="0.11899999999999999"/>
    <n v="18"/>
    <n v="66.920760000000001"/>
    <n v="101.88"/>
    <n v="-34.959239999999994"/>
    <n v="-0.52239753403876454"/>
    <d v="2024-06-09T00:00:00"/>
    <s v="Q1-2024"/>
    <s v="Americas → USA → Austin"/>
    <s v="Low"/>
    <d v="2024-03-01T00:00:00"/>
    <d v="2023-01-01T00:00:00"/>
    <n v="14"/>
    <n v="0"/>
    <n v="0"/>
  </r>
  <r>
    <s v="ORD-2024-948800"/>
    <d v="2024-03-27T00:00:00"/>
    <d v="2024-04-11T00:00:00"/>
    <n v="15"/>
    <x v="0"/>
    <s v="USA"/>
    <s v="San Francisco"/>
    <s v="Small Business"/>
    <s v="Direct"/>
    <x v="13"/>
    <s v="Networking"/>
    <s v="NET-5523"/>
    <n v="1338.35"/>
    <n v="2247.14"/>
    <n v="2247.14"/>
    <n v="0.115"/>
    <n v="40"/>
    <n v="79548.755999999994"/>
    <n v="53534"/>
    <n v="26014.755999999994"/>
    <n v="0.32702907384246205"/>
    <d v="2024-06-15T00:00:00"/>
    <s v="Q1-2024"/>
    <s v="Americas → USA → San Francisco"/>
    <s v="High"/>
    <d v="2024-03-01T00:00:00"/>
    <d v="2023-01-01T00:00:00"/>
    <n v="14"/>
    <n v="0"/>
    <n v="0"/>
  </r>
  <r>
    <s v="ORD-2024-897622"/>
    <d v="2024-03-30T00:00:00"/>
    <d v="2024-04-24T00:00:00"/>
    <n v="25"/>
    <x v="0"/>
    <s v="USA"/>
    <s v="Austin"/>
    <s v="Non-Profit"/>
    <s v="Online"/>
    <x v="2"/>
    <s v="Laptops"/>
    <s v="LAP-2846"/>
    <n v="160.82"/>
    <n v="258.52"/>
    <n v="258.52"/>
    <n v="0.13"/>
    <n v="17"/>
    <n v="3823.5108"/>
    <n v="2733.94"/>
    <n v="1089.5708"/>
    <n v="0.28496605789631874"/>
    <d v="2024-06-16T00:00:00"/>
    <s v="Q1-2024"/>
    <s v="Americas → USA → Austin"/>
    <s v="Low"/>
    <d v="2024-03-01T00:00:00"/>
    <d v="2023-01-01T00:00:00"/>
    <n v="14"/>
    <n v="0"/>
    <n v="0"/>
  </r>
  <r>
    <s v="ORD-2024-690270"/>
    <d v="2024-05-17T00:00:00"/>
    <d v="2024-05-27T00:00:00"/>
    <n v="10"/>
    <x v="0"/>
    <s v="USA"/>
    <s v="Austin"/>
    <s v="Non-Profit"/>
    <s v="Online"/>
    <x v="5"/>
    <s v="Phones"/>
    <s v="PHN-7974"/>
    <n v="1484.23"/>
    <n v="3472.81"/>
    <n v="3472.81"/>
    <n v="0.25600000000000001"/>
    <n v="12"/>
    <n v="31005.24768"/>
    <n v="17810.760000000002"/>
    <n v="13194.487679999998"/>
    <n v="0.42555659661803413"/>
    <d v="2024-05-23T00:00:00"/>
    <s v="Q2-2024"/>
    <s v="Americas → USA → Austin"/>
    <s v="High"/>
    <d v="2024-05-01T00:00:00"/>
    <d v="2023-01-01T00:00:00"/>
    <n v="16"/>
    <n v="0"/>
    <n v="1"/>
  </r>
  <r>
    <s v="ORD-2024-500109"/>
    <d v="2024-05-18T00:00:00"/>
    <d v="2024-05-23T00:00:00"/>
    <n v="5"/>
    <x v="0"/>
    <s v="USA"/>
    <s v="Chicago"/>
    <s v="Enterprise"/>
    <s v="Retail"/>
    <x v="15"/>
    <s v="Laptops"/>
    <s v="LAP-4987"/>
    <n v="1274.5899999999999"/>
    <n v="2553.69"/>
    <n v="2553.69"/>
    <n v="0.01"/>
    <n v="8"/>
    <n v="20225.2248"/>
    <n v="10196.719999999999"/>
    <n v="10028.504800000001"/>
    <n v="0.49584145042481803"/>
    <d v="2024-05-20T00:00:00"/>
    <s v="Q2-2024"/>
    <s v="Americas → USA → Chicago"/>
    <s v="High"/>
    <d v="2024-05-01T00:00:00"/>
    <d v="2023-01-01T00:00:00"/>
    <n v="16"/>
    <n v="1"/>
    <n v="0"/>
  </r>
  <r>
    <s v="ORD-2024-605518"/>
    <d v="2024-05-30T00:00:00"/>
    <d v="2024-06-13T00:00:00"/>
    <n v="14"/>
    <x v="0"/>
    <s v="USA"/>
    <s v="San Francisco"/>
    <s v="Small Business"/>
    <s v="Retail"/>
    <x v="8"/>
    <s v="Phones"/>
    <s v="PHN-4356"/>
    <n v="157.78"/>
    <n v="361.1"/>
    <n v="361.1"/>
    <n v="0.187"/>
    <n v="9"/>
    <n v="2642.1686999999997"/>
    <n v="1420.02"/>
    <n v="1222.1486999999997"/>
    <n v="0.46255513510549112"/>
    <d v="2024-05-05T00:00:00"/>
    <s v="Q2-2024"/>
    <s v="Americas → USA → San Francisco"/>
    <s v="Low"/>
    <d v="2024-05-01T00:00:00"/>
    <d v="2023-01-01T00:00:00"/>
    <n v="16"/>
    <n v="0"/>
    <n v="0"/>
  </r>
  <r>
    <s v="ORD-2024-301260"/>
    <d v="2024-07-29T00:00:00"/>
    <d v="2024-07-31T00:00:00"/>
    <n v="2"/>
    <x v="0"/>
    <s v="USA"/>
    <s v="New York"/>
    <s v="Education"/>
    <s v="Marketplace"/>
    <x v="14"/>
    <s v="Printers"/>
    <s v="PRN-2829"/>
    <n v="798.97"/>
    <n v="1814.06"/>
    <n v="1814.06"/>
    <n v="0.122"/>
    <n v="16"/>
    <n v="25483.91488"/>
    <n v="12783.52"/>
    <n v="12700.39488"/>
    <n v="0.49836906691159061"/>
    <d v="2024-03-18T00:00:00"/>
    <s v="Q3-2024"/>
    <s v="Americas → USA → New York"/>
    <s v="High"/>
    <d v="2024-07-01T00:00:00"/>
    <d v="2023-01-01T00:00:00"/>
    <n v="18"/>
    <n v="1"/>
    <n v="0"/>
  </r>
  <r>
    <s v="ORD-2024-433936"/>
    <d v="2024-08-04T00:00:00"/>
    <d v="2024-08-17T00:00:00"/>
    <n v="13"/>
    <x v="0"/>
    <s v="USA"/>
    <s v="Austin"/>
    <s v="Consumer"/>
    <s v="Retail"/>
    <x v="0"/>
    <s v="Monitors"/>
    <s v="MON-8867"/>
    <n v="352.79"/>
    <n v="754.22"/>
    <n v="754.22"/>
    <n v="0.113"/>
    <n v="7"/>
    <n v="4682.9519799999998"/>
    <n v="2469.5300000000002"/>
    <n v="2213.4219799999996"/>
    <n v="0.47265528014233443"/>
    <d v="2024-03-02T00:00:00"/>
    <s v="Q3-2024"/>
    <s v="Americas → USA → Austin"/>
    <s v="Low"/>
    <d v="2024-08-01T00:00:00"/>
    <d v="2023-01-01T00:00:00"/>
    <n v="19"/>
    <n v="0"/>
    <n v="0"/>
  </r>
  <r>
    <s v="ORD-2024-212990"/>
    <d v="2024-08-12T00:00:00"/>
    <d v="2024-09-03T00:00:00"/>
    <n v="22"/>
    <x v="0"/>
    <s v="USA"/>
    <s v="Austin"/>
    <s v="Consumer"/>
    <s v="Distributor"/>
    <x v="14"/>
    <s v="Laptops"/>
    <s v="LAP-7979"/>
    <n v="797.8"/>
    <n v="886.22"/>
    <n v="886.22"/>
    <n v="0.23599999999999999"/>
    <n v="36"/>
    <n v="24374.594880000001"/>
    <n v="28720.799999999999"/>
    <n v="-4346.2051199999987"/>
    <n v="-0.17830881462428633"/>
    <d v="2024-02-18T00:00:00"/>
    <s v="Q3-2024"/>
    <s v="Americas → USA → Austin"/>
    <s v="Medium"/>
    <d v="2024-08-01T00:00:00"/>
    <d v="2023-01-01T00:00:00"/>
    <n v="19"/>
    <n v="0"/>
    <n v="1"/>
  </r>
  <r>
    <s v="ORD-2024-626750"/>
    <d v="2024-08-12T00:00:00"/>
    <d v="2024-08-15T00:00:00"/>
    <n v="3"/>
    <x v="0"/>
    <s v="USA"/>
    <s v="Chicago"/>
    <s v="Corporate"/>
    <s v="Marketplace"/>
    <x v="0"/>
    <s v="Printers"/>
    <s v="PRN-5591"/>
    <n v="850.7"/>
    <n v="1118.56"/>
    <n v="1118.56"/>
    <n v="0.18"/>
    <n v="19"/>
    <n v="17427.164800000002"/>
    <n v="16163.300000000001"/>
    <n v="1263.8648000000012"/>
    <n v="7.2522685962090688E-2"/>
    <d v="2024-02-17T00:00:00"/>
    <s v="Q3-2024"/>
    <s v="Americas → USA → Chicago"/>
    <s v="Medium"/>
    <d v="2024-08-01T00:00:00"/>
    <d v="2023-01-01T00:00:00"/>
    <n v="19"/>
    <n v="1"/>
    <n v="0"/>
  </r>
  <r>
    <s v="ORD-2024-353078"/>
    <d v="2024-08-16T00:00:00"/>
    <d v="2024-08-26T00:00:00"/>
    <n v="10"/>
    <x v="0"/>
    <s v="USA"/>
    <s v="Chicago"/>
    <s v="Corporate"/>
    <s v="Distributor"/>
    <x v="11"/>
    <s v="Laptops"/>
    <s v="LAP-5763"/>
    <n v="1291.7"/>
    <n v="2657.84"/>
    <n v="2657.84"/>
    <n v="8.6999999999999994E-2"/>
    <n v="21"/>
    <n v="50958.766320000002"/>
    <n v="27125.7"/>
    <n v="23833.066320000002"/>
    <n v="0.46769315745083367"/>
    <d v="2024-02-11T00:00:00"/>
    <s v="Q3-2024"/>
    <s v="Americas → USA → Chicago"/>
    <s v="High"/>
    <d v="2024-08-01T00:00:00"/>
    <d v="2023-01-01T00:00:00"/>
    <n v="19"/>
    <n v="0"/>
    <n v="0"/>
  </r>
  <r>
    <s v="ORD-2024-664046"/>
    <d v="2024-09-02T00:00:00"/>
    <d v="2024-09-08T00:00:00"/>
    <n v="6"/>
    <x v="0"/>
    <s v="USA"/>
    <s v="Austin"/>
    <s v="Consumer"/>
    <s v="Direct"/>
    <x v="15"/>
    <s v="Components"/>
    <s v="CMP-7563"/>
    <n v="462.94"/>
    <n v="1015.7"/>
    <n v="1015.7"/>
    <n v="0.14299999999999999"/>
    <n v="14"/>
    <n v="12186.368600000002"/>
    <n v="6481.16"/>
    <n v="5705.2086000000018"/>
    <n v="0.46816314090483041"/>
    <d v="2024-01-28T00:00:00"/>
    <s v="Q3-2024"/>
    <s v="Americas → USA → Austin"/>
    <s v="Medium"/>
    <d v="2024-09-01T00:00:00"/>
    <d v="2023-01-01T00:00:00"/>
    <n v="20"/>
    <n v="1"/>
    <n v="0"/>
  </r>
  <r>
    <s v="ORD-2024-741404"/>
    <d v="2024-10-19T00:00:00"/>
    <d v="2024-11-06T00:00:00"/>
    <n v="18"/>
    <x v="0"/>
    <s v="USA"/>
    <s v="Chicago"/>
    <s v="Education"/>
    <m/>
    <x v="5"/>
    <s v="Monitors"/>
    <s v="MON-8129"/>
    <n v="942.02"/>
    <n v="1028.46"/>
    <n v="1028.46"/>
    <n v="0"/>
    <n v="9"/>
    <n v="9256.14"/>
    <n v="8478.18"/>
    <n v="777.95999999999913"/>
    <n v="8.4047994088248354E-2"/>
    <d v="2023-12-07T00:00:00"/>
    <s v="Q4-2024"/>
    <s v="Americas → USA → Chicago"/>
    <s v="Medium"/>
    <d v="2024-10-01T00:00:00"/>
    <d v="2023-01-01T00:00:00"/>
    <n v="21"/>
    <n v="0"/>
    <n v="0"/>
  </r>
  <r>
    <s v="ORD-2024-250862"/>
    <d v="2024-10-25T00:00:00"/>
    <d v="2024-11-05T00:00:00"/>
    <n v="11"/>
    <x v="0"/>
    <s v="USA"/>
    <s v="New York"/>
    <s v="Corporate"/>
    <s v="Distributor"/>
    <x v="1"/>
    <s v="Components"/>
    <s v="CMP-9498"/>
    <n v="446.66"/>
    <n v="527.64"/>
    <n v="527.64"/>
    <n v="0.14499999999999999"/>
    <n v="15"/>
    <n v="6766.9829999999993"/>
    <n v="6699.9000000000005"/>
    <n v="67.082999999998719"/>
    <n v="9.9132804087137105E-3"/>
    <d v="2023-12-03T00:00:00"/>
    <s v="Q4-2024"/>
    <s v="Americas → USA → New York"/>
    <s v="Low"/>
    <d v="2024-10-01T00:00:00"/>
    <d v="2023-01-01T00:00:00"/>
    <n v="21"/>
    <n v="0"/>
    <n v="0"/>
  </r>
  <r>
    <s v="ORD-2024-164288"/>
    <d v="2024-12-21T00:00:00"/>
    <d v="2024-12-26T00:00:00"/>
    <n v="5"/>
    <x v="0"/>
    <s v="USA"/>
    <s v="San Francisco"/>
    <s v="Consumer"/>
    <s v="Marketplace"/>
    <x v="3"/>
    <s v="Printers"/>
    <s v="PRN-4788"/>
    <n v="699.57"/>
    <n v="572.71"/>
    <n v="572.71"/>
    <n v="0.192"/>
    <n v="26"/>
    <n v="12031.491680000001"/>
    <n v="18188.82"/>
    <n v="-6157.3283199999987"/>
    <n v="-0.51176765805651114"/>
    <d v="2023-09-21T00:00:00"/>
    <s v="Q4-2024"/>
    <s v="Americas → USA → San Francisco"/>
    <s v="Low"/>
    <d v="2024-12-01T00:00:00"/>
    <d v="2023-01-01T00:00:00"/>
    <n v="23"/>
    <n v="1"/>
    <n v="0"/>
  </r>
  <r>
    <s v="ORD-2025-653781"/>
    <d v="2025-01-11T00:00:00"/>
    <d v="2025-01-23T00:00:00"/>
    <n v="12"/>
    <x v="0"/>
    <s v="USA"/>
    <s v="Austin"/>
    <s v="Consumer"/>
    <s v="Distributor"/>
    <x v="15"/>
    <s v="Phones"/>
    <s v="PHN-6307"/>
    <n v="100.69"/>
    <n v="226.14"/>
    <n v="226.14"/>
    <n v="6.5000000000000002E-2"/>
    <n v="12"/>
    <n v="2537.2908000000002"/>
    <n v="1208.28"/>
    <n v="1329.0108000000002"/>
    <n v="0.52379128162999689"/>
    <d v="2023-08-25T00:00:00"/>
    <s v="Q1-2025"/>
    <s v="Americas → USA → Austin"/>
    <s v="Low"/>
    <d v="2025-01-01T00:00:00"/>
    <d v="2023-01-01T00:00:00"/>
    <n v="24"/>
    <n v="0"/>
    <n v="0"/>
  </r>
  <r>
    <s v="ORD-2025-649239"/>
    <d v="2025-01-17T00:00:00"/>
    <d v="2025-01-24T00:00:00"/>
    <n v="7"/>
    <x v="0"/>
    <s v="USA"/>
    <s v="Austin"/>
    <s v="Enterprise"/>
    <s v="Online"/>
    <x v="2"/>
    <s v="Accessories"/>
    <s v="ACC-4511"/>
    <n v="142.09"/>
    <n v="218.5"/>
    <n v="218.5"/>
    <n v="0.11899999999999999"/>
    <n v="11"/>
    <n v="2117.4834999999998"/>
    <n v="1562.99"/>
    <n v="554.49349999999981"/>
    <n v="0.26186437816398561"/>
    <d v="2023-08-29T00:00:00"/>
    <s v="Q1-2025"/>
    <s v="Americas → USA → Austin"/>
    <s v="Low"/>
    <d v="2025-01-01T00:00:00"/>
    <d v="2023-01-01T00:00:00"/>
    <n v="24"/>
    <n v="1"/>
    <n v="0"/>
  </r>
  <r>
    <s v="ORD-2025-276968"/>
    <d v="2025-02-25T00:00:00"/>
    <d v="2025-03-17T00:00:00"/>
    <n v="20"/>
    <x v="0"/>
    <s v="USA"/>
    <s v="San Francisco"/>
    <s v="Non-Profit"/>
    <s v="Marketplace"/>
    <x v="15"/>
    <s v="Phones"/>
    <s v="PHN-1044"/>
    <n v="1205.26"/>
    <n v="1696.35"/>
    <n v="1696.35"/>
    <n v="1.9E-2"/>
    <n v="6"/>
    <n v="9984.7160999999978"/>
    <n v="7231.5599999999995"/>
    <n v="2753.1560999999983"/>
    <n v="0.27573704374028213"/>
    <d v="2023-07-16T00:00:00"/>
    <s v="Q1-2025"/>
    <s v="Americas → USA → San Francisco"/>
    <s v="High"/>
    <d v="2025-02-01T00:00:00"/>
    <d v="2023-01-01T00:00:00"/>
    <n v="25"/>
    <n v="0"/>
    <n v="0"/>
  </r>
  <r>
    <s v="ORD-2025-861401"/>
    <d v="2025-04-01T00:00:00"/>
    <d v="2025-04-27T00:00:00"/>
    <n v="26"/>
    <x v="0"/>
    <s v="USA"/>
    <s v="San Francisco"/>
    <s v="Corporate"/>
    <s v="Direct"/>
    <x v="14"/>
    <s v="Monitors"/>
    <s v="MON-9319"/>
    <n v="156.55000000000001"/>
    <n v="227.45"/>
    <n v="227.45"/>
    <n v="1.4E-2"/>
    <n v="13"/>
    <n v="2915.4540999999999"/>
    <n v="2035.15"/>
    <n v="880.30409999999983"/>
    <n v="0.3019440779396938"/>
    <d v="2023-07-01T00:00:00"/>
    <s v="Q2-2025"/>
    <s v="Americas → USA → San Francisco"/>
    <s v="Low"/>
    <d v="2025-04-01T00:00:00"/>
    <d v="2023-01-01T00:00:00"/>
    <n v="27"/>
    <n v="0"/>
    <n v="0"/>
  </r>
  <r>
    <s v="ORD-2025-488349"/>
    <d v="2025-04-22T00:00:00"/>
    <d v="2025-04-23T00:00:00"/>
    <n v="1"/>
    <x v="0"/>
    <s v="USA"/>
    <s v="San Francisco"/>
    <s v="Non-Profit"/>
    <s v="Distributor"/>
    <x v="0"/>
    <s v="Monitors"/>
    <s v="MON-3371"/>
    <n v="23.24"/>
    <n v="44.57"/>
    <n v="44.57"/>
    <n v="0.215"/>
    <n v="15"/>
    <n v="524.81174999999996"/>
    <n v="348.59999999999997"/>
    <n v="176.21174999999999"/>
    <n v="0.33576182316802167"/>
    <d v="2023-05-20T00:00:00"/>
    <s v="Q2-2025"/>
    <s v="Americas → USA → San Francisco"/>
    <s v="Low"/>
    <d v="2025-04-01T00:00:00"/>
    <d v="2023-01-01T00:00:00"/>
    <n v="27"/>
    <n v="1"/>
    <n v="1"/>
  </r>
  <r>
    <s v="ORD-2025-474368"/>
    <d v="2025-04-27T00:00:00"/>
    <d v="2025-05-17T00:00:00"/>
    <n v="20"/>
    <x v="0"/>
    <s v="USA"/>
    <s v="Austin"/>
    <s v="Corporate"/>
    <s v="Direct"/>
    <x v="1"/>
    <s v="Phones"/>
    <s v="PHN-8776"/>
    <n v="932.26"/>
    <n v="1624.67"/>
    <n v="1624.67"/>
    <n v="0.23499999999999999"/>
    <n v="28"/>
    <n v="34800.431400000001"/>
    <n v="26103.279999999999"/>
    <n v="8697.1514000000025"/>
    <n v="0.24991504559337163"/>
    <d v="2023-05-23T00:00:00"/>
    <s v="Q2-2025"/>
    <s v="Americas → USA → Austin"/>
    <s v="Medium"/>
    <d v="2025-04-01T00:00:00"/>
    <d v="2023-01-01T00:00:00"/>
    <n v="27"/>
    <n v="0"/>
    <n v="1"/>
  </r>
  <r>
    <s v="ORD-2025-364852"/>
    <d v="2025-05-18T00:00:00"/>
    <d v="2025-06-09T00:00:00"/>
    <n v="22"/>
    <x v="0"/>
    <s v="USA"/>
    <s v="New York"/>
    <s v="Consumer"/>
    <s v="Retail"/>
    <x v="15"/>
    <s v="Networking"/>
    <s v="NET-3749"/>
    <n v="382.96"/>
    <n v="552.84"/>
    <n v="552.84"/>
    <n v="0.17599999999999999"/>
    <n v="8"/>
    <n v="3644.3212800000006"/>
    <n v="3063.68"/>
    <n v="580.64128000000073"/>
    <n v="0.15932768693763483"/>
    <d v="2023-05-02T00:00:00"/>
    <s v="Q2-2025"/>
    <s v="Americas → USA → New York"/>
    <s v="Low"/>
    <d v="2025-05-01T00:00:00"/>
    <d v="2023-01-01T00:00:00"/>
    <n v="28"/>
    <n v="0"/>
    <n v="0"/>
  </r>
  <r>
    <s v="ORD-2025-289139"/>
    <d v="2025-08-10T00:00:00"/>
    <d v="2025-08-30T00:00:00"/>
    <n v="20"/>
    <x v="0"/>
    <s v="USA"/>
    <s v="San Francisco"/>
    <s v="Corporate"/>
    <s v="Marketplace"/>
    <x v="12"/>
    <s v="Printers"/>
    <s v="PRN-2098"/>
    <n v="933.29"/>
    <n v="1456.81"/>
    <n v="1456.81"/>
    <n v="0.123"/>
    <n v="13"/>
    <n v="16609.090809999998"/>
    <n v="12132.77"/>
    <n v="4476.3208099999974"/>
    <n v="0.26951028573489977"/>
    <d v="2023-03-02T00:00:00"/>
    <s v="Q3-2025"/>
    <s v="Americas → USA → San Francisco"/>
    <s v="Medium"/>
    <d v="2025-08-01T00:00:00"/>
    <d v="2023-01-01T00:00:00"/>
    <n v="31"/>
    <n v="0"/>
    <n v="0"/>
  </r>
  <r>
    <s v="ORD-2025-960931"/>
    <d v="2025-08-20T00:00:00"/>
    <d v="2025-08-26T00:00:00"/>
    <n v="6"/>
    <x v="0"/>
    <s v="USA"/>
    <s v="New York"/>
    <s v="Corporate"/>
    <s v="Retail"/>
    <x v="3"/>
    <s v="Networking"/>
    <s v="NET-5196"/>
    <n v="1304.95"/>
    <n v="1712.03"/>
    <n v="1712.03"/>
    <n v="0.21199999999999999"/>
    <n v="8"/>
    <n v="10792.637119999999"/>
    <n v="10439.6"/>
    <n v="353.03711999999905"/>
    <n v="3.2710922833287949E-2"/>
    <d v="2023-02-27T00:00:00"/>
    <s v="Q3-2025"/>
    <s v="Americas → USA → New York"/>
    <s v="High"/>
    <d v="2025-08-01T00:00:00"/>
    <d v="2023-01-01T00:00:00"/>
    <n v="31"/>
    <n v="1"/>
    <n v="1"/>
  </r>
</pivotCacheRecords>
</file>

<file path=xl/pivotCache/pivotCacheRecords4.xml><?xml version="1.0" encoding="utf-8"?>
<pivotCacheRecords xmlns="http://schemas.openxmlformats.org/spreadsheetml/2006/main" xmlns:r="http://schemas.openxmlformats.org/officeDocument/2006/relationships" count="632">
  <r>
    <x v="0"/>
    <x v="0"/>
    <d v="2023-02-06T00:00:00"/>
    <n v="8"/>
    <x v="0"/>
    <x v="0"/>
    <s v="Brasília"/>
    <s v="Corporate"/>
    <x v="0"/>
    <x v="0"/>
    <x v="0"/>
    <x v="0"/>
    <n v="41.84"/>
    <n v="86.2"/>
    <n v="86.2"/>
    <n v="0.22600000000000001"/>
    <n v="27"/>
    <n v="1801.4076000000002"/>
    <n v="1129.68"/>
    <n v="671.72760000000017"/>
    <n v="0.37289039970742882"/>
    <d v="2025-08-21T00:00:00"/>
    <s v="Q1-2023"/>
    <s v="Americas → Brazil → Brasília"/>
    <s v="Low"/>
    <x v="0"/>
    <d v="2023-01-01T00:00:00"/>
    <n v="0"/>
    <n v="0"/>
    <n v="1"/>
    <m/>
    <m/>
    <n v="32.4"/>
    <n v="48.116"/>
    <n v="0.22600000000000001"/>
    <n v="2161.68912"/>
    <n v="1558.9584"/>
    <n v="602.73072000000002"/>
  </r>
  <r>
    <x v="1"/>
    <x v="1"/>
    <d v="2023-02-12T00:00:00"/>
    <n v="5"/>
    <x v="0"/>
    <x v="0"/>
    <s v="São Paulo"/>
    <s v="Education"/>
    <x v="1"/>
    <x v="1"/>
    <x v="1"/>
    <x v="1"/>
    <n v="948.55"/>
    <n v="2089.16"/>
    <n v="2089.16"/>
    <n v="7.0000000000000001E-3"/>
    <n v="12"/>
    <n v="24894.430559999997"/>
    <n v="11382.599999999999"/>
    <n v="13511.830559999999"/>
    <n v="0.54276519912492427"/>
    <d v="2025-08-14T00:00:00"/>
    <s v="Q1-2023"/>
    <s v="Americas → Brazil → São Paulo"/>
    <s v="High"/>
    <x v="1"/>
    <d v="2023-01-01T00:00:00"/>
    <n v="1"/>
    <n v="1"/>
    <n v="0"/>
    <s v="Global Discount Cap"/>
    <n v="0.25"/>
    <n v="14.399999999999999"/>
    <n v="1090.8324999999998"/>
    <n v="7.0000000000000001E-3"/>
    <n v="29873.316671999994"/>
    <n v="15707.987999999996"/>
    <n v="14165.328671999998"/>
  </r>
  <r>
    <x v="2"/>
    <x v="2"/>
    <d v="2023-03-05T00:00:00"/>
    <n v="3"/>
    <x v="0"/>
    <x v="0"/>
    <s v="Brasília"/>
    <s v="Enterprise"/>
    <x v="2"/>
    <x v="2"/>
    <x v="0"/>
    <x v="2"/>
    <n v="1473.58"/>
    <n v="3436.52"/>
    <n v="3436.52"/>
    <n v="0.108"/>
    <n v="8"/>
    <n v="24523.006720000001"/>
    <n v="11788.64"/>
    <n v="12734.366720000002"/>
    <n v="0.51928243813652564"/>
    <d v="2025-08-03T00:00:00"/>
    <s v="Q1-2023"/>
    <s v="Americas → Brazil → Brasília"/>
    <s v="High"/>
    <x v="2"/>
    <d v="2023-01-01T00:00:00"/>
    <n v="2"/>
    <n v="1"/>
    <n v="0"/>
    <s v="UnitCost inflation factor"/>
    <n v="0.15"/>
    <n v="9.6"/>
    <n v="1694.6169999999997"/>
    <n v="0.108"/>
    <n v="29427.608063999996"/>
    <n v="16268.323199999997"/>
    <n v="13159.284863999999"/>
  </r>
  <r>
    <x v="3"/>
    <x v="3"/>
    <d v="2023-04-28T00:00:00"/>
    <n v="9"/>
    <x v="0"/>
    <x v="0"/>
    <s v="Rio de Janeiro"/>
    <s v="Corporate"/>
    <x v="3"/>
    <x v="3"/>
    <x v="2"/>
    <x v="3"/>
    <n v="1013.54"/>
    <n v="927.93"/>
    <n v="927.93"/>
    <n v="0.17499999999999999"/>
    <n v="16"/>
    <n v="12248.675999999999"/>
    <n v="16216.64"/>
    <n v="-3967.9639999999999"/>
    <n v="-0.32395044166406234"/>
    <d v="2025-06-15T00:00:00"/>
    <s v="Q2-2023"/>
    <s v="Americas → Brazil → Rio de Janeiro"/>
    <s v="Medium"/>
    <x v="3"/>
    <d v="2023-01-01T00:00:00"/>
    <n v="3"/>
    <n v="0"/>
    <n v="0"/>
    <s v="Quantity uplift"/>
    <n v="0.2"/>
    <n v="19.2"/>
    <n v="1165.5709999999999"/>
    <n v="0.17499999999999999"/>
    <n v="14698.411199999997"/>
    <n v="22378.963199999998"/>
    <n v="-7680.5520000000015"/>
  </r>
  <r>
    <x v="4"/>
    <x v="4"/>
    <d v="2023-05-25T00:00:00"/>
    <n v="2"/>
    <x v="0"/>
    <x v="0"/>
    <s v="Rio de Janeiro"/>
    <s v="Enterprise"/>
    <x v="4"/>
    <x v="3"/>
    <x v="3"/>
    <x v="4"/>
    <n v="690.49"/>
    <n v="1290.29"/>
    <n v="1290.29"/>
    <n v="4.2000000000000003E-2"/>
    <n v="22"/>
    <n v="27194.152039999997"/>
    <n v="15190.78"/>
    <n v="12003.372039999997"/>
    <n v="0.44139534199647718"/>
    <d v="2025-04-16T00:00:00"/>
    <s v="Q2-2023"/>
    <s v="Americas → Brazil → Rio de Janeiro"/>
    <s v="Medium"/>
    <x v="4"/>
    <d v="2023-01-01T00:00:00"/>
    <n v="4"/>
    <n v="1"/>
    <n v="0"/>
    <m/>
    <m/>
    <n v="26.4"/>
    <n v="794.06349999999998"/>
    <n v="4.2000000000000003E-2"/>
    <n v="32632.982447999995"/>
    <n v="20963.276399999999"/>
    <n v="11669.706047999996"/>
  </r>
  <r>
    <x v="5"/>
    <x v="5"/>
    <d v="2023-07-01T00:00:00"/>
    <n v="28"/>
    <x v="0"/>
    <x v="0"/>
    <s v="Brasília"/>
    <s v="Small Business"/>
    <x v="0"/>
    <x v="4"/>
    <x v="1"/>
    <x v="5"/>
    <n v="860.4"/>
    <n v="2066.6"/>
    <n v="2066.6"/>
    <n v="0.01"/>
    <n v="3"/>
    <n v="6137.8019999999988"/>
    <n v="2581.1999999999998"/>
    <n v="3556.601999999999"/>
    <n v="0.57945857491004105"/>
    <d v="2025-04-09T00:00:00"/>
    <s v="Q2-2023"/>
    <s v="Americas → Brazil → Brasília"/>
    <s v="High"/>
    <x v="5"/>
    <d v="2023-01-01T00:00:00"/>
    <n v="5"/>
    <n v="0"/>
    <n v="0"/>
    <s v="Sum of Revenue"/>
    <n v="10928845.71649999"/>
    <n v="3.5999999999999996"/>
    <n v="989.45999999999992"/>
    <n v="0.01"/>
    <n v="7365.3623999999991"/>
    <n v="3562.0559999999996"/>
    <n v="3803.3063999999995"/>
  </r>
  <r>
    <x v="6"/>
    <x v="6"/>
    <d v="2023-07-04T00:00:00"/>
    <n v="14"/>
    <x v="0"/>
    <x v="0"/>
    <s v="Brasília"/>
    <s v="Non-Profit"/>
    <x v="2"/>
    <x v="5"/>
    <x v="4"/>
    <x v="6"/>
    <n v="1292.8599999999999"/>
    <n v="2981.01"/>
    <n v="2981.01"/>
    <n v="0.14199999999999999"/>
    <n v="12"/>
    <n v="30692.47896"/>
    <n v="15514.32"/>
    <n v="15178.158960000001"/>
    <n v="0.49452372288927687"/>
    <d v="2025-04-16T00:00:00"/>
    <s v="Q2-2023"/>
    <s v="Americas → Brazil → Brasília"/>
    <s v="High"/>
    <x v="5"/>
    <d v="2023-01-01T00:00:00"/>
    <n v="5"/>
    <n v="0"/>
    <n v="0"/>
    <s v="Sum of Profit"/>
    <n v="3401098.0064999964"/>
    <n v="14.399999999999999"/>
    <n v="1486.7889999999998"/>
    <n v="0.14199999999999999"/>
    <n v="36830.974752000002"/>
    <n v="21409.761599999994"/>
    <n v="15421.213152000008"/>
  </r>
  <r>
    <x v="7"/>
    <x v="7"/>
    <d v="2023-06-24T00:00:00"/>
    <n v="1"/>
    <x v="0"/>
    <x v="0"/>
    <s v="Rio de Janeiro"/>
    <s v="Non-Profit"/>
    <x v="4"/>
    <x v="6"/>
    <x v="3"/>
    <x v="7"/>
    <n v="804.01"/>
    <n v="1405.07"/>
    <n v="1405.07"/>
    <n v="9.6000000000000002E-2"/>
    <n v="8"/>
    <n v="10161.46624"/>
    <n v="6432.08"/>
    <n v="3729.3862399999998"/>
    <n v="0.36701260939287439"/>
    <d v="2025-04-13T00:00:00"/>
    <s v="Q2-2023"/>
    <s v="Americas → Brazil → Rio de Janeiro"/>
    <s v="Medium"/>
    <x v="5"/>
    <d v="2023-01-01T00:00:00"/>
    <n v="5"/>
    <n v="1"/>
    <n v="0"/>
    <s v="Sum of ScenarioRevenue"/>
    <n v="13158241.71585599"/>
    <n v="9.6"/>
    <n v="924.61149999999986"/>
    <n v="9.6000000000000002E-2"/>
    <n v="12193.759488"/>
    <n v="8876.2703999999976"/>
    <n v="3317.4890880000021"/>
  </r>
  <r>
    <x v="8"/>
    <x v="8"/>
    <d v="2023-07-14T00:00:00"/>
    <n v="9"/>
    <x v="0"/>
    <x v="0"/>
    <s v="Brasília"/>
    <s v="Enterprise"/>
    <x v="2"/>
    <x v="7"/>
    <x v="4"/>
    <x v="8"/>
    <n v="578.85"/>
    <n v="998.76"/>
    <n v="998.76"/>
    <n v="8.2000000000000003E-2"/>
    <n v="28"/>
    <n v="25672.127039999999"/>
    <n v="16207.800000000001"/>
    <n v="9464.3270399999983"/>
    <n v="0.36866158480960831"/>
    <d v="2025-03-10T00:00:00"/>
    <s v="Q3-2023"/>
    <s v="Americas → Brazil → Brasília"/>
    <s v="Medium"/>
    <x v="6"/>
    <d v="2023-01-01T00:00:00"/>
    <n v="6"/>
    <n v="0"/>
    <n v="0"/>
    <s v="Sum of ScenarioProfit"/>
    <n v="2769949.8760560006"/>
    <n v="33.6"/>
    <n v="665.67750000000001"/>
    <n v="8.2000000000000003E-2"/>
    <n v="30806.552448000006"/>
    <n v="22366.764000000003"/>
    <n v="8439.788448000003"/>
  </r>
  <r>
    <x v="9"/>
    <x v="9"/>
    <d v="2023-07-22T00:00:00"/>
    <n v="4"/>
    <x v="0"/>
    <x v="0"/>
    <s v="São Paulo"/>
    <s v="Consumer"/>
    <x v="2"/>
    <x v="8"/>
    <x v="4"/>
    <x v="9"/>
    <n v="1269.55"/>
    <n v="2071.1"/>
    <n v="2071.1"/>
    <n v="0.129"/>
    <n v="22"/>
    <n v="39686.4182"/>
    <n v="27930.1"/>
    <n v="11756.318200000002"/>
    <n v="0.29623026549672354"/>
    <d v="2025-03-25T00:00:00"/>
    <s v="Q3-2023"/>
    <s v="Americas → Brazil → São Paulo"/>
    <s v="High"/>
    <x v="6"/>
    <d v="2023-01-01T00:00:00"/>
    <n v="6"/>
    <n v="1"/>
    <n v="0"/>
    <m/>
    <m/>
    <n v="26.4"/>
    <n v="1459.9824999999998"/>
    <n v="0.129"/>
    <n v="47623.701839999994"/>
    <n v="38543.537999999993"/>
    <n v="9080.1638400000011"/>
  </r>
  <r>
    <x v="10"/>
    <x v="10"/>
    <d v="2023-07-31T00:00:00"/>
    <n v="12"/>
    <x v="0"/>
    <x v="0"/>
    <s v="Rio de Janeiro"/>
    <s v="Corporate"/>
    <x v="4"/>
    <x v="5"/>
    <x v="0"/>
    <x v="10"/>
    <n v="1334.64"/>
    <n v="2273.42"/>
    <n v="2273.42"/>
    <n v="0.11799999999999999"/>
    <n v="14"/>
    <n v="28072.190160000002"/>
    <n v="18684.960000000003"/>
    <n v="9387.2301599999992"/>
    <n v="0.33439607335575267"/>
    <d v="2025-03-24T00:00:00"/>
    <s v="Q3-2023"/>
    <s v="Americas → Brazil → Rio de Janeiro"/>
    <s v="High"/>
    <x v="6"/>
    <d v="2023-01-01T00:00:00"/>
    <n v="6"/>
    <n v="0"/>
    <n v="0"/>
    <s v="Revenue Change"/>
    <n v="2229395.9993559998"/>
    <n v="16.8"/>
    <n v="1534.836"/>
    <n v="0.11799999999999999"/>
    <n v="33686.628192000004"/>
    <n v="25785.2448"/>
    <n v="7901.3833920000034"/>
  </r>
  <r>
    <x v="11"/>
    <x v="11"/>
    <d v="2023-08-14T00:00:00"/>
    <n v="11"/>
    <x v="0"/>
    <x v="0"/>
    <s v="Brasília"/>
    <s v="Corporate"/>
    <x v="2"/>
    <x v="9"/>
    <x v="5"/>
    <x v="11"/>
    <n v="232.73"/>
    <n v="334.19"/>
    <n v="334.19"/>
    <n v="0.13400000000000001"/>
    <n v="25"/>
    <n v="7235.2134999999998"/>
    <n v="5818.25"/>
    <n v="1416.9634999999998"/>
    <n v="0.1958426658729559"/>
    <d v="2025-02-09T00:00:00"/>
    <s v="Q3-2023"/>
    <s v="Americas → Brazil → Brasília"/>
    <s v="Low"/>
    <x v="7"/>
    <d v="2023-01-01T00:00:00"/>
    <n v="7"/>
    <n v="0"/>
    <n v="0"/>
    <s v="Profit Change"/>
    <n v="-631148.13044399582"/>
    <n v="30"/>
    <n v="267.63949999999994"/>
    <n v="0.13400000000000001"/>
    <n v="8682.2561999999998"/>
    <n v="8029.1849999999986"/>
    <n v="653.07120000000123"/>
  </r>
  <r>
    <x v="12"/>
    <x v="12"/>
    <d v="2023-08-24T00:00:00"/>
    <n v="20"/>
    <x v="0"/>
    <x v="0"/>
    <s v="Brasília"/>
    <s v="Non-Profit"/>
    <x v="2"/>
    <x v="10"/>
    <x v="4"/>
    <x v="12"/>
    <n v="582.88"/>
    <n v="1044.1400000000001"/>
    <n v="1044.1400000000001"/>
    <n v="0.216"/>
    <n v="10"/>
    <n v="8186.057600000001"/>
    <n v="5828.8"/>
    <n v="2357.2576000000008"/>
    <n v="0.28796005539956138"/>
    <d v="2025-02-15T00:00:00"/>
    <s v="Q3-2023"/>
    <s v="Americas → Brazil → Brasília"/>
    <s v="Medium"/>
    <x v="7"/>
    <d v="2023-01-01T00:00:00"/>
    <n v="7"/>
    <n v="0"/>
    <n v="1"/>
    <s v="Percentage Change"/>
    <m/>
    <n v="12"/>
    <n v="670.3119999999999"/>
    <n v="0.216"/>
    <n v="9823.2691200000008"/>
    <n v="8043.7439999999988"/>
    <n v="1779.5251200000021"/>
  </r>
  <r>
    <x v="13"/>
    <x v="13"/>
    <d v="2023-08-15T00:00:00"/>
    <n v="5"/>
    <x v="0"/>
    <x v="0"/>
    <s v="São Paulo"/>
    <s v="Education"/>
    <x v="2"/>
    <x v="2"/>
    <x v="4"/>
    <x v="13"/>
    <n v="1307.52"/>
    <n v="1921.65"/>
    <n v="1921.65"/>
    <n v="0.123"/>
    <n v="13"/>
    <n v="21908.731650000002"/>
    <n v="16997.759999999998"/>
    <n v="4910.9716500000031"/>
    <n v="0.22415590863289445"/>
    <d v="2025-01-31T00:00:00"/>
    <s v="Q3-2023"/>
    <s v="Americas → Brazil → São Paulo"/>
    <s v="High"/>
    <x v="7"/>
    <d v="2023-01-01T00:00:00"/>
    <n v="7"/>
    <n v="1"/>
    <n v="0"/>
    <m/>
    <m/>
    <n v="15.6"/>
    <n v="1503.6479999999999"/>
    <n v="0.123"/>
    <n v="26290.47798"/>
    <n v="23456.908799999997"/>
    <n v="2833.5691800000022"/>
  </r>
  <r>
    <x v="14"/>
    <x v="14"/>
    <d v="2023-10-02T00:00:00"/>
    <n v="15"/>
    <x v="0"/>
    <x v="0"/>
    <s v="Rio de Janeiro"/>
    <s v="Small Business"/>
    <x v="4"/>
    <x v="7"/>
    <x v="6"/>
    <x v="14"/>
    <n v="689.33"/>
    <n v="668.27"/>
    <n v="668.27"/>
    <n v="0.186"/>
    <n v="13"/>
    <n v="7071.6331400000008"/>
    <n v="8961.2900000000009"/>
    <n v="-1889.6568600000001"/>
    <n v="-0.26721647214861033"/>
    <d v="2024-12-27T00:00:00"/>
    <s v="Q3-2023"/>
    <s v="Americas → Brazil → Rio de Janeiro"/>
    <s v="Low"/>
    <x v="8"/>
    <d v="2023-01-01T00:00:00"/>
    <n v="8"/>
    <n v="0"/>
    <n v="0"/>
    <m/>
    <m/>
    <n v="15.6"/>
    <n v="792.72950000000003"/>
    <n v="0.186"/>
    <n v="8485.9597679999988"/>
    <n v="12366.5802"/>
    <n v="-3880.6204320000015"/>
  </r>
  <r>
    <x v="15"/>
    <x v="15"/>
    <d v="2023-10-13T00:00:00"/>
    <n v="2"/>
    <x v="0"/>
    <x v="0"/>
    <s v="Brasília"/>
    <s v="Consumer"/>
    <x v="3"/>
    <x v="10"/>
    <x v="5"/>
    <x v="15"/>
    <n v="715.94"/>
    <n v="550.07000000000005"/>
    <n v="550.07000000000005"/>
    <n v="0.14000000000000001"/>
    <n v="16"/>
    <n v="7568.9632000000001"/>
    <n v="11455.04"/>
    <n v="-3886.0768000000007"/>
    <n v="-0.51342260456491595"/>
    <d v="2024-12-07T00:00:00"/>
    <s v="Q4-2023"/>
    <s v="Americas → Brazil → Brasília"/>
    <s v="Low"/>
    <x v="9"/>
    <d v="2023-01-01T00:00:00"/>
    <n v="9"/>
    <n v="1"/>
    <n v="0"/>
    <m/>
    <m/>
    <n v="19.2"/>
    <n v="823.33100000000002"/>
    <n v="0.14000000000000001"/>
    <n v="9082.7558399999998"/>
    <n v="15807.9552"/>
    <n v="-6725.1993600000005"/>
  </r>
  <r>
    <x v="16"/>
    <x v="16"/>
    <d v="2023-10-28T00:00:00"/>
    <n v="3"/>
    <x v="0"/>
    <x v="0"/>
    <s v="Brasília"/>
    <s v="Corporate"/>
    <x v="3"/>
    <x v="11"/>
    <x v="5"/>
    <x v="16"/>
    <n v="509.31"/>
    <n v="1145.9000000000001"/>
    <n v="1145.9000000000001"/>
    <n v="5.7000000000000002E-2"/>
    <n v="8"/>
    <n v="8644.6696000000011"/>
    <n v="4074.48"/>
    <n v="4570.1896000000015"/>
    <n v="0.52867140231709964"/>
    <d v="2024-12-17T00:00:00"/>
    <s v="Q4-2023"/>
    <s v="Americas → Brazil → Brasília"/>
    <s v="Medium"/>
    <x v="9"/>
    <d v="2023-01-01T00:00:00"/>
    <n v="9"/>
    <n v="1"/>
    <n v="0"/>
    <m/>
    <m/>
    <n v="9.6"/>
    <n v="585.70650000000001"/>
    <n v="5.7000000000000002E-2"/>
    <n v="10373.603520000001"/>
    <n v="5622.7824000000001"/>
    <n v="4750.8211200000005"/>
  </r>
  <r>
    <x v="17"/>
    <x v="17"/>
    <d v="2023-11-28T00:00:00"/>
    <n v="18"/>
    <x v="0"/>
    <x v="0"/>
    <s v="Brasília"/>
    <s v="Education"/>
    <x v="0"/>
    <x v="11"/>
    <x v="5"/>
    <x v="17"/>
    <n v="388.51"/>
    <n v="776.46"/>
    <n v="776.46"/>
    <n v="0.157"/>
    <n v="12"/>
    <n v="7854.6693599999999"/>
    <n v="4662.12"/>
    <n v="3192.54936"/>
    <n v="0.40645241876864946"/>
    <d v="2024-12-08T00:00:00"/>
    <s v="Q4-2023"/>
    <s v="Americas → Brazil → Brasília"/>
    <s v="Low"/>
    <x v="10"/>
    <d v="2023-01-01T00:00:00"/>
    <n v="10"/>
    <n v="0"/>
    <n v="0"/>
    <m/>
    <m/>
    <n v="14.399999999999999"/>
    <n v="446.78649999999993"/>
    <n v="0.157"/>
    <n v="9425.6032319999995"/>
    <n v="6433.7255999999988"/>
    <n v="2991.8776320000006"/>
  </r>
  <r>
    <x v="18"/>
    <x v="18"/>
    <d v="2023-11-30T00:00:00"/>
    <n v="16"/>
    <x v="0"/>
    <x v="0"/>
    <s v="São Paulo"/>
    <s v="Enterprise"/>
    <x v="2"/>
    <x v="12"/>
    <x v="4"/>
    <x v="18"/>
    <n v="1017.92"/>
    <n v="1175.25"/>
    <n v="1175.25"/>
    <n v="7.4999999999999997E-2"/>
    <n v="15"/>
    <n v="16306.59375"/>
    <n v="15268.8"/>
    <n v="1037.7937500000007"/>
    <n v="6.3642583234159542E-2"/>
    <d v="2024-11-25T00:00:00"/>
    <s v="Q4-2023"/>
    <s v="Americas → Brazil → São Paulo"/>
    <s v="Medium"/>
    <x v="10"/>
    <d v="2023-01-01T00:00:00"/>
    <n v="10"/>
    <n v="0"/>
    <n v="0"/>
    <m/>
    <m/>
    <n v="18"/>
    <n v="1170.6079999999999"/>
    <n v="7.4999999999999997E-2"/>
    <n v="19567.912500000002"/>
    <n v="21070.944"/>
    <n v="-1503.0314999999973"/>
  </r>
  <r>
    <x v="19"/>
    <x v="19"/>
    <d v="2023-12-26T00:00:00"/>
    <n v="23"/>
    <x v="0"/>
    <x v="0"/>
    <s v="Rio de Janeiro"/>
    <s v="Education"/>
    <x v="4"/>
    <x v="13"/>
    <x v="2"/>
    <x v="19"/>
    <n v="1303.1099999999999"/>
    <n v="1145.67"/>
    <n v="1145.67"/>
    <n v="0.184"/>
    <n v="13"/>
    <n v="12153.267360000002"/>
    <n v="16940.43"/>
    <n v="-4787.1626399999986"/>
    <n v="-0.39389922875851208"/>
    <d v="2024-10-23T00:00:00"/>
    <s v="Q4-2023"/>
    <s v="Americas → Brazil → Rio de Janeiro"/>
    <s v="Medium"/>
    <x v="11"/>
    <d v="2023-01-01T00:00:00"/>
    <n v="11"/>
    <n v="0"/>
    <n v="0"/>
    <m/>
    <m/>
    <n v="15.6"/>
    <n v="1498.5764999999997"/>
    <n v="0.184"/>
    <n v="14583.920832000002"/>
    <n v="23377.793399999995"/>
    <n v="-8793.8725679999934"/>
  </r>
  <r>
    <x v="20"/>
    <x v="20"/>
    <d v="2023-12-12T00:00:00"/>
    <n v="7"/>
    <x v="0"/>
    <x v="0"/>
    <s v="Brasília"/>
    <s v="Corporate"/>
    <x v="2"/>
    <x v="8"/>
    <x v="2"/>
    <x v="20"/>
    <n v="307.43"/>
    <n v="495.19"/>
    <n v="495.19"/>
    <n v="0"/>
    <n v="42"/>
    <n v="20797.98"/>
    <n v="12912.06"/>
    <n v="7885.92"/>
    <n v="0.37916759223732305"/>
    <d v="2024-11-01T00:00:00"/>
    <s v="Q4-2023"/>
    <s v="Americas → Brazil → Brasília"/>
    <s v="Low"/>
    <x v="11"/>
    <d v="2023-01-01T00:00:00"/>
    <n v="11"/>
    <n v="1"/>
    <n v="0"/>
    <m/>
    <m/>
    <n v="50.4"/>
    <n v="353.54449999999997"/>
    <n v="0"/>
    <n v="24957.576000000001"/>
    <n v="17818.642799999998"/>
    <n v="7138.9332000000031"/>
  </r>
  <r>
    <x v="21"/>
    <x v="21"/>
    <d v="2023-12-20T00:00:00"/>
    <n v="1"/>
    <x v="0"/>
    <x v="0"/>
    <s v="Rio de Janeiro"/>
    <s v="Consumer"/>
    <x v="3"/>
    <x v="9"/>
    <x v="2"/>
    <x v="21"/>
    <n v="1080.43"/>
    <n v="2529.15"/>
    <n v="2529.15"/>
    <n v="0.14699999999999999"/>
    <n v="10"/>
    <n v="21573.6495"/>
    <n v="10804.300000000001"/>
    <n v="10769.349499999998"/>
    <n v="0.49918997247081437"/>
    <d v="2024-10-09T00:00:00"/>
    <s v="Q4-2023"/>
    <s v="Americas → Brazil → Rio de Janeiro"/>
    <s v="High"/>
    <x v="11"/>
    <d v="2023-01-01T00:00:00"/>
    <n v="11"/>
    <n v="1"/>
    <n v="0"/>
    <m/>
    <m/>
    <n v="12"/>
    <n v="1242.4945"/>
    <n v="0.14699999999999999"/>
    <n v="25888.379400000002"/>
    <n v="14909.934000000001"/>
    <n v="10978.445400000001"/>
  </r>
  <r>
    <x v="22"/>
    <x v="22"/>
    <d v="2024-01-01T00:00:00"/>
    <n v="8"/>
    <x v="0"/>
    <x v="0"/>
    <s v="São Paulo"/>
    <s v="Education"/>
    <x v="2"/>
    <x v="5"/>
    <x v="2"/>
    <x v="22"/>
    <n v="526.49"/>
    <n v="496.2"/>
    <n v="496.2"/>
    <n v="0"/>
    <n v="14"/>
    <n v="6946.8"/>
    <n v="7370.8600000000006"/>
    <n v="-424.0600000000004"/>
    <n v="-6.1043933897621985E-2"/>
    <d v="2024-10-29T00:00:00"/>
    <s v="Q4-2023"/>
    <s v="Americas → Brazil → São Paulo"/>
    <s v="Low"/>
    <x v="11"/>
    <d v="2023-01-01T00:00:00"/>
    <n v="11"/>
    <n v="0"/>
    <n v="0"/>
    <m/>
    <m/>
    <n v="16.8"/>
    <n v="605.46349999999995"/>
    <n v="0"/>
    <n v="8336.16"/>
    <n v="10171.7868"/>
    <n v="-1835.6268"/>
  </r>
  <r>
    <x v="23"/>
    <x v="23"/>
    <d v="2024-01-27T00:00:00"/>
    <n v="2"/>
    <x v="0"/>
    <x v="0"/>
    <s v="São Paulo"/>
    <s v="Non-Profit"/>
    <x v="0"/>
    <x v="1"/>
    <x v="6"/>
    <x v="23"/>
    <n v="1410.97"/>
    <n v="1650.75"/>
    <n v="1650.75"/>
    <n v="0.13500000000000001"/>
    <n v="6"/>
    <n v="8567.3924999999999"/>
    <n v="8465.82"/>
    <n v="101.57250000000022"/>
    <n v="1.1855707556295596E-2"/>
    <d v="2024-09-07T00:00:00"/>
    <s v="Q1-2024"/>
    <s v="Americas → Brazil → São Paulo"/>
    <s v="High"/>
    <x v="12"/>
    <d v="2023-01-01T00:00:00"/>
    <n v="12"/>
    <n v="1"/>
    <n v="0"/>
    <m/>
    <m/>
    <n v="7.1999999999999993"/>
    <n v="1622.6154999999999"/>
    <n v="0.13500000000000001"/>
    <n v="10280.870999999999"/>
    <n v="11682.831599999998"/>
    <n v="-1401.9605999999985"/>
  </r>
  <r>
    <x v="24"/>
    <x v="24"/>
    <d v="2024-03-11T00:00:00"/>
    <n v="22"/>
    <x v="0"/>
    <x v="0"/>
    <s v="São Paulo"/>
    <s v="Consumer"/>
    <x v="1"/>
    <x v="4"/>
    <x v="1"/>
    <x v="24"/>
    <n v="80.48"/>
    <n v="65.650000000000006"/>
    <n v="65.650000000000006"/>
    <n v="0.17599999999999999"/>
    <n v="13"/>
    <n v="703.2428000000001"/>
    <n v="1046.24"/>
    <n v="-342.99719999999991"/>
    <n v="-0.48773652570634191"/>
    <d v="2024-08-19T00:00:00"/>
    <s v="Q1-2024"/>
    <s v="Americas → Brazil → São Paulo"/>
    <s v="Low"/>
    <x v="13"/>
    <d v="2023-01-01T00:00:00"/>
    <n v="13"/>
    <n v="0"/>
    <n v="0"/>
    <m/>
    <m/>
    <n v="15.6"/>
    <n v="92.551999999999992"/>
    <n v="0.17599999999999999"/>
    <n v="843.89136000000019"/>
    <n v="1443.8111999999999"/>
    <n v="-599.91983999999968"/>
  </r>
  <r>
    <x v="25"/>
    <x v="24"/>
    <d v="2024-03-03T00:00:00"/>
    <n v="14"/>
    <x v="0"/>
    <x v="0"/>
    <s v="Brasília"/>
    <s v="Enterprise"/>
    <x v="3"/>
    <x v="4"/>
    <x v="3"/>
    <x v="25"/>
    <n v="624.23"/>
    <n v="1318.37"/>
    <n v="1318.37"/>
    <n v="0.21"/>
    <n v="37"/>
    <n v="38535.955099999999"/>
    <n v="23096.510000000002"/>
    <n v="15439.445099999997"/>
    <n v="0.40065038118128793"/>
    <d v="2024-08-16T00:00:00"/>
    <s v="Q1-2024"/>
    <s v="Americas → Brazil → Brasília"/>
    <s v="Medium"/>
    <x v="13"/>
    <d v="2023-01-01T00:00:00"/>
    <n v="13"/>
    <n v="0"/>
    <n v="1"/>
    <m/>
    <m/>
    <n v="44.4"/>
    <n v="717.86450000000002"/>
    <n v="0.21"/>
    <n v="46243.14611999999"/>
    <n v="31873.183799999999"/>
    <n v="14369.962319999991"/>
  </r>
  <r>
    <x v="26"/>
    <x v="25"/>
    <d v="2024-03-01T00:00:00"/>
    <n v="1"/>
    <x v="0"/>
    <x v="0"/>
    <s v="São Paulo"/>
    <s v="Non-Profit"/>
    <x v="2"/>
    <x v="14"/>
    <x v="2"/>
    <x v="26"/>
    <n v="5.34"/>
    <n v="12.69"/>
    <n v="12.69"/>
    <n v="0.13200000000000001"/>
    <n v="10"/>
    <n v="110.14919999999999"/>
    <n v="53.4"/>
    <n v="56.749199999999995"/>
    <n v="0.51520301554618642"/>
    <d v="2024-08-15T00:00:00"/>
    <s v="Q1-2024"/>
    <s v="Americas → Brazil → São Paulo"/>
    <s v="Low"/>
    <x v="13"/>
    <d v="2023-01-01T00:00:00"/>
    <n v="13"/>
    <n v="1"/>
    <n v="0"/>
    <m/>
    <m/>
    <n v="12"/>
    <n v="6.1409999999999991"/>
    <n v="0.13200000000000001"/>
    <n v="132.17903999999999"/>
    <n v="73.691999999999993"/>
    <n v="58.487039999999993"/>
  </r>
  <r>
    <x v="27"/>
    <x v="26"/>
    <d v="2024-04-21T00:00:00"/>
    <n v="18"/>
    <x v="0"/>
    <x v="0"/>
    <s v="Brasília"/>
    <s v="Small Business"/>
    <x v="3"/>
    <x v="7"/>
    <x v="4"/>
    <x v="27"/>
    <n v="1176.69"/>
    <n v="2201.54"/>
    <n v="2201.54"/>
    <n v="0.17"/>
    <n v="27"/>
    <n v="49336.511399999996"/>
    <n v="31770.63"/>
    <n v="17565.881399999995"/>
    <n v="0.35604222717701106"/>
    <d v="2024-06-28T00:00:00"/>
    <s v="Q2-2024"/>
    <s v="Americas → Brazil → Brasília"/>
    <s v="High"/>
    <x v="14"/>
    <d v="2023-01-01T00:00:00"/>
    <n v="15"/>
    <n v="0"/>
    <n v="0"/>
    <m/>
    <m/>
    <n v="32.4"/>
    <n v="1353.1934999999999"/>
    <n v="0.17"/>
    <n v="59203.813679999992"/>
    <n v="43843.469399999994"/>
    <n v="15360.344279999998"/>
  </r>
  <r>
    <x v="28"/>
    <x v="26"/>
    <d v="2024-04-07T00:00:00"/>
    <n v="4"/>
    <x v="0"/>
    <x v="0"/>
    <s v="Brasília"/>
    <s v="Non-Profit"/>
    <x v="2"/>
    <x v="1"/>
    <x v="2"/>
    <x v="28"/>
    <n v="1023.27"/>
    <n v="1343.64"/>
    <n v="1343.64"/>
    <n v="0.13300000000000001"/>
    <n v="7"/>
    <n v="8154.5511600000009"/>
    <n v="7162.8899999999994"/>
    <n v="991.66116000000147"/>
    <n v="0.12160830688810116"/>
    <d v="2024-06-23T00:00:00"/>
    <s v="Q2-2024"/>
    <s v="Americas → Brazil → Brasília"/>
    <s v="Medium"/>
    <x v="14"/>
    <d v="2023-01-01T00:00:00"/>
    <n v="15"/>
    <n v="1"/>
    <n v="0"/>
    <m/>
    <m/>
    <n v="8.4"/>
    <n v="1176.7604999999999"/>
    <n v="0.13300000000000001"/>
    <n v="9785.4613920000011"/>
    <n v="9884.7881999999991"/>
    <n v="-99.326807999997982"/>
  </r>
  <r>
    <x v="29"/>
    <x v="27"/>
    <d v="2024-06-08T00:00:00"/>
    <n v="20"/>
    <x v="0"/>
    <x v="0"/>
    <s v="Brasília"/>
    <s v="Small Business"/>
    <x v="4"/>
    <x v="6"/>
    <x v="0"/>
    <x v="29"/>
    <n v="1075.9000000000001"/>
    <n v="1242.1500000000001"/>
    <n v="1242.1500000000001"/>
    <n v="1.2E-2"/>
    <n v="7"/>
    <n v="8590.7094000000016"/>
    <n v="7531.3000000000011"/>
    <n v="1059.4094000000005"/>
    <n v="0.12332036280961853"/>
    <d v="2024-05-21T00:00:00"/>
    <s v="Q2-2024"/>
    <s v="Americas → Brazil → Brasília"/>
    <s v="Medium"/>
    <x v="15"/>
    <d v="2023-01-01T00:00:00"/>
    <n v="16"/>
    <n v="0"/>
    <n v="0"/>
    <m/>
    <m/>
    <n v="8.4"/>
    <n v="1237.2850000000001"/>
    <n v="1.2E-2"/>
    <n v="10308.851280000001"/>
    <n v="10393.194000000001"/>
    <n v="-84.342720000000554"/>
  </r>
  <r>
    <x v="30"/>
    <x v="28"/>
    <d v="2024-06-06T00:00:00"/>
    <n v="14"/>
    <x v="0"/>
    <x v="0"/>
    <s v="Rio de Janeiro"/>
    <s v="Non-Profit"/>
    <x v="1"/>
    <x v="14"/>
    <x v="4"/>
    <x v="30"/>
    <n v="51.13"/>
    <n v="57.53"/>
    <n v="57.53"/>
    <n v="4.4999999999999998E-2"/>
    <n v="16"/>
    <n v="879.05840000000001"/>
    <n v="818.08"/>
    <n v="60.978399999999965"/>
    <n v="6.9367859973808302E-2"/>
    <d v="2024-05-12T00:00:00"/>
    <s v="Q2-2024"/>
    <s v="Americas → Brazil → Rio de Janeiro"/>
    <s v="Low"/>
    <x v="15"/>
    <d v="2023-01-01T00:00:00"/>
    <n v="16"/>
    <n v="0"/>
    <n v="0"/>
    <m/>
    <m/>
    <n v="19.2"/>
    <n v="58.799500000000002"/>
    <n v="4.4999999999999998E-2"/>
    <n v="1054.8700799999999"/>
    <n v="1128.9503999999999"/>
    <n v="-74.080320000000029"/>
  </r>
  <r>
    <x v="31"/>
    <x v="29"/>
    <d v="2024-06-30T00:00:00"/>
    <n v="2"/>
    <x v="0"/>
    <x v="0"/>
    <s v="Rio de Janeiro"/>
    <s v="Small Business"/>
    <x v="2"/>
    <x v="11"/>
    <x v="5"/>
    <x v="31"/>
    <n v="1112.98"/>
    <n v="2095.73"/>
    <n v="2095.73"/>
    <n v="7.1999999999999995E-2"/>
    <n v="17"/>
    <n v="33062.236480000007"/>
    <n v="18920.66"/>
    <n v="14141.576480000007"/>
    <n v="0.42772594916724777"/>
    <d v="2024-03-10T00:00:00"/>
    <s v="Q2-2024"/>
    <s v="Americas → Brazil → Rio de Janeiro"/>
    <s v="High"/>
    <x v="16"/>
    <d v="2023-01-01T00:00:00"/>
    <n v="17"/>
    <n v="1"/>
    <n v="0"/>
    <m/>
    <m/>
    <n v="20.399999999999999"/>
    <n v="1279.9269999999999"/>
    <n v="7.1999999999999995E-2"/>
    <n v="39674.683776000005"/>
    <n v="26110.510799999996"/>
    <n v="13564.172976000009"/>
  </r>
  <r>
    <x v="32"/>
    <x v="30"/>
    <d v="2024-07-14T00:00:00"/>
    <n v="14"/>
    <x v="0"/>
    <x v="0"/>
    <s v="Brasília"/>
    <s v="Education"/>
    <x v="4"/>
    <x v="5"/>
    <x v="5"/>
    <x v="32"/>
    <n v="1491.85"/>
    <n v="2583.02"/>
    <n v="2583.02"/>
    <n v="0.16800000000000001"/>
    <n v="4"/>
    <n v="8596.2905599999995"/>
    <n v="5967.4"/>
    <n v="2628.8905599999998"/>
    <n v="0.30581685689321325"/>
    <d v="2024-03-11T00:00:00"/>
    <s v="Q2-2024"/>
    <s v="Americas → Brazil → Brasília"/>
    <s v="High"/>
    <x v="16"/>
    <d v="2023-01-01T00:00:00"/>
    <n v="17"/>
    <n v="0"/>
    <n v="0"/>
    <m/>
    <m/>
    <n v="4.8"/>
    <n v="1715.6274999999998"/>
    <n v="0.16800000000000001"/>
    <n v="10315.548671999999"/>
    <n v="8235.0119999999988"/>
    <n v="2080.5366720000002"/>
  </r>
  <r>
    <x v="33"/>
    <x v="31"/>
    <d v="2024-08-03T00:00:00"/>
    <n v="21"/>
    <x v="0"/>
    <x v="0"/>
    <s v="Rio de Janeiro"/>
    <s v="Corporate"/>
    <x v="0"/>
    <x v="3"/>
    <x v="0"/>
    <x v="33"/>
    <n v="702.98"/>
    <n v="1104.8"/>
    <n v="1104.8"/>
    <n v="0.17499999999999999"/>
    <n v="12"/>
    <n v="10937.519999999999"/>
    <n v="8435.76"/>
    <n v="2501.7599999999984"/>
    <n v="0.22873192460448061"/>
    <d v="2024-03-23T00:00:00"/>
    <s v="Q3-2024"/>
    <s v="Americas → Brazil → Rio de Janeiro"/>
    <s v="Medium"/>
    <x v="17"/>
    <d v="2023-01-01T00:00:00"/>
    <n v="18"/>
    <n v="0"/>
    <n v="0"/>
    <m/>
    <m/>
    <n v="14.399999999999999"/>
    <n v="808.42699999999991"/>
    <n v="0.17499999999999999"/>
    <n v="13125.023999999998"/>
    <n v="11641.348799999998"/>
    <n v="1483.6751999999997"/>
  </r>
  <r>
    <x v="34"/>
    <x v="32"/>
    <d v="2024-08-17T00:00:00"/>
    <n v="2"/>
    <x v="0"/>
    <x v="0"/>
    <s v="Rio de Janeiro"/>
    <s v="Consumer"/>
    <x v="2"/>
    <x v="3"/>
    <x v="0"/>
    <x v="34"/>
    <n v="165.3"/>
    <n v="275.07"/>
    <n v="275.07"/>
    <n v="0.13300000000000001"/>
    <n v="25"/>
    <n v="5962.1422499999999"/>
    <n v="4132.5"/>
    <n v="1829.6422499999999"/>
    <n v="0.30687665159280625"/>
    <d v="2024-02-18T00:00:00"/>
    <s v="Q3-2024"/>
    <s v="Americas → Brazil → Rio de Janeiro"/>
    <s v="Low"/>
    <x v="18"/>
    <d v="2023-01-01T00:00:00"/>
    <n v="19"/>
    <n v="1"/>
    <n v="0"/>
    <m/>
    <m/>
    <n v="30"/>
    <n v="190.095"/>
    <n v="0.13300000000000001"/>
    <n v="7154.5707000000002"/>
    <n v="5702.85"/>
    <n v="1451.7206999999999"/>
  </r>
  <r>
    <x v="35"/>
    <x v="33"/>
    <d v="2024-09-25T00:00:00"/>
    <n v="28"/>
    <x v="0"/>
    <x v="0"/>
    <s v="Rio de Janeiro"/>
    <s v="Non-Profit"/>
    <x v="1"/>
    <x v="10"/>
    <x v="5"/>
    <x v="35"/>
    <n v="1394.65"/>
    <n v="3144.1"/>
    <n v="3144.1"/>
    <n v="0.13400000000000001"/>
    <n v="13"/>
    <n v="35396.277799999996"/>
    <n v="18130.45"/>
    <n v="17265.827799999995"/>
    <n v="0.4877865378263021"/>
    <d v="2024-01-20T00:00:00"/>
    <s v="Q3-2024"/>
    <s v="Americas → Brazil → Rio de Janeiro"/>
    <s v="High"/>
    <x v="18"/>
    <d v="2023-01-01T00:00:00"/>
    <n v="19"/>
    <n v="0"/>
    <n v="0"/>
    <m/>
    <m/>
    <n v="15.6"/>
    <n v="1603.8475000000001"/>
    <n v="0.13400000000000001"/>
    <n v="42475.533360000001"/>
    <n v="25020.021000000001"/>
    <n v="17455.512360000001"/>
  </r>
  <r>
    <x v="36"/>
    <x v="34"/>
    <d v="2024-10-08T00:00:00"/>
    <n v="29"/>
    <x v="0"/>
    <x v="0"/>
    <s v="São Paulo"/>
    <s v="Education"/>
    <x v="2"/>
    <x v="9"/>
    <x v="1"/>
    <x v="36"/>
    <n v="1010.33"/>
    <n v="2492.14"/>
    <n v="2492.14"/>
    <n v="5.0999999999999997E-2"/>
    <n v="11"/>
    <n v="26015.449459999996"/>
    <n v="11113.630000000001"/>
    <n v="14901.819459999995"/>
    <n v="0.57280653493656752"/>
    <d v="2024-01-12T00:00:00"/>
    <s v="Q3-2024"/>
    <s v="Americas → Brazil → São Paulo"/>
    <s v="High"/>
    <x v="19"/>
    <d v="2023-01-01T00:00:00"/>
    <n v="20"/>
    <n v="0"/>
    <n v="0"/>
    <m/>
    <m/>
    <n v="13.2"/>
    <n v="1161.8795"/>
    <n v="5.0999999999999997E-2"/>
    <n v="31218.539352"/>
    <n v="15336.8094"/>
    <n v="15881.729952"/>
  </r>
  <r>
    <x v="37"/>
    <x v="35"/>
    <d v="2024-10-14T00:00:00"/>
    <n v="25"/>
    <x v="0"/>
    <x v="0"/>
    <s v="Rio de Janeiro"/>
    <s v="Small Business"/>
    <x v="4"/>
    <x v="12"/>
    <x v="3"/>
    <x v="37"/>
    <n v="386.96"/>
    <n v="937.46"/>
    <n v="937.46"/>
    <n v="0.26600000000000001"/>
    <n v="41"/>
    <n v="28211.92124"/>
    <n v="15865.359999999999"/>
    <n v="12346.561240000001"/>
    <n v="0.43763631462626335"/>
    <d v="2024-01-21T00:00:00"/>
    <s v="Q3-2024"/>
    <s v="Americas → Brazil → Rio de Janeiro"/>
    <s v="Medium"/>
    <x v="19"/>
    <d v="2023-01-01T00:00:00"/>
    <n v="20"/>
    <n v="0"/>
    <n v="1"/>
    <m/>
    <m/>
    <n v="49.199999999999996"/>
    <n v="445.00399999999996"/>
    <n v="0.25"/>
    <n v="34592.273999999998"/>
    <n v="21894.196799999998"/>
    <n v="12698.0772"/>
  </r>
  <r>
    <x v="38"/>
    <x v="36"/>
    <d v="2024-10-01T00:00:00"/>
    <n v="9"/>
    <x v="0"/>
    <x v="0"/>
    <s v="São Paulo"/>
    <s v="Non-Profit"/>
    <x v="1"/>
    <x v="12"/>
    <x v="0"/>
    <x v="38"/>
    <n v="1378.8"/>
    <n v="1952.04"/>
    <n v="1952.04"/>
    <n v="0.159"/>
    <n v="19"/>
    <n v="31191.64716"/>
    <n v="26197.200000000001"/>
    <n v="4994.4471599999997"/>
    <n v="0.16012130216723058"/>
    <d v="2024-01-10T00:00:00"/>
    <s v="Q3-2024"/>
    <s v="Americas → Brazil → São Paulo"/>
    <s v="High"/>
    <x v="19"/>
    <d v="2023-01-01T00:00:00"/>
    <n v="20"/>
    <n v="0"/>
    <n v="0"/>
    <m/>
    <m/>
    <n v="22.8"/>
    <n v="1585.62"/>
    <n v="0.159"/>
    <n v="37429.976591999999"/>
    <n v="36152.135999999999"/>
    <n v="1277.8405920000005"/>
  </r>
  <r>
    <x v="39"/>
    <x v="37"/>
    <d v="2024-11-29T00:00:00"/>
    <n v="27"/>
    <x v="0"/>
    <x v="0"/>
    <s v="Brasília"/>
    <s v="Small Business"/>
    <x v="2"/>
    <x v="14"/>
    <x v="4"/>
    <x v="39"/>
    <n v="1363.51"/>
    <n v="1433.9"/>
    <n v="1433.9"/>
    <n v="5.7000000000000002E-2"/>
    <n v="8"/>
    <n v="10817.3416"/>
    <n v="10908.08"/>
    <n v="-90.738400000000183"/>
    <n v="-8.3882346842037592E-3"/>
    <d v="2023-12-02T00:00:00"/>
    <s v="Q4-2024"/>
    <s v="Americas → Brazil → Brasília"/>
    <s v="Medium"/>
    <x v="20"/>
    <d v="2023-01-01T00:00:00"/>
    <n v="22"/>
    <n v="0"/>
    <n v="0"/>
    <m/>
    <m/>
    <n v="9.6"/>
    <n v="1568.0364999999999"/>
    <n v="5.7000000000000002E-2"/>
    <n v="12980.80992"/>
    <n v="15053.150399999999"/>
    <n v="-2072.3404799999989"/>
  </r>
  <r>
    <x v="40"/>
    <x v="38"/>
    <d v="2024-11-26T00:00:00"/>
    <n v="19"/>
    <x v="0"/>
    <x v="0"/>
    <s v="Rio de Janeiro"/>
    <s v="Non-Profit"/>
    <x v="3"/>
    <x v="9"/>
    <x v="3"/>
    <x v="40"/>
    <n v="55.35"/>
    <n v="128.68"/>
    <n v="128.68"/>
    <n v="0.128"/>
    <n v="10"/>
    <n v="1122.0896000000002"/>
    <n v="553.5"/>
    <n v="568.58960000000025"/>
    <n v="0.50672388372550647"/>
    <d v="2023-11-28T00:00:00"/>
    <s v="Q4-2024"/>
    <s v="Americas → Brazil → Rio de Janeiro"/>
    <s v="Low"/>
    <x v="20"/>
    <d v="2023-01-01T00:00:00"/>
    <n v="22"/>
    <n v="0"/>
    <n v="0"/>
    <m/>
    <m/>
    <n v="12"/>
    <n v="63.652499999999996"/>
    <n v="0.128"/>
    <n v="1346.5075200000001"/>
    <n v="763.82999999999993"/>
    <n v="582.67752000000019"/>
  </r>
  <r>
    <x v="41"/>
    <x v="39"/>
    <d v="2025-02-06T00:00:00"/>
    <n v="27"/>
    <x v="0"/>
    <x v="0"/>
    <s v="Brasília"/>
    <s v="Non-Profit"/>
    <x v="4"/>
    <x v="7"/>
    <x v="6"/>
    <x v="41"/>
    <n v="725.62"/>
    <n v="1559.19"/>
    <n v="1559.19"/>
    <n v="0.19"/>
    <n v="12"/>
    <n v="15155.326800000001"/>
    <n v="8707.44"/>
    <n v="6447.8868000000002"/>
    <n v="0.42545349797405885"/>
    <d v="2023-09-14T00:00:00"/>
    <s v="Q1-2025"/>
    <s v="Americas → Brazil → Brasília"/>
    <s v="Medium"/>
    <x v="21"/>
    <d v="2023-01-01T00:00:00"/>
    <n v="24"/>
    <n v="0"/>
    <n v="0"/>
    <m/>
    <m/>
    <n v="14.399999999999999"/>
    <n v="834.46299999999997"/>
    <n v="0.19"/>
    <n v="18186.392159999999"/>
    <n v="12016.267199999998"/>
    <n v="6170.124960000001"/>
  </r>
  <r>
    <x v="42"/>
    <x v="40"/>
    <d v="2025-02-03T00:00:00"/>
    <n v="14"/>
    <x v="0"/>
    <x v="0"/>
    <s v="Brasília"/>
    <s v="Enterprise"/>
    <x v="0"/>
    <x v="8"/>
    <x v="1"/>
    <x v="42"/>
    <n v="974.11"/>
    <n v="880.99"/>
    <n v="880.99"/>
    <n v="0.111"/>
    <n v="10"/>
    <n v="7832.0010999999995"/>
    <n v="9741.1"/>
    <n v="-1909.0989000000009"/>
    <n v="-0.2437562093805121"/>
    <d v="2023-08-19T00:00:00"/>
    <s v="Q1-2025"/>
    <s v="Americas → Brazil → Brasília"/>
    <s v="Medium"/>
    <x v="21"/>
    <d v="2023-01-01T00:00:00"/>
    <n v="24"/>
    <n v="0"/>
    <n v="0"/>
    <m/>
    <m/>
    <n v="12"/>
    <n v="1120.2265"/>
    <n v="0.111"/>
    <n v="9398.4013200000009"/>
    <n v="13442.718000000001"/>
    <n v="-4044.3166799999999"/>
  </r>
  <r>
    <x v="43"/>
    <x v="41"/>
    <d v="2025-02-15T00:00:00"/>
    <n v="9"/>
    <x v="0"/>
    <x v="0"/>
    <s v="São Paulo"/>
    <s v="Non-Profit"/>
    <x v="3"/>
    <x v="8"/>
    <x v="4"/>
    <x v="43"/>
    <n v="837.39"/>
    <n v="1905.42"/>
    <n v="1905.42"/>
    <n v="3.2000000000000001E-2"/>
    <n v="18"/>
    <n v="33200.038079999998"/>
    <n v="15073.02"/>
    <n v="18127.018079999998"/>
    <n v="0.54599389423350919"/>
    <d v="2023-08-15T00:00:00"/>
    <s v="Q1-2025"/>
    <s v="Americas → Brazil → São Paulo"/>
    <s v="High"/>
    <x v="22"/>
    <d v="2023-01-01T00:00:00"/>
    <n v="25"/>
    <n v="0"/>
    <n v="0"/>
    <m/>
    <m/>
    <n v="21.599999999999998"/>
    <n v="962.99849999999992"/>
    <n v="3.2000000000000001E-2"/>
    <n v="39840.045696000001"/>
    <n v="20800.767599999996"/>
    <n v="19039.278096000005"/>
  </r>
  <r>
    <x v="44"/>
    <x v="42"/>
    <d v="2025-03-01T00:00:00"/>
    <n v="20"/>
    <x v="0"/>
    <x v="0"/>
    <s v="São Paulo"/>
    <s v="Corporate"/>
    <x v="3"/>
    <x v="7"/>
    <x v="6"/>
    <x v="44"/>
    <n v="1154.6400000000001"/>
    <n v="2794.13"/>
    <n v="2794.13"/>
    <n v="3.5000000000000003E-2"/>
    <n v="11"/>
    <n v="29659.68995"/>
    <n v="12701.04"/>
    <n v="16958.649949999999"/>
    <n v="0.57177435025749479"/>
    <d v="2023-08-04T00:00:00"/>
    <s v="Q1-2025"/>
    <s v="Americas → Brazil → São Paulo"/>
    <s v="High"/>
    <x v="22"/>
    <d v="2023-01-01T00:00:00"/>
    <n v="25"/>
    <n v="0"/>
    <n v="0"/>
    <m/>
    <m/>
    <n v="13.2"/>
    <n v="1327.836"/>
    <n v="3.5000000000000003E-2"/>
    <n v="35591.627939999998"/>
    <n v="17527.4352"/>
    <n v="18064.192739999999"/>
  </r>
  <r>
    <x v="45"/>
    <x v="43"/>
    <d v="2025-02-28T00:00:00"/>
    <n v="16"/>
    <x v="0"/>
    <x v="0"/>
    <s v="São Paulo"/>
    <s v="Non-Profit"/>
    <x v="2"/>
    <x v="7"/>
    <x v="0"/>
    <x v="45"/>
    <n v="414.95"/>
    <n v="1027.73"/>
    <n v="1027.73"/>
    <n v="6.3E-2"/>
    <n v="8"/>
    <n v="7703.8640800000003"/>
    <n v="3319.6"/>
    <n v="4384.2640800000008"/>
    <n v="0.56909935513815568"/>
    <d v="2023-08-19T00:00:00"/>
    <s v="Q1-2025"/>
    <s v="Americas → Brazil → São Paulo"/>
    <s v="Medium"/>
    <x v="22"/>
    <d v="2023-01-01T00:00:00"/>
    <n v="25"/>
    <n v="0"/>
    <n v="0"/>
    <m/>
    <m/>
    <n v="9.6"/>
    <n v="477.19249999999994"/>
    <n v="6.3E-2"/>
    <n v="9244.6368960000018"/>
    <n v="4581.0479999999989"/>
    <n v="4663.5888960000029"/>
  </r>
  <r>
    <x v="46"/>
    <x v="44"/>
    <d v="2025-03-31T00:00:00"/>
    <n v="25"/>
    <x v="0"/>
    <x v="0"/>
    <s v="Brasília"/>
    <s v="Non-Profit"/>
    <x v="1"/>
    <x v="9"/>
    <x v="1"/>
    <x v="46"/>
    <n v="331.57"/>
    <n v="548.4"/>
    <n v="548.4"/>
    <n v="9.4E-2"/>
    <n v="10"/>
    <n v="4968.5039999999999"/>
    <n v="3315.7"/>
    <n v="1652.8040000000001"/>
    <n v="0.33265626836568918"/>
    <d v="2023-07-30T00:00:00"/>
    <s v="Q1-2025"/>
    <s v="Americas → Brazil → Brasília"/>
    <s v="Low"/>
    <x v="23"/>
    <d v="2023-01-01T00:00:00"/>
    <n v="26"/>
    <n v="0"/>
    <n v="0"/>
    <m/>
    <m/>
    <n v="12"/>
    <n v="381.30549999999994"/>
    <n v="9.4E-2"/>
    <n v="5962.2047999999995"/>
    <n v="4575.6659999999993"/>
    <n v="1386.5388000000003"/>
  </r>
  <r>
    <x v="47"/>
    <x v="45"/>
    <d v="2025-03-27T00:00:00"/>
    <n v="17"/>
    <x v="0"/>
    <x v="0"/>
    <s v="Rio de Janeiro"/>
    <s v="Enterprise"/>
    <x v="2"/>
    <x v="8"/>
    <x v="4"/>
    <x v="47"/>
    <n v="996.73"/>
    <n v="1217.43"/>
    <n v="1217.43"/>
    <n v="7.0000000000000007E-2"/>
    <n v="9"/>
    <n v="10189.8891"/>
    <n v="8970.57"/>
    <n v="1219.3191000000006"/>
    <n v="0.11965970267527255"/>
    <d v="2023-07-02T00:00:00"/>
    <s v="Q1-2025"/>
    <s v="Americas → Brazil → Rio de Janeiro"/>
    <s v="Medium"/>
    <x v="23"/>
    <d v="2023-01-01T00:00:00"/>
    <n v="26"/>
    <n v="0"/>
    <n v="0"/>
    <m/>
    <m/>
    <n v="10.799999999999999"/>
    <n v="1146.2394999999999"/>
    <n v="7.0000000000000007E-2"/>
    <n v="12227.866919999999"/>
    <n v="12379.386599999998"/>
    <n v="-151.51967999999943"/>
  </r>
  <r>
    <x v="48"/>
    <x v="46"/>
    <d v="2025-04-07T00:00:00"/>
    <n v="8"/>
    <x v="0"/>
    <x v="0"/>
    <s v="São Paulo"/>
    <s v="Non-Profit"/>
    <x v="2"/>
    <x v="11"/>
    <x v="3"/>
    <x v="48"/>
    <n v="71.62"/>
    <n v="118.37"/>
    <n v="118.37"/>
    <n v="0.156"/>
    <n v="11"/>
    <n v="1098.9470800000001"/>
    <n v="787.82"/>
    <n v="311.12708000000009"/>
    <n v="0.28311379652603474"/>
    <d v="2023-07-01T00:00:00"/>
    <s v="Q1-2025"/>
    <s v="Americas → Brazil → São Paulo"/>
    <s v="Low"/>
    <x v="23"/>
    <d v="2023-01-01T00:00:00"/>
    <n v="26"/>
    <n v="0"/>
    <n v="0"/>
    <m/>
    <m/>
    <n v="13.2"/>
    <n v="82.363"/>
    <n v="0.156"/>
    <n v="1318.736496"/>
    <n v="1087.1915999999999"/>
    <n v="231.54489600000011"/>
  </r>
  <r>
    <x v="49"/>
    <x v="47"/>
    <d v="2025-04-30T00:00:00"/>
    <n v="24"/>
    <x v="0"/>
    <x v="0"/>
    <s v="Brasília"/>
    <s v="Education"/>
    <x v="1"/>
    <x v="12"/>
    <x v="0"/>
    <x v="49"/>
    <n v="855.78"/>
    <n v="977.38"/>
    <n v="977.38"/>
    <n v="0.14699999999999999"/>
    <n v="38"/>
    <n v="31680.795320000001"/>
    <n v="32519.64"/>
    <n v="-838.84467999999833"/>
    <n v="-2.6478018355506307E-2"/>
    <d v="2023-06-20T00:00:00"/>
    <s v="Q2-2025"/>
    <s v="Americas → Brazil → Brasília"/>
    <s v="Medium"/>
    <x v="24"/>
    <d v="2023-01-01T00:00:00"/>
    <n v="27"/>
    <n v="0"/>
    <n v="0"/>
    <m/>
    <m/>
    <n v="45.6"/>
    <n v="984.14699999999993"/>
    <n v="0.14699999999999999"/>
    <n v="38016.954383999997"/>
    <n v="44877.103199999998"/>
    <n v="-6860.1488160000008"/>
  </r>
  <r>
    <x v="50"/>
    <x v="48"/>
    <d v="2025-05-06T00:00:00"/>
    <n v="27"/>
    <x v="0"/>
    <x v="0"/>
    <s v="Brasília"/>
    <s v="Enterprise"/>
    <x v="0"/>
    <x v="8"/>
    <x v="6"/>
    <x v="50"/>
    <n v="264.19"/>
    <n v="620.92999999999995"/>
    <n v="620.92999999999995"/>
    <n v="0.14199999999999999"/>
    <n v="12"/>
    <n v="6393.0952799999995"/>
    <n v="3170.2799999999997"/>
    <n v="3222.8152799999998"/>
    <n v="0.50410875152794532"/>
    <d v="2023-06-29T00:00:00"/>
    <s v="Q2-2025"/>
    <s v="Americas → Brazil → Brasília"/>
    <s v="Low"/>
    <x v="24"/>
    <d v="2023-01-01T00:00:00"/>
    <n v="27"/>
    <n v="0"/>
    <n v="0"/>
    <m/>
    <m/>
    <n v="14.399999999999999"/>
    <n v="303.81849999999997"/>
    <n v="0.14199999999999999"/>
    <n v="7671.7143359999982"/>
    <n v="4374.9863999999989"/>
    <n v="3296.7279359999993"/>
  </r>
  <r>
    <x v="51"/>
    <x v="49"/>
    <d v="2025-05-03T00:00:00"/>
    <n v="16"/>
    <x v="0"/>
    <x v="0"/>
    <s v="Rio de Janeiro"/>
    <s v="Consumer"/>
    <x v="0"/>
    <x v="9"/>
    <x v="4"/>
    <x v="51"/>
    <n v="168.68"/>
    <n v="413.34"/>
    <n v="413.34"/>
    <n v="0.186"/>
    <n v="7"/>
    <n v="2355.2113199999999"/>
    <n v="1180.76"/>
    <n v="1174.4513199999999"/>
    <n v="0.49866069767361682"/>
    <d v="2023-05-24T00:00:00"/>
    <s v="Q2-2025"/>
    <s v="Americas → Brazil → Rio de Janeiro"/>
    <s v="Low"/>
    <x v="24"/>
    <d v="2023-01-01T00:00:00"/>
    <n v="27"/>
    <n v="0"/>
    <n v="0"/>
    <m/>
    <m/>
    <n v="8.4"/>
    <n v="193.982"/>
    <n v="0.186"/>
    <n v="2826.253584"/>
    <n v="1629.4488000000001"/>
    <n v="1196.8047839999999"/>
  </r>
  <r>
    <x v="52"/>
    <x v="49"/>
    <d v="2025-04-17T00:00:00"/>
    <n v="0"/>
    <x v="0"/>
    <x v="0"/>
    <s v="São Paulo"/>
    <s v="Corporate"/>
    <x v="3"/>
    <x v="11"/>
    <x v="2"/>
    <x v="52"/>
    <n v="719.41"/>
    <n v="1125.99"/>
    <n v="1125.99"/>
    <n v="4.1000000000000002E-2"/>
    <n v="21"/>
    <n v="22676.312610000001"/>
    <n v="15107.609999999999"/>
    <n v="7568.7026100000021"/>
    <n v="0.33377131194876403"/>
    <d v="2023-05-29T00:00:00"/>
    <s v="Q2-2025"/>
    <s v="Americas → Brazil → São Paulo"/>
    <s v="Medium"/>
    <x v="24"/>
    <d v="2023-01-01T00:00:00"/>
    <n v="27"/>
    <n v="1"/>
    <n v="0"/>
    <m/>
    <m/>
    <n v="25.2"/>
    <n v="827.3214999999999"/>
    <n v="4.1000000000000002E-2"/>
    <n v="27211.575131999998"/>
    <n v="20848.501799999998"/>
    <n v="6363.0733319999999"/>
  </r>
  <r>
    <x v="53"/>
    <x v="50"/>
    <d v="2025-05-06T00:00:00"/>
    <n v="12"/>
    <x v="0"/>
    <x v="0"/>
    <s v="Brasília"/>
    <s v="Consumer"/>
    <x v="1"/>
    <x v="5"/>
    <x v="2"/>
    <x v="53"/>
    <n v="394.13"/>
    <n v="932.29"/>
    <n v="932.29"/>
    <n v="0.109"/>
    <n v="7"/>
    <n v="5814.6927299999998"/>
    <n v="2758.91"/>
    <n v="3055.7827299999999"/>
    <n v="0.5255278089303268"/>
    <d v="2023-06-10T00:00:00"/>
    <s v="Q2-2025"/>
    <s v="Americas → Brazil → Brasília"/>
    <s v="Medium"/>
    <x v="24"/>
    <d v="2023-01-01T00:00:00"/>
    <n v="27"/>
    <n v="0"/>
    <n v="0"/>
    <m/>
    <m/>
    <n v="8.4"/>
    <n v="453.24949999999995"/>
    <n v="0.109"/>
    <n v="6977.6312760000001"/>
    <n v="3807.2957999999999"/>
    <n v="3170.3354760000002"/>
  </r>
  <r>
    <x v="54"/>
    <x v="51"/>
    <d v="2025-05-19T00:00:00"/>
    <n v="2"/>
    <x v="0"/>
    <x v="0"/>
    <s v="São Paulo"/>
    <s v="Small Business"/>
    <x v="3"/>
    <x v="11"/>
    <x v="0"/>
    <x v="54"/>
    <n v="383.77"/>
    <n v="952.56"/>
    <n v="952.56"/>
    <n v="0.34599999999999997"/>
    <n v="10"/>
    <n v="6229.7423999999992"/>
    <n v="3837.7"/>
    <n v="2392.0423999999994"/>
    <n v="0.38397131797937578"/>
    <d v="2023-05-18T00:00:00"/>
    <s v="Q2-2025"/>
    <s v="Americas → Brazil → São Paulo"/>
    <s v="Medium"/>
    <x v="25"/>
    <d v="2023-01-01T00:00:00"/>
    <n v="28"/>
    <n v="1"/>
    <n v="1"/>
    <m/>
    <m/>
    <n v="12"/>
    <n v="441.33549999999997"/>
    <n v="0.25"/>
    <n v="8573.0399999999991"/>
    <n v="5296.0259999999998"/>
    <n v="3277.0139999999992"/>
  </r>
  <r>
    <x v="55"/>
    <x v="52"/>
    <d v="2025-06-09T00:00:00"/>
    <n v="19"/>
    <x v="0"/>
    <x v="0"/>
    <s v="São Paulo"/>
    <s v="Non-Profit"/>
    <x v="1"/>
    <x v="4"/>
    <x v="1"/>
    <x v="55"/>
    <n v="1331.38"/>
    <n v="2309.56"/>
    <n v="2309.56"/>
    <n v="0.14899999999999999"/>
    <n v="31"/>
    <n v="60928.502359999999"/>
    <n v="41272.780000000006"/>
    <n v="19655.722359999992"/>
    <n v="0.32260307735553528"/>
    <d v="2023-05-04T00:00:00"/>
    <s v="Q2-2025"/>
    <s v="Americas → Brazil → São Paulo"/>
    <s v="High"/>
    <x v="25"/>
    <d v="2023-01-01T00:00:00"/>
    <n v="28"/>
    <n v="0"/>
    <n v="0"/>
    <m/>
    <m/>
    <n v="37.199999999999996"/>
    <n v="1531.087"/>
    <n v="0.14899999999999999"/>
    <n v="73114.202831999981"/>
    <n v="56956.436399999991"/>
    <n v="16157.766431999989"/>
  </r>
  <r>
    <x v="56"/>
    <x v="53"/>
    <d v="2025-08-05T00:00:00"/>
    <n v="16"/>
    <x v="0"/>
    <x v="0"/>
    <s v="Brasília"/>
    <s v="Enterprise"/>
    <x v="0"/>
    <x v="2"/>
    <x v="5"/>
    <x v="56"/>
    <n v="1068.17"/>
    <n v="2375.37"/>
    <n v="2375.37"/>
    <n v="0.109"/>
    <n v="18"/>
    <n v="38096.18406"/>
    <n v="19227.060000000001"/>
    <n v="18869.124059999998"/>
    <n v="0.49530220744108822"/>
    <d v="2023-03-06T00:00:00"/>
    <s v="Q3-2025"/>
    <s v="Americas → Brazil → Brasília"/>
    <s v="High"/>
    <x v="26"/>
    <d v="2023-01-01T00:00:00"/>
    <n v="30"/>
    <n v="0"/>
    <n v="0"/>
    <m/>
    <m/>
    <n v="21.599999999999998"/>
    <n v="1228.3955000000001"/>
    <n v="0.109"/>
    <n v="45715.420871999995"/>
    <n v="26533.342799999999"/>
    <n v="19182.078071999997"/>
  </r>
  <r>
    <x v="57"/>
    <x v="54"/>
    <d v="2025-08-23T00:00:00"/>
    <n v="17"/>
    <x v="0"/>
    <x v="0"/>
    <s v="Brasília"/>
    <s v="Consumer"/>
    <x v="3"/>
    <x v="4"/>
    <x v="0"/>
    <x v="57"/>
    <n v="86.64"/>
    <n v="213.06"/>
    <n v="213.06"/>
    <n v="0.21199999999999999"/>
    <n v="11"/>
    <n v="1846.8040799999999"/>
    <n v="953.04"/>
    <n v="893.76407999999992"/>
    <n v="0.48395175735154322"/>
    <d v="2023-02-24T00:00:00"/>
    <s v="Q3-2025"/>
    <s v="Americas → Brazil → Brasília"/>
    <s v="Low"/>
    <x v="27"/>
    <d v="2023-01-01T00:00:00"/>
    <n v="31"/>
    <n v="0"/>
    <n v="1"/>
    <m/>
    <m/>
    <n v="13.2"/>
    <n v="99.635999999999996"/>
    <n v="0.21199999999999999"/>
    <n v="2216.1648959999998"/>
    <n v="1315.1951999999999"/>
    <n v="900.96969599999989"/>
  </r>
  <r>
    <x v="58"/>
    <x v="55"/>
    <d v="2025-09-11T00:00:00"/>
    <n v="28"/>
    <x v="0"/>
    <x v="0"/>
    <s v="São Paulo"/>
    <s v="Non-Profit"/>
    <x v="2"/>
    <x v="8"/>
    <x v="3"/>
    <x v="58"/>
    <n v="1203.02"/>
    <n v="2439.33"/>
    <n v="2439.33"/>
    <n v="0"/>
    <n v="18"/>
    <n v="43907.94"/>
    <n v="21654.36"/>
    <n v="22253.58"/>
    <n v="0.50682359500354612"/>
    <d v="2023-01-29T00:00:00"/>
    <s v="Q3-2025"/>
    <s v="Americas → Brazil → São Paulo"/>
    <s v="High"/>
    <x v="27"/>
    <d v="2023-01-01T00:00:00"/>
    <n v="31"/>
    <n v="0"/>
    <n v="0"/>
    <m/>
    <m/>
    <n v="21.599999999999998"/>
    <n v="1383.473"/>
    <n v="0"/>
    <n v="52689.527999999991"/>
    <n v="29883.016799999998"/>
    <n v="22806.511199999994"/>
  </r>
  <r>
    <x v="59"/>
    <x v="56"/>
    <d v="2025-09-30T00:00:00"/>
    <n v="29"/>
    <x v="0"/>
    <x v="0"/>
    <s v="Brasília"/>
    <s v="Education"/>
    <x v="4"/>
    <x v="12"/>
    <x v="5"/>
    <x v="59"/>
    <n v="780.59"/>
    <n v="631.57000000000005"/>
    <n v="631.57000000000005"/>
    <n v="0"/>
    <n v="12"/>
    <n v="7578.84"/>
    <n v="9367.08"/>
    <n v="-1788.2399999999998"/>
    <n v="-0.23595167598207639"/>
    <d v="2023-01-29T00:00:00"/>
    <s v="Q3-2025"/>
    <s v="Americas → Brazil → Brasília"/>
    <s v="Low"/>
    <x v="28"/>
    <d v="2023-01-01T00:00:00"/>
    <n v="32"/>
    <n v="0"/>
    <n v="0"/>
    <m/>
    <m/>
    <n v="14.399999999999999"/>
    <n v="897.67849999999999"/>
    <n v="0"/>
    <n v="9094.6080000000002"/>
    <n v="12926.570399999999"/>
    <n v="-3831.9623999999985"/>
  </r>
  <r>
    <x v="60"/>
    <x v="57"/>
    <d v="2025-10-05T00:00:00"/>
    <n v="27"/>
    <x v="0"/>
    <x v="0"/>
    <s v="Rio de Janeiro"/>
    <s v="Education"/>
    <x v="1"/>
    <x v="5"/>
    <x v="0"/>
    <x v="60"/>
    <n v="660.78"/>
    <n v="1630.39"/>
    <n v="1630.39"/>
    <n v="0.218"/>
    <n v="13"/>
    <n v="16574.544740000001"/>
    <n v="8590.14"/>
    <n v="7984.4047400000018"/>
    <n v="0.48172694123724097"/>
    <d v="2023-01-27T00:00:00"/>
    <s v="Q3-2025"/>
    <s v="Americas → Brazil → Rio de Janeiro"/>
    <s v="Medium"/>
    <x v="28"/>
    <d v="2023-01-01T00:00:00"/>
    <n v="32"/>
    <n v="0"/>
    <n v="1"/>
    <m/>
    <m/>
    <n v="15.6"/>
    <n v="759.89699999999993"/>
    <n v="0.218"/>
    <n v="19889.453688000001"/>
    <n v="11854.393199999999"/>
    <n v="8035.0604880000028"/>
  </r>
  <r>
    <x v="61"/>
    <x v="58"/>
    <d v="2025-09-18T00:00:00"/>
    <n v="3"/>
    <x v="0"/>
    <x v="0"/>
    <s v="Rio de Janeiro"/>
    <s v="Non-Profit"/>
    <x v="2"/>
    <x v="11"/>
    <x v="5"/>
    <x v="61"/>
    <n v="5.5"/>
    <n v="5.92"/>
    <n v="5.92"/>
    <n v="0.21199999999999999"/>
    <n v="4"/>
    <n v="18.659839999999999"/>
    <n v="22"/>
    <n v="-3.3401600000000009"/>
    <n v="-0.17900260666758133"/>
    <d v="2023-01-02T00:00:00"/>
    <s v="Q3-2025"/>
    <s v="Americas → Brazil → Rio de Janeiro"/>
    <s v="Low"/>
    <x v="28"/>
    <d v="2023-01-01T00:00:00"/>
    <n v="32"/>
    <n v="1"/>
    <n v="1"/>
    <m/>
    <m/>
    <n v="4.8"/>
    <n v="6.3249999999999993"/>
    <n v="0.21199999999999999"/>
    <n v="22.391808000000001"/>
    <n v="30.359999999999996"/>
    <n v="-7.9681919999999948"/>
  </r>
  <r>
    <x v="62"/>
    <x v="59"/>
    <d v="2023-01-05T00:00:00"/>
    <n v="3"/>
    <x v="0"/>
    <x v="1"/>
    <s v="Toronto"/>
    <s v="Corporate"/>
    <x v="3"/>
    <x v="7"/>
    <x v="6"/>
    <x v="62"/>
    <n v="315.87"/>
    <n v="591.67999999999995"/>
    <n v="591.67999999999995"/>
    <n v="0"/>
    <n v="7"/>
    <n v="4141.7599999999993"/>
    <n v="2211.09"/>
    <n v="1930.6699999999992"/>
    <n v="0.46614724175229844"/>
    <d v="2025-09-08T00:00:00"/>
    <s v="Q1-2023"/>
    <s v="Americas → Canada → Toronto"/>
    <s v="Low"/>
    <x v="0"/>
    <d v="2023-01-01T00:00:00"/>
    <n v="0"/>
    <n v="1"/>
    <n v="0"/>
    <m/>
    <m/>
    <n v="8.4"/>
    <n v="363.25049999999999"/>
    <n v="0"/>
    <n v="4970.1120000000001"/>
    <n v="3051.3042"/>
    <n v="1918.8078"/>
  </r>
  <r>
    <x v="63"/>
    <x v="60"/>
    <d v="2023-03-25T00:00:00"/>
    <n v="30"/>
    <x v="0"/>
    <x v="1"/>
    <s v="Montreal"/>
    <s v="Enterprise"/>
    <x v="1"/>
    <x v="0"/>
    <x v="2"/>
    <x v="63"/>
    <n v="1242.6600000000001"/>
    <n v="1794.07"/>
    <n v="1794.07"/>
    <n v="8.8999999999999996E-2"/>
    <n v="16"/>
    <n v="26150.364320000001"/>
    <n v="19882.560000000001"/>
    <n v="6267.8043199999993"/>
    <n v="0.23968325042440553"/>
    <d v="2025-08-05T00:00:00"/>
    <s v="Q1-2023"/>
    <s v="Americas → Canada → Montreal"/>
    <s v="High"/>
    <x v="1"/>
    <d v="2023-01-01T00:00:00"/>
    <n v="1"/>
    <n v="0"/>
    <n v="0"/>
    <m/>
    <m/>
    <n v="19.2"/>
    <n v="1429.059"/>
    <n v="8.8999999999999996E-2"/>
    <n v="31380.437184000002"/>
    <n v="27437.932799999999"/>
    <n v="3942.5043840000035"/>
  </r>
  <r>
    <x v="64"/>
    <x v="61"/>
    <d v="2023-03-24T00:00:00"/>
    <n v="20"/>
    <x v="0"/>
    <x v="1"/>
    <s v="Montreal"/>
    <s v="Consumer"/>
    <x v="3"/>
    <x v="14"/>
    <x v="6"/>
    <x v="64"/>
    <n v="481.71"/>
    <n v="912.45"/>
    <n v="912.45"/>
    <n v="0.20300000000000001"/>
    <n v="24"/>
    <n v="17453.3436"/>
    <n v="11561.039999999999"/>
    <n v="5892.3036000000011"/>
    <n v="0.33760313983619739"/>
    <d v="2025-07-27T00:00:00"/>
    <s v="Q1-2023"/>
    <s v="Americas → Canada → Montreal"/>
    <s v="Medium"/>
    <x v="2"/>
    <d v="2023-01-01T00:00:00"/>
    <n v="2"/>
    <n v="0"/>
    <n v="1"/>
    <m/>
    <m/>
    <n v="28.799999999999997"/>
    <n v="553.96649999999988"/>
    <n v="0.20300000000000001"/>
    <n v="20944.012319999998"/>
    <n v="15954.235199999996"/>
    <n v="4989.7771200000025"/>
  </r>
  <r>
    <x v="65"/>
    <x v="62"/>
    <d v="2023-04-16T00:00:00"/>
    <n v="11"/>
    <x v="0"/>
    <x v="1"/>
    <s v="Vancouver"/>
    <s v="Non-Profit"/>
    <x v="1"/>
    <x v="13"/>
    <x v="0"/>
    <x v="65"/>
    <n v="213.1"/>
    <n v="501.31"/>
    <n v="501.31"/>
    <n v="5.6000000000000001E-2"/>
    <n v="15"/>
    <n v="7098.5495999999994"/>
    <n v="3196.5"/>
    <n v="3902.0495999999994"/>
    <n v="0.54969674368409005"/>
    <d v="2025-07-11T00:00:00"/>
    <s v="Q2-2023"/>
    <s v="Americas → Canada → Vancouver"/>
    <s v="Low"/>
    <x v="3"/>
    <d v="2023-01-01T00:00:00"/>
    <n v="3"/>
    <n v="0"/>
    <n v="0"/>
    <m/>
    <m/>
    <n v="18"/>
    <n v="245.06499999999997"/>
    <n v="5.6000000000000001E-2"/>
    <n v="8518.2595199999996"/>
    <n v="4411.1699999999992"/>
    <n v="4107.0895200000004"/>
  </r>
  <r>
    <x v="66"/>
    <x v="63"/>
    <d v="2023-05-02T00:00:00"/>
    <n v="19"/>
    <x v="0"/>
    <x v="1"/>
    <s v="Montreal"/>
    <s v="Consumer"/>
    <x v="3"/>
    <x v="6"/>
    <x v="0"/>
    <x v="66"/>
    <n v="671.05"/>
    <n v="1645.48"/>
    <n v="1645.48"/>
    <n v="0.13700000000000001"/>
    <n v="6"/>
    <n v="8520.2954399999999"/>
    <n v="4026.2999999999997"/>
    <n v="4493.9954400000006"/>
    <n v="0.52744596377517172"/>
    <d v="2025-06-26T00:00:00"/>
    <s v="Q2-2023"/>
    <s v="Americas → Canada → Montreal"/>
    <s v="High"/>
    <x v="3"/>
    <d v="2023-01-01T00:00:00"/>
    <n v="3"/>
    <n v="0"/>
    <n v="0"/>
    <m/>
    <m/>
    <n v="7.1999999999999993"/>
    <n v="771.70749999999987"/>
    <n v="0.13700000000000001"/>
    <n v="10224.354527999998"/>
    <n v="5556.2939999999981"/>
    <n v="4668.060528"/>
  </r>
  <r>
    <x v="67"/>
    <x v="64"/>
    <d v="2023-06-24T00:00:00"/>
    <n v="11"/>
    <x v="0"/>
    <x v="1"/>
    <s v="Toronto"/>
    <s v="Corporate"/>
    <x v="1"/>
    <x v="5"/>
    <x v="3"/>
    <x v="67"/>
    <n v="247.07"/>
    <n v="495.19"/>
    <n v="495.19"/>
    <n v="2.8000000000000001E-2"/>
    <n v="4"/>
    <n v="1925.29872"/>
    <n v="988.28"/>
    <n v="937.01872000000003"/>
    <n v="0.48668744764968214"/>
    <d v="2025-04-22T00:00:00"/>
    <s v="Q2-2023"/>
    <s v="Americas → Canada → Toronto"/>
    <s v="Low"/>
    <x v="5"/>
    <d v="2023-01-01T00:00:00"/>
    <n v="5"/>
    <n v="0"/>
    <n v="0"/>
    <m/>
    <m/>
    <n v="4.8"/>
    <n v="284.13049999999998"/>
    <n v="2.8000000000000001E-2"/>
    <n v="2310.3584639999999"/>
    <n v="1363.8263999999999"/>
    <n v="946.53206399999999"/>
  </r>
  <r>
    <x v="68"/>
    <x v="65"/>
    <d v="2023-06-24T00:00:00"/>
    <n v="2"/>
    <x v="0"/>
    <x v="1"/>
    <s v="Toronto"/>
    <s v="Non-Profit"/>
    <x v="4"/>
    <x v="3"/>
    <x v="5"/>
    <x v="68"/>
    <n v="471.42"/>
    <n v="824.81"/>
    <n v="824.81"/>
    <n v="8.7999999999999995E-2"/>
    <n v="15"/>
    <n v="11283.400799999999"/>
    <n v="7071.3"/>
    <n v="4212.1007999999993"/>
    <n v="0.37330064531608231"/>
    <d v="2025-03-25T00:00:00"/>
    <s v="Q2-2023"/>
    <s v="Americas → Canada → Toronto"/>
    <s v="Medium"/>
    <x v="5"/>
    <d v="2023-01-01T00:00:00"/>
    <n v="5"/>
    <n v="1"/>
    <n v="0"/>
    <m/>
    <m/>
    <n v="18"/>
    <n v="542.13299999999992"/>
    <n v="8.7999999999999995E-2"/>
    <n v="13540.080959999999"/>
    <n v="9758.3939999999984"/>
    <n v="3781.6869600000009"/>
  </r>
  <r>
    <x v="69"/>
    <x v="7"/>
    <d v="2023-07-18T00:00:00"/>
    <n v="25"/>
    <x v="0"/>
    <x v="1"/>
    <s v="Vancouver"/>
    <s v="Enterprise"/>
    <x v="1"/>
    <x v="1"/>
    <x v="2"/>
    <x v="69"/>
    <n v="807.02"/>
    <n v="1435.54"/>
    <n v="1435.54"/>
    <n v="0"/>
    <n v="23"/>
    <n v="33017.42"/>
    <n v="18561.46"/>
    <n v="14455.96"/>
    <n v="0.43782827368098415"/>
    <d v="2025-04-04T00:00:00"/>
    <s v="Q2-2023"/>
    <s v="Americas → Canada → Vancouver"/>
    <s v="Medium"/>
    <x v="5"/>
    <d v="2023-01-01T00:00:00"/>
    <n v="5"/>
    <n v="0"/>
    <n v="0"/>
    <m/>
    <m/>
    <n v="27.599999999999998"/>
    <n v="928.07299999999987"/>
    <n v="0"/>
    <n v="39620.903999999995"/>
    <n v="25614.814799999993"/>
    <n v="14006.089200000002"/>
  </r>
  <r>
    <x v="70"/>
    <x v="66"/>
    <d v="2023-08-13T00:00:00"/>
    <n v="20"/>
    <x v="0"/>
    <x v="1"/>
    <s v="Montreal"/>
    <s v="Education"/>
    <x v="2"/>
    <x v="5"/>
    <x v="0"/>
    <x v="70"/>
    <n v="1082.3800000000001"/>
    <n v="1766.55"/>
    <n v="1766.55"/>
    <n v="0.16400000000000001"/>
    <n v="20"/>
    <n v="29536.716"/>
    <n v="21647.600000000002"/>
    <n v="7889.1159999999982"/>
    <n v="0.26709523157550752"/>
    <d v="2025-02-25T00:00:00"/>
    <s v="Q3-2023"/>
    <s v="Americas → Canada → Montreal"/>
    <s v="High"/>
    <x v="6"/>
    <d v="2023-01-01T00:00:00"/>
    <n v="6"/>
    <n v="0"/>
    <n v="0"/>
    <m/>
    <m/>
    <n v="24"/>
    <n v="1244.7370000000001"/>
    <n v="0.16400000000000001"/>
    <n v="35444.059199999996"/>
    <n v="29873.688000000002"/>
    <n v="5570.3711999999941"/>
  </r>
  <r>
    <x v="71"/>
    <x v="67"/>
    <d v="2023-08-19T00:00:00"/>
    <n v="17"/>
    <x v="0"/>
    <x v="1"/>
    <s v="Vancouver"/>
    <s v="Corporate"/>
    <x v="1"/>
    <x v="8"/>
    <x v="4"/>
    <x v="71"/>
    <n v="175.38"/>
    <n v="347.9"/>
    <n v="347.9"/>
    <n v="7.1999999999999995E-2"/>
    <n v="43"/>
    <n v="13882.6016"/>
    <n v="7541.34"/>
    <n v="6341.2615999999998"/>
    <n v="0.45677761148169804"/>
    <d v="2025-02-02T00:00:00"/>
    <s v="Q3-2023"/>
    <s v="Americas → Canada → Vancouver"/>
    <s v="Low"/>
    <x v="7"/>
    <d v="2023-01-01T00:00:00"/>
    <n v="7"/>
    <n v="0"/>
    <n v="0"/>
    <m/>
    <m/>
    <n v="51.6"/>
    <n v="201.68699999999998"/>
    <n v="7.1999999999999995E-2"/>
    <n v="16659.121920000001"/>
    <n v="10407.049199999999"/>
    <n v="6252.0727200000019"/>
  </r>
  <r>
    <x v="72"/>
    <x v="68"/>
    <d v="2023-09-12T00:00:00"/>
    <n v="24"/>
    <x v="0"/>
    <x v="1"/>
    <s v="Vancouver"/>
    <s v="Enterprise"/>
    <x v="4"/>
    <x v="14"/>
    <x v="3"/>
    <x v="72"/>
    <n v="1183.95"/>
    <n v="1503.53"/>
    <n v="1503.53"/>
    <n v="0.24099999999999999"/>
    <n v="16"/>
    <n v="18258.868320000001"/>
    <n v="18943.2"/>
    <n v="-684.33167999999932"/>
    <n v="-3.7479413729623705E-2"/>
    <d v="2025-02-06T00:00:00"/>
    <s v="Q3-2023"/>
    <s v="Americas → Canada → Vancouver"/>
    <s v="Medium"/>
    <x v="7"/>
    <d v="2023-01-01T00:00:00"/>
    <n v="7"/>
    <n v="0"/>
    <n v="1"/>
    <m/>
    <m/>
    <n v="19.2"/>
    <n v="1361.5425"/>
    <n v="0.24099999999999999"/>
    <n v="21910.641983999998"/>
    <n v="26141.615999999998"/>
    <n v="-4230.9740160000001"/>
  </r>
  <r>
    <x v="73"/>
    <x v="69"/>
    <d v="2023-09-04T00:00:00"/>
    <n v="14"/>
    <x v="0"/>
    <x v="1"/>
    <s v="Montreal"/>
    <s v="Education"/>
    <x v="3"/>
    <x v="8"/>
    <x v="1"/>
    <x v="73"/>
    <n v="178.19"/>
    <n v="284.43"/>
    <n v="284.43"/>
    <n v="8.8999999999999996E-2"/>
    <n v="8"/>
    <n v="2072.9258400000003"/>
    <n v="1425.52"/>
    <n v="647.40584000000035"/>
    <n v="0.31231500302972742"/>
    <d v="2025-02-04T00:00:00"/>
    <s v="Q3-2023"/>
    <s v="Americas → Canada → Montreal"/>
    <s v="Low"/>
    <x v="7"/>
    <d v="2023-01-01T00:00:00"/>
    <n v="7"/>
    <n v="0"/>
    <n v="0"/>
    <m/>
    <m/>
    <n v="9.6"/>
    <n v="204.91849999999999"/>
    <n v="8.8999999999999996E-2"/>
    <n v="2487.5110079999999"/>
    <n v="1967.2175999999999"/>
    <n v="520.293408"/>
  </r>
  <r>
    <x v="74"/>
    <x v="70"/>
    <d v="2023-09-13T00:00:00"/>
    <n v="15"/>
    <x v="0"/>
    <x v="1"/>
    <s v="Vancouver"/>
    <s v="Small Business"/>
    <x v="0"/>
    <x v="13"/>
    <x v="3"/>
    <x v="74"/>
    <n v="1287.6400000000001"/>
    <n v="2717.15"/>
    <n v="2717.15"/>
    <n v="3.2000000000000001E-2"/>
    <n v="7"/>
    <n v="18411.4084"/>
    <n v="9013.4800000000014"/>
    <n v="9397.9283999999989"/>
    <n v="0.51044049405802105"/>
    <d v="2025-01-11T00:00:00"/>
    <s v="Q3-2023"/>
    <s v="Americas → Canada → Vancouver"/>
    <s v="High"/>
    <x v="7"/>
    <d v="2023-01-01T00:00:00"/>
    <n v="7"/>
    <n v="0"/>
    <n v="0"/>
    <m/>
    <m/>
    <n v="8.4"/>
    <n v="1480.7860000000001"/>
    <n v="3.2000000000000001E-2"/>
    <n v="22093.69008"/>
    <n v="12438.602400000002"/>
    <n v="9655.0876799999987"/>
  </r>
  <r>
    <x v="75"/>
    <x v="71"/>
    <d v="2023-10-02T00:00:00"/>
    <n v="24"/>
    <x v="0"/>
    <x v="1"/>
    <s v="Toronto"/>
    <s v="Education"/>
    <x v="2"/>
    <x v="4"/>
    <x v="5"/>
    <x v="75"/>
    <n v="1299.03"/>
    <n v="2451.2199999999998"/>
    <n v="2451.2199999999998"/>
    <n v="0.20799999999999999"/>
    <n v="8"/>
    <n v="15530.929919999999"/>
    <n v="10392.24"/>
    <n v="5138.6899199999989"/>
    <n v="0.3308681416032041"/>
    <d v="2025-01-07T00:00:00"/>
    <s v="Q3-2023"/>
    <s v="Americas → Canada → Toronto"/>
    <s v="High"/>
    <x v="8"/>
    <d v="2023-01-01T00:00:00"/>
    <n v="8"/>
    <n v="0"/>
    <n v="1"/>
    <m/>
    <m/>
    <n v="9.6"/>
    <n v="1493.8844999999999"/>
    <n v="0.20799999999999999"/>
    <n v="18637.115903999998"/>
    <n v="14341.291199999998"/>
    <n v="4295.8247040000006"/>
  </r>
  <r>
    <x v="76"/>
    <x v="72"/>
    <d v="2023-11-16T00:00:00"/>
    <n v="25"/>
    <x v="0"/>
    <x v="1"/>
    <s v="Toronto"/>
    <s v="Small Business"/>
    <x v="0"/>
    <x v="14"/>
    <x v="6"/>
    <x v="76"/>
    <n v="1373.31"/>
    <n v="3154.14"/>
    <n v="3154.14"/>
    <n v="0.2"/>
    <n v="11"/>
    <n v="27756.432000000001"/>
    <n v="15106.41"/>
    <n v="12650.022000000001"/>
    <n v="0.45575101295440279"/>
    <d v="2024-11-30T00:00:00"/>
    <s v="Q4-2023"/>
    <s v="Americas → Canada → Toronto"/>
    <s v="High"/>
    <x v="9"/>
    <d v="2023-01-01T00:00:00"/>
    <n v="9"/>
    <n v="0"/>
    <n v="0"/>
    <m/>
    <m/>
    <n v="13.2"/>
    <n v="1579.3064999999999"/>
    <n v="0.2"/>
    <n v="33307.718399999998"/>
    <n v="20846.845799999999"/>
    <n v="12460.872599999999"/>
  </r>
  <r>
    <x v="77"/>
    <x v="21"/>
    <d v="2024-01-01T00:00:00"/>
    <n v="13"/>
    <x v="0"/>
    <x v="1"/>
    <s v="Toronto"/>
    <s v="Enterprise"/>
    <x v="4"/>
    <x v="12"/>
    <x v="0"/>
    <x v="77"/>
    <n v="856.1"/>
    <n v="901.48"/>
    <n v="901.48"/>
    <n v="5.6000000000000001E-2"/>
    <n v="17"/>
    <n v="14466.95104"/>
    <n v="14553.7"/>
    <n v="-86.748960000000807"/>
    <n v="-5.9963540182134192E-3"/>
    <d v="2024-11-04T00:00:00"/>
    <s v="Q4-2023"/>
    <s v="Americas → Canada → Toronto"/>
    <s v="Medium"/>
    <x v="11"/>
    <d v="2023-01-01T00:00:00"/>
    <n v="11"/>
    <n v="0"/>
    <n v="0"/>
    <m/>
    <m/>
    <n v="20.399999999999999"/>
    <n v="984.51499999999999"/>
    <n v="5.6000000000000001E-2"/>
    <n v="17360.341247999997"/>
    <n v="20084.106"/>
    <n v="-2723.7647520000028"/>
  </r>
  <r>
    <x v="78"/>
    <x v="73"/>
    <d v="2024-01-02T00:00:00"/>
    <n v="0"/>
    <x v="0"/>
    <x v="1"/>
    <s v="Vancouver"/>
    <s v="Education"/>
    <x v="2"/>
    <x v="4"/>
    <x v="6"/>
    <x v="78"/>
    <n v="444.41"/>
    <n v="754.24"/>
    <n v="754.24"/>
    <n v="0.20699999999999999"/>
    <n v="32"/>
    <n v="19139.594240000002"/>
    <n v="14221.12"/>
    <n v="4918.4742400000014"/>
    <n v="0.25697902360546598"/>
    <d v="2024-10-10T00:00:00"/>
    <s v="Q1-2024"/>
    <s v="Americas → Canada → Vancouver"/>
    <s v="Low"/>
    <x v="12"/>
    <d v="2023-01-01T00:00:00"/>
    <n v="12"/>
    <n v="1"/>
    <n v="1"/>
    <m/>
    <m/>
    <n v="38.4"/>
    <n v="511.07150000000001"/>
    <n v="0.20699999999999999"/>
    <n v="22967.513088"/>
    <n v="19625.1456"/>
    <n v="3342.3674879999999"/>
  </r>
  <r>
    <x v="79"/>
    <x v="74"/>
    <d v="2024-03-04T00:00:00"/>
    <n v="17"/>
    <x v="0"/>
    <x v="1"/>
    <s v="Montreal"/>
    <s v="Non-Profit"/>
    <x v="4"/>
    <x v="0"/>
    <x v="6"/>
    <x v="79"/>
    <n v="1350.98"/>
    <n v="2210.4"/>
    <n v="2210.4"/>
    <n v="0.26300000000000001"/>
    <n v="6"/>
    <n v="9774.3888000000006"/>
    <n v="8105.88"/>
    <n v="1668.5088000000005"/>
    <n v="0.17070211080615091"/>
    <d v="2024-08-14T00:00:00"/>
    <s v="Q1-2024"/>
    <s v="Americas → Canada → Montreal"/>
    <s v="High"/>
    <x v="13"/>
    <d v="2023-01-01T00:00:00"/>
    <n v="13"/>
    <n v="0"/>
    <n v="1"/>
    <m/>
    <m/>
    <n v="7.1999999999999993"/>
    <n v="1553.627"/>
    <n v="0.25"/>
    <n v="11936.16"/>
    <n v="11186.114399999999"/>
    <n v="750.04560000000129"/>
  </r>
  <r>
    <x v="80"/>
    <x v="75"/>
    <d v="2024-03-16T00:00:00"/>
    <n v="14"/>
    <x v="0"/>
    <x v="1"/>
    <s v="Vancouver"/>
    <s v="Non-Profit"/>
    <x v="2"/>
    <x v="13"/>
    <x v="3"/>
    <x v="80"/>
    <n v="248.24"/>
    <n v="464.05"/>
    <n v="464.05"/>
    <n v="0.16900000000000001"/>
    <n v="11"/>
    <n v="4241.88105"/>
    <n v="2730.6400000000003"/>
    <n v="1511.2410499999996"/>
    <n v="0.3562667203975462"/>
    <d v="2024-08-03T00:00:00"/>
    <s v="Q1-2024"/>
    <s v="Americas → Canada → Vancouver"/>
    <s v="Low"/>
    <x v="29"/>
    <d v="2023-01-01T00:00:00"/>
    <n v="14"/>
    <n v="0"/>
    <n v="0"/>
    <m/>
    <m/>
    <n v="13.2"/>
    <n v="285.476"/>
    <n v="0.16900000000000001"/>
    <n v="5090.2572599999994"/>
    <n v="3768.2831999999999"/>
    <n v="1321.9740599999996"/>
  </r>
  <r>
    <x v="81"/>
    <x v="76"/>
    <d v="2024-04-09T00:00:00"/>
    <n v="25"/>
    <x v="0"/>
    <x v="1"/>
    <s v="Vancouver"/>
    <s v="Consumer"/>
    <x v="1"/>
    <x v="8"/>
    <x v="0"/>
    <x v="81"/>
    <n v="648.64"/>
    <n v="815.19"/>
    <n v="815.19"/>
    <n v="0.22500000000000001"/>
    <n v="28"/>
    <n v="17689.623"/>
    <n v="18161.919999999998"/>
    <n v="-472.29699999999866"/>
    <n v="-2.6699099240272032E-2"/>
    <d v="2024-06-30T00:00:00"/>
    <s v="Q1-2024"/>
    <s v="Americas → Canada → Vancouver"/>
    <s v="Low"/>
    <x v="29"/>
    <d v="2023-01-01T00:00:00"/>
    <n v="14"/>
    <n v="0"/>
    <n v="1"/>
    <m/>
    <m/>
    <n v="33.6"/>
    <n v="745.93599999999992"/>
    <n v="0.22500000000000001"/>
    <n v="21227.547600000002"/>
    <n v="25063.4496"/>
    <n v="-3835.9019999999982"/>
  </r>
  <r>
    <x v="82"/>
    <x v="77"/>
    <d v="2024-06-02T00:00:00"/>
    <n v="13"/>
    <x v="0"/>
    <x v="1"/>
    <s v="Vancouver"/>
    <s v="Enterprise"/>
    <x v="0"/>
    <x v="12"/>
    <x v="1"/>
    <x v="82"/>
    <n v="675.43"/>
    <n v="996.36"/>
    <n v="996.36"/>
    <n v="0.182"/>
    <n v="22"/>
    <n v="17930.494560000003"/>
    <n v="14859.46"/>
    <n v="3071.0345600000037"/>
    <n v="0.17127439233332575"/>
    <d v="2024-05-17T00:00:00"/>
    <s v="Q2-2024"/>
    <s v="Americas → Canada → Vancouver"/>
    <s v="Medium"/>
    <x v="15"/>
    <d v="2023-01-01T00:00:00"/>
    <n v="16"/>
    <n v="0"/>
    <n v="0"/>
    <m/>
    <m/>
    <n v="26.4"/>
    <n v="776.7444999999999"/>
    <n v="0.182"/>
    <n v="21516.593472"/>
    <n v="20506.054799999998"/>
    <n v="1010.5386720000024"/>
  </r>
  <r>
    <x v="83"/>
    <x v="78"/>
    <d v="2024-06-24T00:00:00"/>
    <n v="21"/>
    <x v="0"/>
    <x v="1"/>
    <s v="Toronto"/>
    <s v="Small Business"/>
    <x v="2"/>
    <x v="2"/>
    <x v="0"/>
    <x v="83"/>
    <n v="1205.5"/>
    <n v="2210.17"/>
    <n v="2210.17"/>
    <n v="0.104"/>
    <n v="23"/>
    <n v="45547.183360000003"/>
    <n v="27726.5"/>
    <n v="17820.683360000003"/>
    <n v="0.39125763758314652"/>
    <d v="2024-05-07T00:00:00"/>
    <s v="Q2-2024"/>
    <s v="Americas → Canada → Toronto"/>
    <s v="High"/>
    <x v="16"/>
    <d v="2023-01-01T00:00:00"/>
    <n v="17"/>
    <n v="0"/>
    <n v="0"/>
    <m/>
    <m/>
    <n v="27.599999999999998"/>
    <n v="1386.3249999999998"/>
    <n v="0.104"/>
    <n v="54656.620031999999"/>
    <n v="38262.569999999992"/>
    <n v="16394.050032000006"/>
  </r>
  <r>
    <x v="84"/>
    <x v="79"/>
    <d v="2024-07-06T00:00:00"/>
    <n v="21"/>
    <x v="0"/>
    <x v="1"/>
    <s v="Toronto"/>
    <s v="Enterprise"/>
    <x v="3"/>
    <x v="11"/>
    <x v="3"/>
    <x v="84"/>
    <n v="817.23"/>
    <n v="1467.17"/>
    <n v="1467.17"/>
    <n v="0.245"/>
    <n v="9"/>
    <n v="9969.4201499999999"/>
    <n v="7355.07"/>
    <n v="2614.3501500000002"/>
    <n v="0.26223693160328893"/>
    <d v="2024-04-03T00:00:00"/>
    <s v="Q2-2024"/>
    <s v="Americas → Canada → Toronto"/>
    <s v="Medium"/>
    <x v="16"/>
    <d v="2023-01-01T00:00:00"/>
    <n v="17"/>
    <n v="0"/>
    <n v="1"/>
    <m/>
    <m/>
    <n v="10.799999999999999"/>
    <n v="939.81449999999995"/>
    <n v="0.245"/>
    <n v="11963.304179999999"/>
    <n v="10149.996599999999"/>
    <n v="1813.3075800000006"/>
  </r>
  <r>
    <x v="85"/>
    <x v="80"/>
    <d v="2024-08-02T00:00:00"/>
    <n v="8"/>
    <x v="0"/>
    <x v="1"/>
    <s v="Montreal"/>
    <s v="Consumer"/>
    <x v="2"/>
    <x v="9"/>
    <x v="5"/>
    <x v="85"/>
    <n v="986.81"/>
    <n v="2050.31"/>
    <n v="2050.31"/>
    <n v="0.10299999999999999"/>
    <n v="43"/>
    <n v="79082.507010000001"/>
    <n v="42432.829999999994"/>
    <n v="36649.677010000007"/>
    <n v="0.46343595310358138"/>
    <d v="2024-03-02T00:00:00"/>
    <s v="Q3-2024"/>
    <s v="Americas → Canada → Montreal"/>
    <s v="High"/>
    <x v="17"/>
    <d v="2023-01-01T00:00:00"/>
    <n v="18"/>
    <n v="0"/>
    <n v="0"/>
    <m/>
    <m/>
    <n v="51.6"/>
    <n v="1134.8314999999998"/>
    <n v="0.10299999999999999"/>
    <n v="94899.008411999996"/>
    <n v="58557.30539999999"/>
    <n v="36341.703012000005"/>
  </r>
  <r>
    <x v="86"/>
    <x v="81"/>
    <d v="2024-09-02T00:00:00"/>
    <n v="14"/>
    <x v="0"/>
    <x v="1"/>
    <s v="Toronto"/>
    <s v="Consumer"/>
    <x v="3"/>
    <x v="5"/>
    <x v="3"/>
    <x v="86"/>
    <n v="1337.01"/>
    <n v="1269.78"/>
    <n v="1269.78"/>
    <n v="0.16"/>
    <n v="7"/>
    <n v="7466.3063999999986"/>
    <n v="9359.07"/>
    <n v="-1892.7636000000011"/>
    <n v="-0.25350735672996244"/>
    <d v="2024-02-03T00:00:00"/>
    <s v="Q3-2024"/>
    <s v="Americas → Canada → Toronto"/>
    <s v="Medium"/>
    <x v="18"/>
    <d v="2023-01-01T00:00:00"/>
    <n v="19"/>
    <n v="0"/>
    <n v="0"/>
    <m/>
    <m/>
    <n v="8.4"/>
    <n v="1537.5614999999998"/>
    <n v="0.16"/>
    <n v="8959.5676800000001"/>
    <n v="12915.516599999999"/>
    <n v="-3955.9489199999989"/>
  </r>
  <r>
    <x v="87"/>
    <x v="82"/>
    <d v="2024-10-18T00:00:00"/>
    <n v="25"/>
    <x v="0"/>
    <x v="1"/>
    <s v="Vancouver"/>
    <s v="Small Business"/>
    <x v="1"/>
    <x v="1"/>
    <x v="2"/>
    <x v="87"/>
    <n v="1297"/>
    <n v="2411.52"/>
    <n v="2411.52"/>
    <n v="2.1000000000000001E-2"/>
    <n v="18"/>
    <n v="42495.805439999996"/>
    <n v="23346"/>
    <n v="19149.805439999996"/>
    <n v="0.45062813239385913"/>
    <d v="2024-01-13T00:00:00"/>
    <s v="Q3-2024"/>
    <s v="Americas → Canada → Vancouver"/>
    <s v="High"/>
    <x v="19"/>
    <d v="2023-01-01T00:00:00"/>
    <n v="20"/>
    <n v="0"/>
    <n v="0"/>
    <m/>
    <m/>
    <n v="21.599999999999998"/>
    <n v="1491.55"/>
    <n v="2.1000000000000001E-2"/>
    <n v="50994.966527999997"/>
    <n v="32217.479999999996"/>
    <n v="18777.486528000001"/>
  </r>
  <r>
    <x v="88"/>
    <x v="83"/>
    <d v="2024-10-03T00:00:00"/>
    <n v="8"/>
    <x v="0"/>
    <x v="1"/>
    <s v="Toronto"/>
    <s v="Consumer"/>
    <x v="1"/>
    <x v="6"/>
    <x v="3"/>
    <x v="88"/>
    <n v="558.19000000000005"/>
    <n v="1031.6400000000001"/>
    <n v="1031.6400000000001"/>
    <n v="0"/>
    <n v="21"/>
    <n v="21664.440000000002"/>
    <n v="11721.990000000002"/>
    <n v="9942.4500000000007"/>
    <n v="0.45892947152107322"/>
    <d v="2023-12-29T00:00:00"/>
    <s v="Q3-2024"/>
    <s v="Americas → Canada → Toronto"/>
    <s v="Medium"/>
    <x v="19"/>
    <d v="2023-01-01T00:00:00"/>
    <n v="20"/>
    <n v="0"/>
    <n v="0"/>
    <m/>
    <m/>
    <n v="25.2"/>
    <n v="641.91849999999999"/>
    <n v="0"/>
    <n v="25997.328000000001"/>
    <n v="16176.3462"/>
    <n v="9820.9818000000014"/>
  </r>
  <r>
    <x v="89"/>
    <x v="84"/>
    <d v="2024-11-08T00:00:00"/>
    <n v="3"/>
    <x v="0"/>
    <x v="1"/>
    <s v="Toronto"/>
    <s v="Education"/>
    <x v="0"/>
    <x v="13"/>
    <x v="1"/>
    <x v="89"/>
    <n v="1020.4"/>
    <n v="1184.71"/>
    <n v="1184.71"/>
    <n v="0.106"/>
    <n v="16"/>
    <n v="16946.091840000001"/>
    <n v="16326.4"/>
    <n v="619.69184000000132"/>
    <n v="3.6568422138328345E-2"/>
    <d v="2023-11-19T00:00:00"/>
    <s v="Q4-2024"/>
    <s v="Americas → Canada → Toronto"/>
    <s v="Medium"/>
    <x v="20"/>
    <d v="2023-01-01T00:00:00"/>
    <n v="22"/>
    <n v="1"/>
    <n v="0"/>
    <m/>
    <m/>
    <n v="19.2"/>
    <n v="1173.4599999999998"/>
    <n v="0.106"/>
    <n v="20335.310208000003"/>
    <n v="22530.431999999997"/>
    <n v="-2195.1217919999945"/>
  </r>
  <r>
    <x v="90"/>
    <x v="85"/>
    <d v="2024-11-22T00:00:00"/>
    <n v="16"/>
    <x v="0"/>
    <x v="1"/>
    <s v="Toronto"/>
    <s v="Non-Profit"/>
    <x v="3"/>
    <x v="0"/>
    <x v="5"/>
    <x v="90"/>
    <n v="1454.11"/>
    <n v="2629.75"/>
    <n v="2629.75"/>
    <n v="0.29199999999999998"/>
    <n v="8"/>
    <n v="14894.903999999999"/>
    <n v="11632.88"/>
    <n v="3262.0239999999994"/>
    <n v="0.21900268709351867"/>
    <d v="2023-11-30T00:00:00"/>
    <s v="Q4-2024"/>
    <s v="Americas → Canada → Toronto"/>
    <s v="High"/>
    <x v="20"/>
    <d v="2023-01-01T00:00:00"/>
    <n v="22"/>
    <n v="0"/>
    <n v="1"/>
    <m/>
    <m/>
    <n v="9.6"/>
    <n v="1672.2264999999998"/>
    <n v="0.25"/>
    <n v="18934.199999999997"/>
    <n v="16053.374399999997"/>
    <n v="2880.8256000000001"/>
  </r>
  <r>
    <x v="91"/>
    <x v="86"/>
    <d v="2024-11-28T00:00:00"/>
    <n v="11"/>
    <x v="0"/>
    <x v="1"/>
    <s v="Vancouver"/>
    <s v="Consumer"/>
    <x v="3"/>
    <x v="4"/>
    <x v="3"/>
    <x v="91"/>
    <n v="1008.16"/>
    <n v="2077.5"/>
    <n v="2077.5"/>
    <n v="7.3999999999999996E-2"/>
    <n v="15"/>
    <n v="28856.475000000002"/>
    <n v="15122.4"/>
    <n v="13734.075000000003"/>
    <n v="0.47594430712691005"/>
    <d v="2023-11-14T00:00:00"/>
    <s v="Q4-2024"/>
    <s v="Americas → Canada → Vancouver"/>
    <s v="High"/>
    <x v="20"/>
    <d v="2023-01-01T00:00:00"/>
    <n v="22"/>
    <n v="0"/>
    <n v="0"/>
    <m/>
    <m/>
    <n v="18"/>
    <n v="1159.3839999999998"/>
    <n v="7.3999999999999996E-2"/>
    <n v="34627.770000000004"/>
    <n v="20868.911999999997"/>
    <n v="13758.858000000007"/>
  </r>
  <r>
    <x v="92"/>
    <x v="87"/>
    <d v="2024-12-28T00:00:00"/>
    <n v="23"/>
    <x v="0"/>
    <x v="1"/>
    <s v="Vancouver"/>
    <s v="Corporate"/>
    <x v="2"/>
    <x v="8"/>
    <x v="5"/>
    <x v="92"/>
    <n v="107.03"/>
    <n v="242.29"/>
    <n v="242.29"/>
    <n v="0.18"/>
    <n v="30"/>
    <n v="5960.3340000000007"/>
    <n v="3210.9"/>
    <n v="2749.4340000000007"/>
    <n v="0.46128857879440988"/>
    <d v="2023-10-05T00:00:00"/>
    <s v="Q4-2024"/>
    <s v="Americas → Canada → Vancouver"/>
    <s v="Low"/>
    <x v="30"/>
    <d v="2023-01-01T00:00:00"/>
    <n v="23"/>
    <n v="0"/>
    <n v="0"/>
    <m/>
    <m/>
    <n v="36"/>
    <n v="123.08449999999999"/>
    <n v="0.18"/>
    <n v="7152.4008000000013"/>
    <n v="4431.0419999999995"/>
    <n v="2721.3588000000018"/>
  </r>
  <r>
    <x v="93"/>
    <x v="88"/>
    <d v="2024-12-29T00:00:00"/>
    <n v="2"/>
    <x v="0"/>
    <x v="1"/>
    <s v="Vancouver"/>
    <s v="Enterprise"/>
    <x v="0"/>
    <x v="5"/>
    <x v="5"/>
    <x v="93"/>
    <n v="1146.72"/>
    <n v="2074.34"/>
    <n v="2074.34"/>
    <n v="0.111"/>
    <n v="8"/>
    <n v="14752.706080000002"/>
    <n v="9173.76"/>
    <n v="5578.9460800000015"/>
    <n v="0.37816425337472737"/>
    <d v="2023-09-25T00:00:00"/>
    <s v="Q4-2024"/>
    <s v="Americas → Canada → Vancouver"/>
    <s v="High"/>
    <x v="30"/>
    <d v="2023-01-01T00:00:00"/>
    <n v="23"/>
    <n v="1"/>
    <n v="0"/>
    <m/>
    <m/>
    <n v="9.6"/>
    <n v="1318.7279999999998"/>
    <n v="0.111"/>
    <n v="17703.247296000001"/>
    <n v="12659.788799999998"/>
    <n v="5043.4584960000029"/>
  </r>
  <r>
    <x v="94"/>
    <x v="89"/>
    <d v="2025-02-17T00:00:00"/>
    <n v="2"/>
    <x v="0"/>
    <x v="1"/>
    <s v="Toronto"/>
    <s v="Small Business"/>
    <x v="4"/>
    <x v="0"/>
    <x v="1"/>
    <x v="94"/>
    <n v="1133.47"/>
    <n v="1698.75"/>
    <n v="1698.75"/>
    <n v="4.2999999999999997E-2"/>
    <n v="5"/>
    <n v="8128.5187499999993"/>
    <n v="5667.35"/>
    <n v="2461.1687499999989"/>
    <n v="0.30278194904821976"/>
    <d v="2023-07-30T00:00:00"/>
    <s v="Q1-2025"/>
    <s v="Americas → Canada → Toronto"/>
    <s v="High"/>
    <x v="22"/>
    <d v="2023-01-01T00:00:00"/>
    <n v="25"/>
    <n v="1"/>
    <n v="0"/>
    <m/>
    <m/>
    <n v="6"/>
    <n v="1303.4904999999999"/>
    <n v="4.2999999999999997E-2"/>
    <n v="9754.2224999999999"/>
    <n v="7820.9429999999993"/>
    <n v="1933.2795000000006"/>
  </r>
  <r>
    <x v="95"/>
    <x v="90"/>
    <d v="2025-05-16T00:00:00"/>
    <n v="30"/>
    <x v="0"/>
    <x v="1"/>
    <s v="Montreal"/>
    <s v="Enterprise"/>
    <x v="3"/>
    <x v="12"/>
    <x v="3"/>
    <x v="95"/>
    <n v="763.32"/>
    <n v="568.29"/>
    <n v="568.29"/>
    <n v="0.13100000000000001"/>
    <n v="16"/>
    <n v="7901.5041599999995"/>
    <n v="12213.12"/>
    <n v="-4311.6158400000013"/>
    <n v="-0.54567026134426555"/>
    <d v="2023-06-15T00:00:00"/>
    <s v="Q2-2025"/>
    <s v="Americas → Canada → Montreal"/>
    <s v="Low"/>
    <x v="24"/>
    <d v="2023-01-01T00:00:00"/>
    <n v="27"/>
    <n v="0"/>
    <n v="0"/>
    <m/>
    <m/>
    <n v="19.2"/>
    <n v="877.81799999999998"/>
    <n v="0.13100000000000001"/>
    <n v="9481.8049919999994"/>
    <n v="16854.105599999999"/>
    <n v="-7372.3006079999996"/>
  </r>
  <r>
    <x v="96"/>
    <x v="91"/>
    <d v="2025-05-27T00:00:00"/>
    <n v="17"/>
    <x v="0"/>
    <x v="1"/>
    <s v="Vancouver"/>
    <s v="Education"/>
    <x v="2"/>
    <x v="5"/>
    <x v="1"/>
    <x v="96"/>
    <n v="862.89"/>
    <n v="1426.03"/>
    <n v="1426.03"/>
    <n v="5.6000000000000001E-2"/>
    <n v="19"/>
    <n v="25577.274079999999"/>
    <n v="16394.91"/>
    <n v="9182.3640799999994"/>
    <n v="0.35900479665188778"/>
    <d v="2023-06-01T00:00:00"/>
    <s v="Q2-2025"/>
    <s v="Americas → Canada → Vancouver"/>
    <s v="Medium"/>
    <x v="25"/>
    <d v="2023-01-01T00:00:00"/>
    <n v="28"/>
    <n v="0"/>
    <n v="0"/>
    <m/>
    <m/>
    <n v="22.8"/>
    <n v="992.32349999999985"/>
    <n v="5.6000000000000001E-2"/>
    <n v="30692.728896000001"/>
    <n v="22624.975799999997"/>
    <n v="8067.753096000004"/>
  </r>
  <r>
    <x v="97"/>
    <x v="92"/>
    <d v="2025-05-14T00:00:00"/>
    <n v="2"/>
    <x v="0"/>
    <x v="1"/>
    <s v="Vancouver"/>
    <s v="Non-Profit"/>
    <x v="3"/>
    <x v="8"/>
    <x v="3"/>
    <x v="97"/>
    <n v="883.5"/>
    <n v="1978.91"/>
    <n v="1978.91"/>
    <n v="5.3999999999999999E-2"/>
    <n v="27"/>
    <n v="50545.319219999998"/>
    <n v="23854.5"/>
    <n v="26690.819219999998"/>
    <n v="0.52805718970390547"/>
    <d v="2023-05-11T00:00:00"/>
    <s v="Q2-2025"/>
    <s v="Americas → Canada → Vancouver"/>
    <s v="High"/>
    <x v="25"/>
    <d v="2023-01-01T00:00:00"/>
    <n v="28"/>
    <n v="1"/>
    <n v="0"/>
    <m/>
    <m/>
    <n v="32.4"/>
    <n v="1016.025"/>
    <n v="5.3999999999999999E-2"/>
    <n v="60654.383064000001"/>
    <n v="32919.21"/>
    <n v="27735.173064000002"/>
  </r>
  <r>
    <x v="98"/>
    <x v="93"/>
    <d v="2025-06-10T00:00:00"/>
    <n v="7"/>
    <x v="0"/>
    <x v="1"/>
    <s v="Toronto"/>
    <s v="Consumer"/>
    <x v="3"/>
    <x v="13"/>
    <x v="3"/>
    <x v="98"/>
    <n v="75.180000000000007"/>
    <n v="53.45"/>
    <n v="53.45"/>
    <n v="0.157"/>
    <n v="17"/>
    <n v="765.99195000000009"/>
    <n v="1278.0600000000002"/>
    <n v="-512.06805000000008"/>
    <n v="-0.66850317421743144"/>
    <d v="2023-04-14T00:00:00"/>
    <s v="Q2-2025"/>
    <s v="Americas → Canada → Toronto"/>
    <s v="Low"/>
    <x v="31"/>
    <d v="2023-01-01T00:00:00"/>
    <n v="29"/>
    <n v="1"/>
    <n v="0"/>
    <m/>
    <m/>
    <n v="20.399999999999999"/>
    <n v="86.457000000000008"/>
    <n v="0.157"/>
    <n v="919.19033999999988"/>
    <n v="1763.7228"/>
    <n v="-844.53246000000013"/>
  </r>
  <r>
    <x v="99"/>
    <x v="94"/>
    <d v="2025-07-23T00:00:00"/>
    <n v="29"/>
    <x v="0"/>
    <x v="1"/>
    <s v="Vancouver"/>
    <s v="Non-Profit"/>
    <x v="0"/>
    <x v="14"/>
    <x v="3"/>
    <x v="99"/>
    <n v="255.4"/>
    <n v="322.70999999999998"/>
    <n v="322.70999999999998"/>
    <n v="0.115"/>
    <n v="16"/>
    <n v="4569.5735999999997"/>
    <n v="4086.4"/>
    <n v="483.17359999999962"/>
    <n v="0.10573713048412212"/>
    <d v="2023-04-16T00:00:00"/>
    <s v="Q2-2025"/>
    <s v="Americas → Canada → Vancouver"/>
    <s v="Low"/>
    <x v="31"/>
    <d v="2023-01-01T00:00:00"/>
    <n v="29"/>
    <n v="0"/>
    <n v="0"/>
    <m/>
    <m/>
    <n v="19.2"/>
    <n v="293.70999999999998"/>
    <n v="0.115"/>
    <n v="5483.4883199999995"/>
    <n v="5639.2319999999991"/>
    <n v="-155.74367999999959"/>
  </r>
  <r>
    <x v="100"/>
    <x v="95"/>
    <d v="2025-07-18T00:00:00"/>
    <n v="9"/>
    <x v="0"/>
    <x v="1"/>
    <s v="Vancouver"/>
    <s v="Education"/>
    <x v="3"/>
    <x v="14"/>
    <x v="6"/>
    <x v="100"/>
    <n v="57.96"/>
    <n v="88.51"/>
    <n v="88.51"/>
    <n v="4.2999999999999997E-2"/>
    <n v="7"/>
    <n v="592.92849000000001"/>
    <n v="405.72"/>
    <n v="187.20848999999998"/>
    <n v="0.3157353595877978"/>
    <d v="2023-03-31T00:00:00"/>
    <s v="Q3-2025"/>
    <s v="Americas → Canada → Vancouver"/>
    <s v="Low"/>
    <x v="26"/>
    <d v="2023-01-01T00:00:00"/>
    <n v="30"/>
    <n v="0"/>
    <n v="0"/>
    <m/>
    <m/>
    <n v="8.4"/>
    <n v="66.653999999999996"/>
    <n v="4.2999999999999997E-2"/>
    <n v="711.51418799999999"/>
    <n v="559.89359999999999"/>
    <n v="151.620588"/>
  </r>
  <r>
    <x v="101"/>
    <x v="96"/>
    <d v="2025-08-04T00:00:00"/>
    <n v="21"/>
    <x v="0"/>
    <x v="1"/>
    <s v="Montreal"/>
    <s v="Consumer"/>
    <x v="1"/>
    <x v="15"/>
    <x v="0"/>
    <x v="101"/>
    <n v="90.3"/>
    <n v="131.76"/>
    <n v="131.76"/>
    <n v="0.10199999999999999"/>
    <n v="15"/>
    <n v="1774.8072"/>
    <n v="1354.5"/>
    <n v="420.30719999999997"/>
    <n v="0.23681851189244668"/>
    <d v="2023-04-06T00:00:00"/>
    <s v="Q3-2025"/>
    <s v="Americas → Canada → Montreal"/>
    <s v="Low"/>
    <x v="26"/>
    <d v="2023-01-01T00:00:00"/>
    <n v="30"/>
    <n v="0"/>
    <n v="0"/>
    <m/>
    <m/>
    <n v="18"/>
    <n v="103.84499999999998"/>
    <n v="0.10199999999999999"/>
    <n v="2129.7686399999998"/>
    <n v="1869.2099999999998"/>
    <n v="260.55863999999997"/>
  </r>
  <r>
    <x v="102"/>
    <x v="97"/>
    <d v="2025-07-23T00:00:00"/>
    <n v="6"/>
    <x v="0"/>
    <x v="1"/>
    <s v="Vancouver"/>
    <s v="Consumer"/>
    <x v="1"/>
    <x v="15"/>
    <x v="1"/>
    <x v="102"/>
    <n v="1364.89"/>
    <n v="2757.54"/>
    <n v="2757.54"/>
    <n v="0.17199999999999999"/>
    <n v="61"/>
    <n v="139277.83032000001"/>
    <n v="83258.290000000008"/>
    <n v="56019.54032"/>
    <n v="0.4022143379983118"/>
    <d v="2023-03-31T00:00:00"/>
    <s v="Q3-2025"/>
    <s v="Americas → Canada → Vancouver"/>
    <s v="High"/>
    <x v="26"/>
    <d v="2023-01-01T00:00:00"/>
    <n v="30"/>
    <n v="1"/>
    <n v="0"/>
    <m/>
    <m/>
    <n v="73.2"/>
    <n v="1569.6234999999999"/>
    <n v="0.17199999999999999"/>
    <n v="167133.39638400002"/>
    <n v="114896.4402"/>
    <n v="52236.956184000024"/>
  </r>
  <r>
    <x v="103"/>
    <x v="98"/>
    <d v="2025-08-16T00:00:00"/>
    <n v="13"/>
    <x v="0"/>
    <x v="1"/>
    <s v="Montreal"/>
    <s v="Enterprise"/>
    <x v="3"/>
    <x v="13"/>
    <x v="4"/>
    <x v="103"/>
    <n v="698.66"/>
    <n v="868.62"/>
    <n v="868.62"/>
    <n v="7.1999999999999995E-2"/>
    <n v="15"/>
    <n v="12091.190399999999"/>
    <n v="10479.9"/>
    <n v="1611.2903999999999"/>
    <n v="0.13326151906432637"/>
    <d v="2023-02-23T00:00:00"/>
    <s v="Q3-2025"/>
    <s v="Americas → Canada → Montreal"/>
    <s v="Medium"/>
    <x v="27"/>
    <d v="2023-01-01T00:00:00"/>
    <n v="31"/>
    <n v="0"/>
    <n v="0"/>
    <m/>
    <m/>
    <n v="18"/>
    <n v="803.45899999999995"/>
    <n v="7.1999999999999995E-2"/>
    <n v="14509.42848"/>
    <n v="14462.261999999999"/>
    <n v="47.166480000001684"/>
  </r>
  <r>
    <x v="104"/>
    <x v="99"/>
    <d v="2025-09-06T00:00:00"/>
    <n v="30"/>
    <x v="0"/>
    <x v="1"/>
    <s v="Montreal"/>
    <s v="Education"/>
    <x v="2"/>
    <x v="3"/>
    <x v="4"/>
    <x v="104"/>
    <n v="833.73"/>
    <n v="1116.5999999999999"/>
    <n v="1116.5999999999999"/>
    <n v="0.17599999999999999"/>
    <n v="14"/>
    <n v="12881.097599999999"/>
    <n v="11672.220000000001"/>
    <n v="1208.877599999998"/>
    <n v="9.3848958958279924E-2"/>
    <d v="2023-02-23T00:00:00"/>
    <s v="Q3-2025"/>
    <s v="Americas → Canada → Montreal"/>
    <s v="Medium"/>
    <x v="27"/>
    <d v="2023-01-01T00:00:00"/>
    <n v="31"/>
    <n v="0"/>
    <n v="0"/>
    <m/>
    <m/>
    <n v="16.8"/>
    <n v="958.78949999999998"/>
    <n v="0.17599999999999999"/>
    <n v="15457.317120000002"/>
    <n v="16107.6636"/>
    <n v="-650.34647999999834"/>
  </r>
  <r>
    <x v="105"/>
    <x v="100"/>
    <d v="2025-09-11T00:00:00"/>
    <n v="9"/>
    <x v="0"/>
    <x v="1"/>
    <s v="Toronto"/>
    <s v="Corporate"/>
    <x v="3"/>
    <x v="3"/>
    <x v="3"/>
    <x v="105"/>
    <n v="1207.6300000000001"/>
    <n v="921.68"/>
    <n v="921.68"/>
    <n v="0.19600000000000001"/>
    <n v="17"/>
    <n v="12597.52224"/>
    <n v="20529.710000000003"/>
    <n v="-7932.1877600000025"/>
    <n v="-0.62966253274897988"/>
    <d v="2023-01-20T00:00:00"/>
    <s v="Q3-2025"/>
    <s v="Americas → Canada → Toronto"/>
    <s v="Medium"/>
    <x v="28"/>
    <d v="2023-01-01T00:00:00"/>
    <n v="32"/>
    <n v="0"/>
    <n v="0"/>
    <m/>
    <m/>
    <n v="20.399999999999999"/>
    <n v="1388.7745"/>
    <n v="0.19600000000000001"/>
    <n v="15117.026687999998"/>
    <n v="28330.999799999998"/>
    <n v="-13213.973112"/>
  </r>
  <r>
    <x v="106"/>
    <x v="101"/>
    <d v="2023-01-26T00:00:00"/>
    <n v="14"/>
    <x v="1"/>
    <x v="2"/>
    <s v="Shenzhen"/>
    <s v="Non-Profit"/>
    <x v="4"/>
    <x v="3"/>
    <x v="3"/>
    <x v="106"/>
    <n v="1083.0899999999999"/>
    <n v="1425.87"/>
    <n v="1425.87"/>
    <n v="0"/>
    <n v="8"/>
    <n v="11406.96"/>
    <n v="8664.7199999999993"/>
    <n v="2742.24"/>
    <n v="0.24040059752992909"/>
    <d v="2025-09-01T00:00:00"/>
    <s v="Q1-2023"/>
    <s v="Asia → China → Shenzhen"/>
    <s v="Medium"/>
    <x v="0"/>
    <d v="2023-01-01T00:00:00"/>
    <n v="0"/>
    <n v="0"/>
    <n v="0"/>
    <m/>
    <m/>
    <n v="9.6"/>
    <n v="1245.5534999999998"/>
    <n v="0"/>
    <n v="13688.351999999999"/>
    <n v="11957.313599999998"/>
    <n v="1731.0384000000013"/>
  </r>
  <r>
    <x v="107"/>
    <x v="60"/>
    <d v="2023-03-18T00:00:00"/>
    <n v="23"/>
    <x v="1"/>
    <x v="2"/>
    <s v="Beijing"/>
    <s v="Education"/>
    <x v="3"/>
    <x v="12"/>
    <x v="3"/>
    <x v="107"/>
    <n v="770.11"/>
    <n v="1667.82"/>
    <n v="1667.82"/>
    <n v="6.9000000000000006E-2"/>
    <n v="7"/>
    <n v="10869.182940000001"/>
    <n v="5390.77"/>
    <n v="5478.4129400000002"/>
    <n v="0.50403171703355287"/>
    <d v="2025-08-26T00:00:00"/>
    <s v="Q1-2023"/>
    <s v="Asia → China → Beijing"/>
    <s v="High"/>
    <x v="1"/>
    <d v="2023-01-01T00:00:00"/>
    <n v="1"/>
    <n v="0"/>
    <n v="0"/>
    <m/>
    <m/>
    <n v="8.4"/>
    <n v="885.62649999999996"/>
    <n v="6.9000000000000006E-2"/>
    <n v="13043.019528000001"/>
    <n v="7439.2626"/>
    <n v="5603.7569280000007"/>
  </r>
  <r>
    <x v="108"/>
    <x v="102"/>
    <d v="2023-04-04T00:00:00"/>
    <n v="29"/>
    <x v="1"/>
    <x v="2"/>
    <s v="Beijing"/>
    <s v="Small Business"/>
    <x v="2"/>
    <x v="5"/>
    <x v="0"/>
    <x v="108"/>
    <n v="1126.29"/>
    <n v="2050.87"/>
    <n v="2050.87"/>
    <n v="6.4000000000000001E-2"/>
    <n v="7"/>
    <n v="13437.300239999999"/>
    <n v="7884.03"/>
    <n v="5553.2702399999989"/>
    <n v="0.41327276616690373"/>
    <d v="2025-08-05T00:00:00"/>
    <s v="Q1-2023"/>
    <s v="Asia → China → Beijing"/>
    <s v="High"/>
    <x v="2"/>
    <d v="2023-01-01T00:00:00"/>
    <n v="2"/>
    <n v="0"/>
    <n v="0"/>
    <m/>
    <m/>
    <n v="8.4"/>
    <n v="1295.2334999999998"/>
    <n v="6.4000000000000001E-2"/>
    <n v="16124.760287999999"/>
    <n v="10879.961399999998"/>
    <n v="5244.7988880000012"/>
  </r>
  <r>
    <x v="109"/>
    <x v="103"/>
    <d v="2023-05-18T00:00:00"/>
    <n v="30"/>
    <x v="1"/>
    <x v="2"/>
    <s v="Shenzhen"/>
    <s v="Non-Profit"/>
    <x v="4"/>
    <x v="15"/>
    <x v="6"/>
    <x v="109"/>
    <n v="329.03"/>
    <n v="391.15"/>
    <n v="391.15"/>
    <n v="0.19700000000000001"/>
    <n v="46"/>
    <n v="14448.298699999998"/>
    <n v="15135.38"/>
    <n v="-687.08130000000165"/>
    <n v="-4.7554477815440081E-2"/>
    <d v="2025-06-17T00:00:00"/>
    <s v="Q2-2023"/>
    <s v="Asia → China → Shenzhen"/>
    <s v="Low"/>
    <x v="3"/>
    <d v="2023-01-01T00:00:00"/>
    <n v="3"/>
    <n v="0"/>
    <n v="0"/>
    <m/>
    <m/>
    <n v="55.199999999999996"/>
    <n v="378.38449999999995"/>
    <n v="0.19700000000000001"/>
    <n v="17337.958439999995"/>
    <n v="20886.824399999994"/>
    <n v="-3548.8659599999992"/>
  </r>
  <r>
    <x v="110"/>
    <x v="104"/>
    <d v="2023-05-10T00:00:00"/>
    <n v="19"/>
    <x v="1"/>
    <x v="2"/>
    <s v="Shanghai"/>
    <s v="Corporate"/>
    <x v="4"/>
    <x v="4"/>
    <x v="1"/>
    <x v="110"/>
    <n v="882.33"/>
    <n v="1880.15"/>
    <n v="1880.15"/>
    <n v="0.05"/>
    <n v="5"/>
    <n v="8930.7124999999996"/>
    <n v="4411.6500000000005"/>
    <n v="4519.0624999999991"/>
    <n v="0.50601365792482955"/>
    <d v="2025-06-19T00:00:00"/>
    <s v="Q2-2023"/>
    <s v="Asia → China → Shanghai"/>
    <s v="High"/>
    <x v="3"/>
    <d v="2023-01-01T00:00:00"/>
    <n v="3"/>
    <n v="0"/>
    <n v="0"/>
    <m/>
    <m/>
    <n v="6"/>
    <n v="1014.6795"/>
    <n v="0.05"/>
    <n v="10716.855000000001"/>
    <n v="6088.0769999999993"/>
    <n v="4628.7780000000021"/>
  </r>
  <r>
    <x v="111"/>
    <x v="105"/>
    <d v="2023-05-19T00:00:00"/>
    <n v="17"/>
    <x v="1"/>
    <x v="2"/>
    <s v="Shanghai"/>
    <s v="Non-Profit"/>
    <x v="2"/>
    <x v="9"/>
    <x v="0"/>
    <x v="111"/>
    <n v="714.28"/>
    <n v="757.59"/>
    <n v="757.59"/>
    <n v="0.13600000000000001"/>
    <n v="12"/>
    <n v="7854.6931199999999"/>
    <n v="8571.36"/>
    <n v="-716.66688000000067"/>
    <n v="-9.1240595787910383E-2"/>
    <d v="2025-05-21T00:00:00"/>
    <s v="Q2-2023"/>
    <s v="Asia → China → Shanghai"/>
    <s v="Low"/>
    <x v="4"/>
    <d v="2023-01-01T00:00:00"/>
    <n v="4"/>
    <n v="0"/>
    <n v="0"/>
    <m/>
    <m/>
    <n v="14.399999999999999"/>
    <n v="821.42199999999991"/>
    <n v="0.13600000000000001"/>
    <n v="9425.6317440000003"/>
    <n v="11828.476799999997"/>
    <n v="-2402.8450559999965"/>
  </r>
  <r>
    <x v="112"/>
    <x v="106"/>
    <d v="2023-05-28T00:00:00"/>
    <n v="17"/>
    <x v="1"/>
    <x v="2"/>
    <s v="Shenzhen"/>
    <s v="Enterprise"/>
    <x v="0"/>
    <x v="6"/>
    <x v="4"/>
    <x v="112"/>
    <n v="1331.19"/>
    <n v="2903.09"/>
    <n v="2903.09"/>
    <n v="0.14299999999999999"/>
    <n v="8"/>
    <n v="19903.585040000002"/>
    <n v="10649.52"/>
    <n v="9254.0650400000013"/>
    <n v="0.46494463290920784"/>
    <d v="2025-05-14T00:00:00"/>
    <s v="Q2-2023"/>
    <s v="Asia → China → Shenzhen"/>
    <s v="High"/>
    <x v="4"/>
    <d v="2023-01-01T00:00:00"/>
    <n v="4"/>
    <n v="0"/>
    <n v="0"/>
    <m/>
    <m/>
    <n v="9.6"/>
    <n v="1530.8685"/>
    <n v="0.14299999999999999"/>
    <n v="23884.302048000001"/>
    <n v="14696.337600000001"/>
    <n v="9187.9644480000006"/>
  </r>
  <r>
    <x v="113"/>
    <x v="107"/>
    <d v="2023-06-03T00:00:00"/>
    <n v="17"/>
    <x v="1"/>
    <x v="2"/>
    <s v="Beijing"/>
    <s v="Non-Profit"/>
    <x v="3"/>
    <x v="3"/>
    <x v="3"/>
    <x v="113"/>
    <n v="979.59"/>
    <n v="2210.94"/>
    <n v="2210.94"/>
    <n v="0.15"/>
    <n v="11"/>
    <n v="20672.289000000001"/>
    <n v="10775.49"/>
    <n v="9896.7990000000009"/>
    <n v="0.47874712858358359"/>
    <d v="2025-04-28T00:00:00"/>
    <s v="Q2-2023"/>
    <s v="Asia → China → Beijing"/>
    <s v="High"/>
    <x v="4"/>
    <d v="2023-01-01T00:00:00"/>
    <n v="4"/>
    <n v="0"/>
    <n v="0"/>
    <m/>
    <m/>
    <n v="13.2"/>
    <n v="1126.5284999999999"/>
    <n v="0.15"/>
    <n v="24806.746799999997"/>
    <n v="14870.176199999998"/>
    <n v="9936.5705999999991"/>
  </r>
  <r>
    <x v="114"/>
    <x v="4"/>
    <d v="2023-06-10T00:00:00"/>
    <n v="18"/>
    <x v="1"/>
    <x v="2"/>
    <s v="Shanghai"/>
    <s v="Corporate"/>
    <x v="3"/>
    <x v="6"/>
    <x v="1"/>
    <x v="114"/>
    <n v="54.62"/>
    <n v="48.94"/>
    <n v="48.94"/>
    <n v="0.14799999999999999"/>
    <n v="16"/>
    <n v="667.15008"/>
    <n v="873.92"/>
    <n v="-206.76991999999996"/>
    <n v="-0.3099301434543783"/>
    <d v="2025-04-28T00:00:00"/>
    <s v="Q2-2023"/>
    <s v="Asia → China → Shanghai"/>
    <s v="Low"/>
    <x v="4"/>
    <d v="2023-01-01T00:00:00"/>
    <n v="4"/>
    <n v="0"/>
    <n v="0"/>
    <m/>
    <m/>
    <n v="19.2"/>
    <n v="62.812999999999995"/>
    <n v="0.14799999999999999"/>
    <n v="800.58009599999991"/>
    <n v="1206.0095999999999"/>
    <n v="-405.42950399999995"/>
  </r>
  <r>
    <x v="115"/>
    <x v="108"/>
    <d v="2023-06-19T00:00:00"/>
    <n v="10"/>
    <x v="1"/>
    <x v="2"/>
    <s v="Beijing"/>
    <s v="Enterprise"/>
    <x v="4"/>
    <x v="8"/>
    <x v="0"/>
    <x v="115"/>
    <n v="339.61"/>
    <n v="621.02"/>
    <n v="621.02"/>
    <n v="7.0999999999999994E-2"/>
    <n v="10"/>
    <n v="5769.2758000000003"/>
    <n v="3396.1000000000004"/>
    <n v="2373.1758"/>
    <n v="0.41134726129750981"/>
    <d v="2025-04-11T00:00:00"/>
    <s v="Q2-2023"/>
    <s v="Asia → China → Beijing"/>
    <s v="Low"/>
    <x v="5"/>
    <d v="2023-01-01T00:00:00"/>
    <n v="5"/>
    <n v="0"/>
    <n v="0"/>
    <m/>
    <m/>
    <n v="12"/>
    <n v="390.55149999999998"/>
    <n v="7.0999999999999994E-2"/>
    <n v="6923.1309600000004"/>
    <n v="4686.6179999999995"/>
    <n v="2236.5129600000009"/>
  </r>
  <r>
    <x v="116"/>
    <x v="67"/>
    <d v="2023-08-03T00:00:00"/>
    <n v="1"/>
    <x v="1"/>
    <x v="2"/>
    <s v="Shanghai"/>
    <s v="Non-Profit"/>
    <x v="2"/>
    <x v="9"/>
    <x v="4"/>
    <x v="116"/>
    <n v="1021.97"/>
    <n v="2296.25"/>
    <n v="2296.25"/>
    <n v="0.161"/>
    <n v="26"/>
    <n v="50090.397499999999"/>
    <n v="26571.22"/>
    <n v="23519.177499999998"/>
    <n v="0.46953465482081669"/>
    <d v="2025-02-15T00:00:00"/>
    <s v="Q3-2023"/>
    <s v="Asia → China → Shanghai"/>
    <s v="High"/>
    <x v="7"/>
    <d v="2023-01-01T00:00:00"/>
    <n v="7"/>
    <n v="1"/>
    <n v="0"/>
    <m/>
    <m/>
    <n v="31.2"/>
    <n v="1175.2655"/>
    <n v="0.161"/>
    <n v="60108.476999999999"/>
    <n v="36668.283599999995"/>
    <n v="23440.193400000004"/>
  </r>
  <r>
    <x v="117"/>
    <x v="11"/>
    <d v="2023-08-30T00:00:00"/>
    <n v="27"/>
    <x v="1"/>
    <x v="2"/>
    <s v="Shanghai"/>
    <s v="Consumer"/>
    <x v="3"/>
    <x v="1"/>
    <x v="0"/>
    <x v="117"/>
    <n v="226.04"/>
    <n v="545.72"/>
    <n v="545.72"/>
    <n v="0.151"/>
    <n v="11"/>
    <n v="5096.4790800000001"/>
    <n v="2486.44"/>
    <n v="2610.03908"/>
    <n v="0.51212592831834014"/>
    <d v="2025-02-12T00:00:00"/>
    <s v="Q3-2023"/>
    <s v="Asia → China → Shanghai"/>
    <s v="Low"/>
    <x v="7"/>
    <d v="2023-01-01T00:00:00"/>
    <n v="7"/>
    <n v="0"/>
    <n v="0"/>
    <m/>
    <m/>
    <n v="13.2"/>
    <n v="259.94599999999997"/>
    <n v="0.151"/>
    <n v="6115.7748959999999"/>
    <n v="3431.2871999999993"/>
    <n v="2684.4876960000006"/>
  </r>
  <r>
    <x v="118"/>
    <x v="109"/>
    <d v="2023-09-06T00:00:00"/>
    <n v="25"/>
    <x v="1"/>
    <x v="2"/>
    <s v="Shanghai"/>
    <s v="Small Business"/>
    <x v="4"/>
    <x v="7"/>
    <x v="1"/>
    <x v="118"/>
    <n v="950.77"/>
    <n v="694.78"/>
    <n v="694.78"/>
    <n v="8.4000000000000005E-2"/>
    <n v="14"/>
    <n v="8909.8587200000002"/>
    <n v="13310.779999999999"/>
    <n v="-4400.9212799999987"/>
    <n v="-0.49393839097821279"/>
    <d v="2025-02-07T00:00:00"/>
    <s v="Q3-2023"/>
    <s v="Asia → China → Shanghai"/>
    <s v="Low"/>
    <x v="7"/>
    <d v="2023-01-01T00:00:00"/>
    <n v="7"/>
    <n v="0"/>
    <n v="0"/>
    <m/>
    <m/>
    <n v="16.8"/>
    <n v="1093.3854999999999"/>
    <n v="8.4000000000000005E-2"/>
    <n v="10691.830464000001"/>
    <n v="18368.876399999997"/>
    <n v="-7677.0459359999968"/>
  </r>
  <r>
    <x v="119"/>
    <x v="110"/>
    <d v="2023-10-03T00:00:00"/>
    <n v="3"/>
    <x v="1"/>
    <x v="2"/>
    <s v="Beijing"/>
    <s v="Non-Profit"/>
    <x v="4"/>
    <x v="9"/>
    <x v="6"/>
    <x v="119"/>
    <n v="1019.36"/>
    <n v="972.91"/>
    <n v="972.91"/>
    <n v="0.14699999999999999"/>
    <n v="17"/>
    <n v="14108.16791"/>
    <n v="17329.12"/>
    <n v="-3220.9520899999989"/>
    <n v="-0.22830406545678819"/>
    <d v="2024-12-10T00:00:00"/>
    <s v="Q3-2023"/>
    <s v="Asia → China → Beijing"/>
    <s v="Medium"/>
    <x v="8"/>
    <d v="2023-01-01T00:00:00"/>
    <n v="8"/>
    <n v="1"/>
    <n v="0"/>
    <m/>
    <m/>
    <n v="20.399999999999999"/>
    <n v="1172.2639999999999"/>
    <n v="0.14699999999999999"/>
    <n v="16929.801491999999"/>
    <n v="23914.185599999997"/>
    <n v="-6984.3841079999984"/>
  </r>
  <r>
    <x v="120"/>
    <x v="111"/>
    <d v="2023-10-31T00:00:00"/>
    <n v="26"/>
    <x v="1"/>
    <x v="2"/>
    <s v="Shanghai"/>
    <s v="Consumer"/>
    <x v="5"/>
    <x v="9"/>
    <x v="3"/>
    <x v="120"/>
    <n v="649.91"/>
    <n v="1360.12"/>
    <n v="1360.12"/>
    <n v="0.19400000000000001"/>
    <n v="9"/>
    <n v="9866.3104799999983"/>
    <n v="5849.19"/>
    <n v="4017.1204799999987"/>
    <n v="0.40715528749506769"/>
    <d v="2024-12-27T00:00:00"/>
    <s v="Q4-2023"/>
    <s v="Asia → China → Shanghai"/>
    <s v="Medium"/>
    <x v="9"/>
    <d v="2023-01-01T00:00:00"/>
    <n v="9"/>
    <n v="0"/>
    <n v="0"/>
    <m/>
    <m/>
    <n v="10.799999999999999"/>
    <n v="747.39649999999995"/>
    <n v="0.19400000000000001"/>
    <n v="11839.572575999999"/>
    <n v="8071.8821999999982"/>
    <n v="3767.6903760000005"/>
  </r>
  <r>
    <x v="121"/>
    <x v="112"/>
    <d v="2023-10-26T00:00:00"/>
    <n v="17"/>
    <x v="1"/>
    <x v="2"/>
    <s v="Shanghai"/>
    <s v="Consumer"/>
    <x v="0"/>
    <x v="5"/>
    <x v="1"/>
    <x v="121"/>
    <n v="1132.03"/>
    <n v="2137.21"/>
    <n v="2137.21"/>
    <n v="0.35699999999999998"/>
    <n v="35"/>
    <n v="48097.911050000002"/>
    <n v="39621.049999999996"/>
    <n v="8476.8610500000068"/>
    <n v="0.17624177152284051"/>
    <d v="2024-12-05T00:00:00"/>
    <s v="Q4-2023"/>
    <s v="Asia → China → Shanghai"/>
    <s v="High"/>
    <x v="9"/>
    <d v="2023-01-01T00:00:00"/>
    <n v="9"/>
    <n v="0"/>
    <n v="1"/>
    <m/>
    <m/>
    <n v="42"/>
    <n v="1301.8344999999999"/>
    <n v="0.25"/>
    <n v="67322.115000000005"/>
    <n v="54677.048999999999"/>
    <n v="12645.066000000006"/>
  </r>
  <r>
    <x v="122"/>
    <x v="113"/>
    <d v="2023-11-13T00:00:00"/>
    <n v="29"/>
    <x v="1"/>
    <x v="2"/>
    <s v="Shenzhen"/>
    <s v="Non-Profit"/>
    <x v="3"/>
    <x v="9"/>
    <x v="3"/>
    <x v="122"/>
    <n v="986.44"/>
    <n v="790.61"/>
    <n v="790.61"/>
    <n v="7.1999999999999995E-2"/>
    <n v="6"/>
    <n v="4402.1164799999997"/>
    <n v="5918.64"/>
    <n v="-1516.5235200000006"/>
    <n v="-0.34449872621271499"/>
    <d v="2024-11-21T00:00:00"/>
    <s v="Q4-2023"/>
    <s v="Asia → China → Shenzhen"/>
    <s v="Low"/>
    <x v="9"/>
    <d v="2023-01-01T00:00:00"/>
    <n v="9"/>
    <n v="0"/>
    <n v="0"/>
    <m/>
    <m/>
    <n v="7.1999999999999993"/>
    <n v="1134.4059999999999"/>
    <n v="7.1999999999999995E-2"/>
    <n v="5282.5397760000005"/>
    <n v="8167.7231999999985"/>
    <n v="-2885.183423999998"/>
  </r>
  <r>
    <x v="123"/>
    <x v="114"/>
    <d v="2023-12-19T00:00:00"/>
    <n v="3"/>
    <x v="1"/>
    <x v="2"/>
    <s v="Beijing"/>
    <s v="Education"/>
    <x v="4"/>
    <x v="4"/>
    <x v="5"/>
    <x v="123"/>
    <n v="1415.05"/>
    <n v="1972.38"/>
    <n v="1972.38"/>
    <n v="0"/>
    <n v="12"/>
    <n v="23668.560000000001"/>
    <n v="16980.599999999999"/>
    <n v="6687.9600000000028"/>
    <n v="0.28256725377462771"/>
    <d v="2024-10-16T00:00:00"/>
    <s v="Q4-2023"/>
    <s v="Asia → China → Beijing"/>
    <s v="High"/>
    <x v="11"/>
    <d v="2023-01-01T00:00:00"/>
    <n v="11"/>
    <n v="1"/>
    <n v="0"/>
    <m/>
    <m/>
    <n v="14.399999999999999"/>
    <n v="1627.3074999999999"/>
    <n v="0"/>
    <n v="28402.271999999997"/>
    <n v="23433.227999999996"/>
    <n v="4969.0440000000017"/>
  </r>
  <r>
    <x v="124"/>
    <x v="115"/>
    <d v="2024-02-19T00:00:00"/>
    <n v="16"/>
    <x v="1"/>
    <x v="2"/>
    <s v="Shenzhen"/>
    <s v="Small Business"/>
    <x v="1"/>
    <x v="15"/>
    <x v="6"/>
    <x v="124"/>
    <n v="993.75"/>
    <n v="1310.29"/>
    <n v="1310.29"/>
    <n v="0.215"/>
    <n v="19"/>
    <n v="19542.975350000001"/>
    <n v="18881.25"/>
    <n v="661.72535000000062"/>
    <n v="3.3860010471742245E-2"/>
    <d v="2024-08-19T00:00:00"/>
    <s v="Q1-2024"/>
    <s v="Asia → China → Shenzhen"/>
    <s v="Medium"/>
    <x v="13"/>
    <d v="2023-01-01T00:00:00"/>
    <n v="13"/>
    <n v="0"/>
    <n v="1"/>
    <m/>
    <m/>
    <n v="22.8"/>
    <n v="1142.8125"/>
    <n v="0.215"/>
    <n v="23451.57042"/>
    <n v="26056.125"/>
    <n v="-2604.55458"/>
  </r>
  <r>
    <x v="125"/>
    <x v="116"/>
    <d v="2024-02-14T00:00:00"/>
    <n v="0"/>
    <x v="1"/>
    <x v="2"/>
    <s v="Beijing"/>
    <s v="Corporate"/>
    <x v="3"/>
    <x v="11"/>
    <x v="5"/>
    <x v="125"/>
    <n v="65.930000000000007"/>
    <n v="84.9"/>
    <n v="84.9"/>
    <n v="0.25900000000000001"/>
    <n v="23"/>
    <n v="1446.9507000000001"/>
    <n v="1516.39"/>
    <n v="-69.439300000000003"/>
    <n v="-4.7990093926489688E-2"/>
    <d v="2024-08-22T00:00:00"/>
    <s v="Q1-2024"/>
    <s v="Asia → China → Beijing"/>
    <s v="Low"/>
    <x v="13"/>
    <d v="2023-01-01T00:00:00"/>
    <n v="13"/>
    <n v="1"/>
    <n v="1"/>
    <m/>
    <m/>
    <n v="27.599999999999998"/>
    <n v="75.819500000000005"/>
    <n v="0.25"/>
    <n v="1757.4299999999998"/>
    <n v="2092.6181999999999"/>
    <n v="-335.18820000000005"/>
  </r>
  <r>
    <x v="126"/>
    <x v="117"/>
    <d v="2024-03-06T00:00:00"/>
    <n v="16"/>
    <x v="1"/>
    <x v="2"/>
    <s v="Beijing"/>
    <s v="Education"/>
    <x v="0"/>
    <x v="13"/>
    <x v="3"/>
    <x v="126"/>
    <n v="1477.84"/>
    <n v="3197.47"/>
    <n v="3197.47"/>
    <n v="0.24299999999999999"/>
    <n v="24"/>
    <n v="58091.634960000003"/>
    <n v="35468.159999999996"/>
    <n v="22623.474960000007"/>
    <n v="0.38944462443823091"/>
    <d v="2024-08-21T00:00:00"/>
    <s v="Q1-2024"/>
    <s v="Asia → China → Beijing"/>
    <s v="High"/>
    <x v="13"/>
    <d v="2023-01-01T00:00:00"/>
    <n v="13"/>
    <n v="0"/>
    <n v="1"/>
    <m/>
    <m/>
    <n v="28.799999999999997"/>
    <n v="1699.5159999999998"/>
    <n v="0.24299999999999999"/>
    <n v="69709.961951999983"/>
    <n v="48946.060799999992"/>
    <n v="20763.901151999991"/>
  </r>
  <r>
    <x v="127"/>
    <x v="118"/>
    <d v="2024-03-19T00:00:00"/>
    <n v="16"/>
    <x v="1"/>
    <x v="2"/>
    <s v="Beijing"/>
    <s v="Consumer"/>
    <x v="3"/>
    <x v="2"/>
    <x v="2"/>
    <x v="127"/>
    <n v="988.83"/>
    <n v="1206.04"/>
    <n v="1206.04"/>
    <n v="6.3E-2"/>
    <n v="34"/>
    <n v="38422.022320000004"/>
    <n v="33620.22"/>
    <n v="4801.8023200000025"/>
    <n v="0.12497526236406606"/>
    <d v="2024-07-24T00:00:00"/>
    <s v="Q1-2024"/>
    <s v="Asia → China → Beijing"/>
    <s v="Medium"/>
    <x v="29"/>
    <d v="2023-01-01T00:00:00"/>
    <n v="14"/>
    <n v="0"/>
    <n v="0"/>
    <m/>
    <m/>
    <n v="40.799999999999997"/>
    <n v="1137.1544999999999"/>
    <n v="6.3E-2"/>
    <n v="46106.426783999996"/>
    <n v="46395.903599999991"/>
    <n v="-289.47681599999487"/>
  </r>
  <r>
    <x v="128"/>
    <x v="119"/>
    <d v="2024-03-26T00:00:00"/>
    <n v="17"/>
    <x v="1"/>
    <x v="2"/>
    <s v="Shenzhen"/>
    <s v="Enterprise"/>
    <x v="1"/>
    <x v="12"/>
    <x v="0"/>
    <x v="128"/>
    <n v="1029.67"/>
    <n v="1118.43"/>
    <n v="1118.43"/>
    <n v="0.27200000000000002"/>
    <n v="9"/>
    <n v="7327.9533600000004"/>
    <n v="9267.0300000000007"/>
    <n v="-1939.0766400000002"/>
    <n v="-0.26461367106736061"/>
    <d v="2024-07-29T00:00:00"/>
    <s v="Q1-2024"/>
    <s v="Asia → China → Shenzhen"/>
    <s v="Medium"/>
    <x v="29"/>
    <d v="2023-01-01T00:00:00"/>
    <n v="14"/>
    <n v="0"/>
    <n v="1"/>
    <m/>
    <m/>
    <n v="10.799999999999999"/>
    <n v="1184.1205"/>
    <n v="0.25"/>
    <n v="9059.2829999999994"/>
    <n v="12788.501399999999"/>
    <n v="-3729.2183999999997"/>
  </r>
  <r>
    <x v="129"/>
    <x v="120"/>
    <d v="2024-04-25T00:00:00"/>
    <n v="19"/>
    <x v="1"/>
    <x v="2"/>
    <s v="Shanghai"/>
    <s v="Corporate"/>
    <x v="4"/>
    <x v="12"/>
    <x v="1"/>
    <x v="129"/>
    <n v="1366.48"/>
    <n v="1678.14"/>
    <n v="1678.14"/>
    <n v="0.154"/>
    <n v="10"/>
    <n v="14197.064400000001"/>
    <n v="13664.8"/>
    <n v="532.26440000000184"/>
    <n v="3.7491159087790132E-2"/>
    <d v="2024-06-08T00:00:00"/>
    <s v="Q2-2024"/>
    <s v="Asia → China → Shanghai"/>
    <s v="High"/>
    <x v="14"/>
    <d v="2023-01-01T00:00:00"/>
    <n v="15"/>
    <n v="0"/>
    <n v="0"/>
    <m/>
    <m/>
    <n v="12"/>
    <n v="1571.452"/>
    <n v="0.154"/>
    <n v="17036.477279999999"/>
    <n v="18857.423999999999"/>
    <n v="-1820.9467199999999"/>
  </r>
  <r>
    <x v="130"/>
    <x v="121"/>
    <d v="2024-06-16T00:00:00"/>
    <n v="12"/>
    <x v="1"/>
    <x v="2"/>
    <s v="Shanghai"/>
    <s v="Corporate"/>
    <x v="4"/>
    <x v="9"/>
    <x v="3"/>
    <x v="130"/>
    <n v="918.42"/>
    <n v="1511.71"/>
    <n v="1511.71"/>
    <n v="0.02"/>
    <n v="8"/>
    <n v="11851.806399999999"/>
    <n v="7347.36"/>
    <n v="4504.4463999999998"/>
    <n v="0.38006412254590999"/>
    <d v="2024-04-24T00:00:00"/>
    <s v="Q2-2024"/>
    <s v="Asia → China → Shanghai"/>
    <s v="Medium"/>
    <x v="16"/>
    <d v="2023-01-01T00:00:00"/>
    <n v="17"/>
    <n v="0"/>
    <n v="0"/>
    <m/>
    <m/>
    <n v="9.6"/>
    <n v="1056.1829999999998"/>
    <n v="0.02"/>
    <n v="14222.167679999999"/>
    <n v="10139.356799999998"/>
    <n v="4082.8108800000009"/>
  </r>
  <r>
    <x v="131"/>
    <x v="122"/>
    <d v="2024-06-09T00:00:00"/>
    <n v="2"/>
    <x v="1"/>
    <x v="2"/>
    <s v="Shanghai"/>
    <s v="Corporate"/>
    <x v="4"/>
    <x v="13"/>
    <x v="0"/>
    <x v="131"/>
    <n v="1370.28"/>
    <n v="2209.66"/>
    <n v="2209.66"/>
    <n v="0.13300000000000001"/>
    <n v="16"/>
    <n v="30652.403519999996"/>
    <n v="21924.48"/>
    <n v="8727.9235199999966"/>
    <n v="0.28473863442079589"/>
    <d v="2024-04-16T00:00:00"/>
    <s v="Q2-2024"/>
    <s v="Asia → China → Shanghai"/>
    <s v="High"/>
    <x v="16"/>
    <d v="2023-01-01T00:00:00"/>
    <n v="17"/>
    <n v="1"/>
    <n v="0"/>
    <m/>
    <m/>
    <n v="19.2"/>
    <n v="1575.8219999999999"/>
    <n v="0.13300000000000001"/>
    <n v="36782.884223999994"/>
    <n v="30255.782399999996"/>
    <n v="6527.1018239999976"/>
  </r>
  <r>
    <x v="132"/>
    <x v="123"/>
    <d v="2024-07-07T00:00:00"/>
    <n v="28"/>
    <x v="1"/>
    <x v="2"/>
    <s v="Shenzhen"/>
    <s v="Corporate"/>
    <x v="1"/>
    <x v="9"/>
    <x v="1"/>
    <x v="132"/>
    <n v="550.22"/>
    <n v="1025.05"/>
    <n v="1025.05"/>
    <n v="0"/>
    <n v="27"/>
    <n v="27676.35"/>
    <n v="14855.94"/>
    <n v="12820.409999999998"/>
    <n v="0.46322618408858102"/>
    <d v="2024-04-24T00:00:00"/>
    <s v="Q2-2024"/>
    <s v="Asia → China → Shenzhen"/>
    <s v="Medium"/>
    <x v="16"/>
    <d v="2023-01-01T00:00:00"/>
    <n v="17"/>
    <n v="0"/>
    <n v="0"/>
    <m/>
    <m/>
    <n v="32.4"/>
    <n v="632.75299999999993"/>
    <n v="0"/>
    <n v="33211.619999999995"/>
    <n v="20501.197199999995"/>
    <n v="12710.4228"/>
  </r>
  <r>
    <x v="133"/>
    <x v="124"/>
    <d v="2024-07-12T00:00:00"/>
    <n v="3"/>
    <x v="1"/>
    <x v="2"/>
    <s v="Shanghai"/>
    <s v="Small Business"/>
    <x v="4"/>
    <x v="0"/>
    <x v="5"/>
    <x v="133"/>
    <n v="748.39"/>
    <n v="979.42"/>
    <n v="979.42"/>
    <n v="0"/>
    <n v="23"/>
    <n v="22526.66"/>
    <n v="17212.97"/>
    <n v="5313.6899999999987"/>
    <n v="0.23588450307324738"/>
    <d v="2024-03-07T00:00:00"/>
    <s v="Q3-2024"/>
    <s v="Asia → China → Shanghai"/>
    <s v="Medium"/>
    <x v="17"/>
    <d v="2023-01-01T00:00:00"/>
    <n v="18"/>
    <n v="1"/>
    <n v="0"/>
    <m/>
    <m/>
    <n v="27.599999999999998"/>
    <n v="860.6484999999999"/>
    <n v="0"/>
    <n v="27031.991999999998"/>
    <n v="23753.898599999997"/>
    <n v="3278.0934000000016"/>
  </r>
  <r>
    <x v="134"/>
    <x v="125"/>
    <d v="2024-07-31T00:00:00"/>
    <n v="20"/>
    <x v="1"/>
    <x v="2"/>
    <s v="Shenzhen"/>
    <s v="Consumer"/>
    <x v="1"/>
    <x v="2"/>
    <x v="2"/>
    <x v="134"/>
    <n v="647.26"/>
    <n v="1374.72"/>
    <n v="1374.72"/>
    <n v="6.6000000000000003E-2"/>
    <n v="22"/>
    <n v="28247.74656"/>
    <n v="14239.72"/>
    <n v="14008.02656"/>
    <n v="0.49589890401508901"/>
    <d v="2024-02-29T00:00:00"/>
    <s v="Q3-2024"/>
    <s v="Asia → China → Shenzhen"/>
    <s v="Medium"/>
    <x v="17"/>
    <d v="2023-01-01T00:00:00"/>
    <n v="18"/>
    <n v="0"/>
    <n v="0"/>
    <m/>
    <m/>
    <n v="26.4"/>
    <n v="744.34899999999993"/>
    <n v="6.6000000000000003E-2"/>
    <n v="33897.295871999995"/>
    <n v="19650.813599999998"/>
    <n v="14246.482271999997"/>
  </r>
  <r>
    <x v="135"/>
    <x v="126"/>
    <d v="2024-09-18T00:00:00"/>
    <n v="11"/>
    <x v="1"/>
    <x v="2"/>
    <s v="Beijing"/>
    <s v="Consumer"/>
    <x v="3"/>
    <x v="13"/>
    <x v="4"/>
    <x v="135"/>
    <n v="181.74"/>
    <n v="190.84"/>
    <n v="190.84"/>
    <n v="0.214"/>
    <n v="13"/>
    <n v="1950.0031200000001"/>
    <n v="2362.62"/>
    <n v="-412.61687999999981"/>
    <n v="-0.21159806144310159"/>
    <d v="2024-01-11T00:00:00"/>
    <s v="Q3-2024"/>
    <s v="Asia → China → Beijing"/>
    <s v="Low"/>
    <x v="19"/>
    <d v="2023-01-01T00:00:00"/>
    <n v="20"/>
    <n v="0"/>
    <n v="1"/>
    <m/>
    <m/>
    <n v="15.6"/>
    <n v="209.001"/>
    <n v="0.214"/>
    <n v="2340.0037440000001"/>
    <n v="3260.4155999999998"/>
    <n v="-920.41185599999972"/>
  </r>
  <r>
    <x v="136"/>
    <x v="34"/>
    <d v="2024-10-01T00:00:00"/>
    <n v="22"/>
    <x v="1"/>
    <x v="2"/>
    <s v="Shenzhen"/>
    <s v="Consumer"/>
    <x v="2"/>
    <x v="11"/>
    <x v="3"/>
    <x v="136"/>
    <n v="1166.18"/>
    <n v="1335.02"/>
    <n v="1335.02"/>
    <n v="0.128"/>
    <n v="6"/>
    <n v="6984.8246399999998"/>
    <n v="6997.08"/>
    <n v="-12.25536000000011"/>
    <n v="-1.7545694604582242E-3"/>
    <d v="2024-01-28T00:00:00"/>
    <s v="Q3-2024"/>
    <s v="Asia → China → Shenzhen"/>
    <s v="Medium"/>
    <x v="19"/>
    <d v="2023-01-01T00:00:00"/>
    <n v="20"/>
    <n v="0"/>
    <n v="0"/>
    <m/>
    <m/>
    <n v="7.1999999999999993"/>
    <n v="1341.107"/>
    <n v="0.128"/>
    <n v="8381.7895679999983"/>
    <n v="9655.9703999999983"/>
    <n v="-1274.180832"/>
  </r>
  <r>
    <x v="137"/>
    <x v="127"/>
    <d v="2024-10-05T00:00:00"/>
    <n v="21"/>
    <x v="1"/>
    <x v="2"/>
    <s v="Shanghai"/>
    <s v="Small Business"/>
    <x v="1"/>
    <x v="15"/>
    <x v="6"/>
    <x v="137"/>
    <n v="1405.56"/>
    <n v="2968.87"/>
    <n v="2968.87"/>
    <n v="0.16900000000000001"/>
    <n v="5"/>
    <n v="12335.654849999999"/>
    <n v="7027.7999999999993"/>
    <n v="5307.8548499999997"/>
    <n v="0.4302856163327235"/>
    <d v="2024-01-01T00:00:00"/>
    <s v="Q3-2024"/>
    <s v="Asia → China → Shanghai"/>
    <s v="High"/>
    <x v="19"/>
    <d v="2023-01-01T00:00:00"/>
    <n v="20"/>
    <n v="0"/>
    <n v="0"/>
    <m/>
    <m/>
    <n v="6"/>
    <n v="1616.3939999999998"/>
    <n v="0.16900000000000001"/>
    <n v="14802.785820000001"/>
    <n v="9698.3639999999978"/>
    <n v="5104.4218200000032"/>
  </r>
  <r>
    <x v="138"/>
    <x v="128"/>
    <d v="2024-10-11T00:00:00"/>
    <n v="8"/>
    <x v="1"/>
    <x v="2"/>
    <s v="Beijing"/>
    <s v="Enterprise"/>
    <x v="2"/>
    <x v="7"/>
    <x v="2"/>
    <x v="138"/>
    <n v="1132.6099999999999"/>
    <n v="2206.63"/>
    <n v="2206.63"/>
    <n v="6.3E-2"/>
    <n v="20"/>
    <n v="41352.246200000009"/>
    <n v="22652.199999999997"/>
    <n v="18700.046200000012"/>
    <n v="0.45221355351671338"/>
    <d v="2024-01-13T00:00:00"/>
    <s v="Q4-2024"/>
    <s v="Asia → China → Beijing"/>
    <s v="High"/>
    <x v="32"/>
    <d v="2023-01-01T00:00:00"/>
    <n v="21"/>
    <n v="0"/>
    <n v="0"/>
    <m/>
    <m/>
    <n v="24"/>
    <n v="1302.5014999999999"/>
    <n v="6.3E-2"/>
    <n v="49622.695440000003"/>
    <n v="31260.035999999996"/>
    <n v="18362.659440000007"/>
  </r>
  <r>
    <x v="139"/>
    <x v="129"/>
    <d v="2024-11-09T00:00:00"/>
    <n v="29"/>
    <x v="1"/>
    <x v="2"/>
    <s v="Shanghai"/>
    <s v="Non-Profit"/>
    <x v="1"/>
    <x v="8"/>
    <x v="3"/>
    <x v="139"/>
    <n v="391.64"/>
    <n v="504.76"/>
    <n v="504.76"/>
    <n v="4.0000000000000001E-3"/>
    <n v="13"/>
    <n v="6535.6324800000002"/>
    <n v="5091.32"/>
    <n v="1444.3124800000005"/>
    <n v="0.22099046793402319"/>
    <d v="2024-01-08T00:00:00"/>
    <s v="Q4-2024"/>
    <s v="Asia → China → Shanghai"/>
    <s v="Low"/>
    <x v="32"/>
    <d v="2023-01-01T00:00:00"/>
    <n v="21"/>
    <n v="0"/>
    <n v="0"/>
    <m/>
    <m/>
    <n v="15.6"/>
    <n v="450.38599999999997"/>
    <n v="4.0000000000000001E-3"/>
    <n v="7842.7589759999992"/>
    <n v="7026.0215999999991"/>
    <n v="816.73737600000004"/>
  </r>
  <r>
    <x v="140"/>
    <x v="130"/>
    <d v="2024-10-28T00:00:00"/>
    <n v="4"/>
    <x v="1"/>
    <x v="2"/>
    <s v="Shanghai"/>
    <s v="Small Business"/>
    <x v="3"/>
    <x v="14"/>
    <x v="4"/>
    <x v="140"/>
    <n v="1331.77"/>
    <n v="2606.11"/>
    <n v="2606.11"/>
    <n v="0.02"/>
    <n v="6"/>
    <n v="15323.926799999999"/>
    <n v="7990.62"/>
    <n v="7333.3067999999994"/>
    <n v="0.47855271665745619"/>
    <d v="2023-12-19T00:00:00"/>
    <s v="Q4-2024"/>
    <s v="Asia → China → Shanghai"/>
    <s v="High"/>
    <x v="32"/>
    <d v="2023-01-01T00:00:00"/>
    <n v="21"/>
    <n v="1"/>
    <n v="0"/>
    <m/>
    <m/>
    <n v="7.1999999999999993"/>
    <n v="1531.5355"/>
    <n v="0.02"/>
    <n v="18388.712159999999"/>
    <n v="11027.055599999998"/>
    <n v="7361.6565600000013"/>
  </r>
  <r>
    <x v="141"/>
    <x v="131"/>
    <d v="2024-11-24T00:00:00"/>
    <n v="25"/>
    <x v="1"/>
    <x v="2"/>
    <s v="Shenzhen"/>
    <s v="Small Business"/>
    <x v="1"/>
    <x v="6"/>
    <x v="1"/>
    <x v="141"/>
    <n v="811.05"/>
    <n v="1217.71"/>
    <n v="1217.71"/>
    <n v="7.1999999999999995E-2"/>
    <n v="5"/>
    <n v="5650.1744000000008"/>
    <n v="4055.25"/>
    <n v="1594.9244000000008"/>
    <n v="0.28227879125288602"/>
    <d v="2023-12-16T00:00:00"/>
    <s v="Q4-2024"/>
    <s v="Asia → China → Shenzhen"/>
    <s v="Medium"/>
    <x v="32"/>
    <d v="2023-01-01T00:00:00"/>
    <n v="21"/>
    <n v="0"/>
    <n v="0"/>
    <m/>
    <m/>
    <n v="6"/>
    <n v="932.70749999999987"/>
    <n v="7.1999999999999995E-2"/>
    <n v="6780.2092800000009"/>
    <n v="5596.244999999999"/>
    <n v="1183.964280000002"/>
  </r>
  <r>
    <x v="142"/>
    <x v="132"/>
    <d v="2024-12-07T00:00:00"/>
    <n v="12"/>
    <x v="1"/>
    <x v="2"/>
    <s v="Shanghai"/>
    <s v="Corporate"/>
    <x v="3"/>
    <x v="4"/>
    <x v="5"/>
    <x v="142"/>
    <n v="769.9"/>
    <n v="814.36"/>
    <n v="814.36"/>
    <n v="0"/>
    <n v="5"/>
    <n v="4071.8"/>
    <n v="3849.5"/>
    <n v="222.30000000000018"/>
    <n v="5.4595019401738831E-2"/>
    <d v="2023-10-22T00:00:00"/>
    <s v="Q4-2024"/>
    <s v="Asia → China → Shanghai"/>
    <s v="Low"/>
    <x v="20"/>
    <d v="2023-01-01T00:00:00"/>
    <n v="22"/>
    <n v="0"/>
    <n v="0"/>
    <m/>
    <m/>
    <n v="6"/>
    <n v="885.38499999999988"/>
    <n v="0"/>
    <n v="4886.16"/>
    <n v="5312.3099999999995"/>
    <n v="-426.14999999999964"/>
  </r>
  <r>
    <x v="143"/>
    <x v="133"/>
    <d v="2025-01-12T00:00:00"/>
    <n v="29"/>
    <x v="1"/>
    <x v="2"/>
    <s v="Shenzhen"/>
    <s v="Education"/>
    <x v="1"/>
    <x v="9"/>
    <x v="1"/>
    <x v="143"/>
    <n v="1412.15"/>
    <n v="1631.04"/>
    <n v="1631.04"/>
    <n v="8.9999999999999993E-3"/>
    <n v="6"/>
    <n v="9698.1638399999993"/>
    <n v="8472.9000000000015"/>
    <n v="1225.2638399999978"/>
    <n v="0.12633977526203535"/>
    <d v="2023-10-07T00:00:00"/>
    <s v="Q4-2024"/>
    <s v="Asia → China → Shenzhen"/>
    <s v="Medium"/>
    <x v="30"/>
    <d v="2023-01-01T00:00:00"/>
    <n v="23"/>
    <n v="0"/>
    <n v="0"/>
    <m/>
    <m/>
    <n v="7.1999999999999993"/>
    <n v="1623.9725000000001"/>
    <n v="8.9999999999999993E-3"/>
    <n v="11637.796607999999"/>
    <n v="11692.601999999999"/>
    <n v="-54.805392000000211"/>
  </r>
  <r>
    <x v="144"/>
    <x v="134"/>
    <d v="2024-12-20T00:00:00"/>
    <n v="5"/>
    <x v="1"/>
    <x v="2"/>
    <s v="Shenzhen"/>
    <s v="Small Business"/>
    <x v="2"/>
    <x v="9"/>
    <x v="4"/>
    <x v="144"/>
    <n v="717.55"/>
    <n v="546.42999999999995"/>
    <n v="546.42999999999995"/>
    <n v="4.7E-2"/>
    <n v="18"/>
    <n v="9373.460219999999"/>
    <n v="12915.9"/>
    <n v="-3542.4397800000006"/>
    <n v="-0.37792231437026369"/>
    <d v="2023-10-21T00:00:00"/>
    <s v="Q4-2024"/>
    <s v="Asia → China → Shenzhen"/>
    <s v="Low"/>
    <x v="30"/>
    <d v="2023-01-01T00:00:00"/>
    <n v="23"/>
    <n v="1"/>
    <n v="0"/>
    <m/>
    <m/>
    <n v="21.599999999999998"/>
    <n v="825.18249999999989"/>
    <n v="4.7E-2"/>
    <n v="11248.152263999997"/>
    <n v="17823.941999999995"/>
    <n v="-6575.7897359999988"/>
  </r>
  <r>
    <x v="145"/>
    <x v="135"/>
    <d v="2025-01-08T00:00:00"/>
    <n v="11"/>
    <x v="1"/>
    <x v="2"/>
    <s v="Shenzhen"/>
    <s v="Enterprise"/>
    <x v="1"/>
    <x v="12"/>
    <x v="6"/>
    <x v="145"/>
    <n v="1201.31"/>
    <n v="2764.65"/>
    <n v="2764.65"/>
    <n v="0"/>
    <n v="21"/>
    <n v="58057.65"/>
    <n v="25227.51"/>
    <n v="32830.14"/>
    <n v="0.56547483406579491"/>
    <d v="2023-09-17T00:00:00"/>
    <s v="Q4-2024"/>
    <s v="Asia → China → Shenzhen"/>
    <s v="High"/>
    <x v="30"/>
    <d v="2023-01-01T00:00:00"/>
    <n v="23"/>
    <n v="0"/>
    <n v="0"/>
    <m/>
    <m/>
    <n v="25.2"/>
    <n v="1381.5064999999997"/>
    <n v="0"/>
    <n v="69669.180000000008"/>
    <n v="34813.96379999999"/>
    <n v="34855.216200000017"/>
  </r>
  <r>
    <x v="146"/>
    <x v="136"/>
    <d v="2025-01-15T00:00:00"/>
    <n v="6"/>
    <x v="1"/>
    <x v="2"/>
    <s v="Beijing"/>
    <s v="Education"/>
    <x v="1"/>
    <x v="5"/>
    <x v="2"/>
    <x v="146"/>
    <n v="304.77999999999997"/>
    <n v="537.27"/>
    <n v="537.27"/>
    <n v="0.187"/>
    <n v="8"/>
    <n v="3494.4040799999998"/>
    <n v="2438.2399999999998"/>
    <n v="1056.16408"/>
    <n v="0.3022444044307549"/>
    <d v="2023-08-29T00:00:00"/>
    <s v="Q1-2025"/>
    <s v="Asia → China → Beijing"/>
    <s v="Low"/>
    <x v="21"/>
    <d v="2023-01-01T00:00:00"/>
    <n v="24"/>
    <n v="1"/>
    <n v="0"/>
    <m/>
    <m/>
    <n v="9.6"/>
    <n v="350.49699999999996"/>
    <n v="0.187"/>
    <n v="4193.2848959999992"/>
    <n v="3364.7711999999997"/>
    <n v="828.51369599999953"/>
  </r>
  <r>
    <x v="147"/>
    <x v="137"/>
    <d v="2025-02-15T00:00:00"/>
    <n v="19"/>
    <x v="1"/>
    <x v="2"/>
    <s v="Shenzhen"/>
    <s v="Non-Profit"/>
    <x v="2"/>
    <x v="11"/>
    <x v="2"/>
    <x v="147"/>
    <n v="1253.22"/>
    <n v="3104.71"/>
    <n v="3104.71"/>
    <n v="0"/>
    <n v="17"/>
    <n v="52780.07"/>
    <n v="21304.74"/>
    <n v="31475.329999999998"/>
    <n v="0.59634877331538205"/>
    <d v="2023-08-12T00:00:00"/>
    <s v="Q1-2025"/>
    <s v="Asia → China → Shenzhen"/>
    <s v="High"/>
    <x v="21"/>
    <d v="2023-01-01T00:00:00"/>
    <n v="24"/>
    <n v="0"/>
    <n v="0"/>
    <m/>
    <m/>
    <n v="20.399999999999999"/>
    <n v="1441.203"/>
    <n v="0"/>
    <n v="63336.083999999995"/>
    <n v="29400.541199999996"/>
    <n v="33935.542799999996"/>
  </r>
  <r>
    <x v="148"/>
    <x v="138"/>
    <d v="2025-04-08T00:00:00"/>
    <n v="25"/>
    <x v="1"/>
    <x v="2"/>
    <s v="Shanghai"/>
    <s v="Corporate"/>
    <x v="3"/>
    <x v="0"/>
    <x v="3"/>
    <x v="148"/>
    <n v="80.59"/>
    <n v="157.82"/>
    <n v="157.82"/>
    <n v="0.217"/>
    <n v="6"/>
    <n v="741.43835999999999"/>
    <n v="483.54"/>
    <n v="257.89835999999997"/>
    <n v="0.34783519967863541"/>
    <d v="2023-07-18T00:00:00"/>
    <s v="Q1-2025"/>
    <s v="Asia → China → Shanghai"/>
    <s v="Low"/>
    <x v="23"/>
    <d v="2023-01-01T00:00:00"/>
    <n v="26"/>
    <n v="0"/>
    <n v="1"/>
    <m/>
    <m/>
    <n v="7.1999999999999993"/>
    <n v="92.6785"/>
    <n v="0.217"/>
    <n v="889.72603199999992"/>
    <n v="667.28519999999992"/>
    <n v="222.440832"/>
  </r>
  <r>
    <x v="149"/>
    <x v="139"/>
    <d v="2025-03-25T00:00:00"/>
    <n v="1"/>
    <x v="1"/>
    <x v="2"/>
    <s v="Beijing"/>
    <s v="Non-Profit"/>
    <x v="1"/>
    <x v="2"/>
    <x v="4"/>
    <x v="149"/>
    <n v="1133.03"/>
    <n v="1921.51"/>
    <n v="1921.51"/>
    <n v="0.10100000000000001"/>
    <n v="5"/>
    <n v="8637.1874499999994"/>
    <n v="5665.15"/>
    <n v="2972.0374499999998"/>
    <n v="0.3440978289755654"/>
    <d v="2023-06-23T00:00:00"/>
    <s v="Q1-2025"/>
    <s v="Asia → China → Beijing"/>
    <s v="High"/>
    <x v="23"/>
    <d v="2023-01-01T00:00:00"/>
    <n v="26"/>
    <n v="1"/>
    <n v="0"/>
    <m/>
    <m/>
    <n v="6"/>
    <n v="1302.9844999999998"/>
    <n v="0.10100000000000001"/>
    <n v="10364.62494"/>
    <n v="7817.9069999999992"/>
    <n v="2546.7179400000005"/>
  </r>
  <r>
    <x v="150"/>
    <x v="140"/>
    <d v="2025-05-27T00:00:00"/>
    <n v="11"/>
    <x v="1"/>
    <x v="2"/>
    <s v="Beijing"/>
    <s v="Enterprise"/>
    <x v="1"/>
    <x v="8"/>
    <x v="2"/>
    <x v="150"/>
    <n v="918.12"/>
    <n v="1337.69"/>
    <n v="1337.69"/>
    <n v="9.5000000000000001E-2"/>
    <n v="8"/>
    <n v="9684.8756000000012"/>
    <n v="7344.96"/>
    <n v="2339.9156000000012"/>
    <n v="0.24160512707050164"/>
    <d v="2023-05-23T00:00:00"/>
    <s v="Q2-2025"/>
    <s v="Asia → China → Beijing"/>
    <s v="Medium"/>
    <x v="25"/>
    <d v="2023-01-01T00:00:00"/>
    <n v="28"/>
    <n v="0"/>
    <n v="0"/>
    <m/>
    <m/>
    <n v="9.6"/>
    <n v="1055.838"/>
    <n v="9.5000000000000001E-2"/>
    <n v="11621.85072"/>
    <n v="10136.0448"/>
    <n v="1485.8059200000007"/>
  </r>
  <r>
    <x v="151"/>
    <x v="94"/>
    <d v="2025-07-10T00:00:00"/>
    <n v="16"/>
    <x v="1"/>
    <x v="2"/>
    <s v="Shanghai"/>
    <s v="Enterprise"/>
    <x v="2"/>
    <x v="1"/>
    <x v="1"/>
    <x v="151"/>
    <n v="757.19"/>
    <n v="1735.41"/>
    <n v="1735.41"/>
    <n v="0.13600000000000001"/>
    <n v="8"/>
    <n v="11995.153920000001"/>
    <n v="6057.52"/>
    <n v="5937.6339200000002"/>
    <n v="0.4950027285685718"/>
    <d v="2023-04-13T00:00:00"/>
    <s v="Q2-2025"/>
    <s v="Asia → China → Shanghai"/>
    <s v="High"/>
    <x v="31"/>
    <d v="2023-01-01T00:00:00"/>
    <n v="29"/>
    <n v="0"/>
    <n v="0"/>
    <m/>
    <m/>
    <n v="9.6"/>
    <n v="870.76850000000002"/>
    <n v="0.13600000000000001"/>
    <n v="14394.184704000001"/>
    <n v="8359.3775999999998"/>
    <n v="6034.8071040000013"/>
  </r>
  <r>
    <x v="152"/>
    <x v="141"/>
    <d v="2025-07-11T00:00:00"/>
    <n v="14"/>
    <x v="1"/>
    <x v="2"/>
    <s v="Shanghai"/>
    <s v="Small Business"/>
    <x v="0"/>
    <x v="11"/>
    <x v="4"/>
    <x v="152"/>
    <n v="1227.7"/>
    <n v="2197.23"/>
    <n v="2197.23"/>
    <n v="9.9000000000000005E-2"/>
    <n v="22"/>
    <n v="43553.493060000001"/>
    <n v="27009.4"/>
    <n v="16544.093059999999"/>
    <n v="0.37985685871873898"/>
    <d v="2023-04-12T00:00:00"/>
    <s v="Q2-2025"/>
    <s v="Asia → China → Shanghai"/>
    <s v="High"/>
    <x v="31"/>
    <d v="2023-01-01T00:00:00"/>
    <n v="29"/>
    <n v="0"/>
    <n v="0"/>
    <m/>
    <m/>
    <n v="26.4"/>
    <n v="1411.855"/>
    <n v="9.9000000000000005E-2"/>
    <n v="52264.191672000001"/>
    <n v="37272.972000000002"/>
    <n v="14991.219671999999"/>
  </r>
  <r>
    <x v="153"/>
    <x v="142"/>
    <d v="2025-07-23T00:00:00"/>
    <n v="20"/>
    <x v="1"/>
    <x v="2"/>
    <s v="Beijing"/>
    <s v="Small Business"/>
    <x v="1"/>
    <x v="3"/>
    <x v="1"/>
    <x v="153"/>
    <n v="647.36"/>
    <n v="1383.6"/>
    <n v="1383.6"/>
    <n v="7.3999999999999996E-2"/>
    <n v="12"/>
    <n v="15374.563199999999"/>
    <n v="7768.32"/>
    <n v="7606.243199999999"/>
    <n v="0.49472906000997802"/>
    <d v="2023-04-03T00:00:00"/>
    <s v="Q3-2025"/>
    <s v="Asia → China → Beijing"/>
    <s v="Medium"/>
    <x v="26"/>
    <d v="2023-01-01T00:00:00"/>
    <n v="30"/>
    <n v="0"/>
    <n v="0"/>
    <m/>
    <m/>
    <n v="14.399999999999999"/>
    <n v="744.46399999999994"/>
    <n v="7.3999999999999996E-2"/>
    <n v="18449.475839999999"/>
    <n v="10720.281599999998"/>
    <n v="7729.1942400000007"/>
  </r>
  <r>
    <x v="154"/>
    <x v="143"/>
    <d v="2025-08-18T00:00:00"/>
    <n v="27"/>
    <x v="1"/>
    <x v="2"/>
    <s v="Shenzhen"/>
    <s v="Non-Profit"/>
    <x v="0"/>
    <x v="3"/>
    <x v="4"/>
    <x v="154"/>
    <n v="547.32000000000005"/>
    <n v="419.17"/>
    <n v="419.17"/>
    <n v="9.1999999999999998E-2"/>
    <n v="14"/>
    <n v="5328.4890400000004"/>
    <n v="7662.4800000000005"/>
    <n v="-2333.9909600000001"/>
    <n v="-0.43802116181137907"/>
    <d v="2023-03-14T00:00:00"/>
    <s v="Q3-2025"/>
    <s v="Asia → China → Shenzhen"/>
    <s v="Low"/>
    <x v="26"/>
    <d v="2023-01-01T00:00:00"/>
    <n v="30"/>
    <n v="0"/>
    <n v="0"/>
    <m/>
    <m/>
    <n v="16.8"/>
    <n v="629.41800000000001"/>
    <n v="9.1999999999999998E-2"/>
    <n v="6394.1868480000003"/>
    <n v="10574.222400000001"/>
    <n v="-4180.0355520000003"/>
  </r>
  <r>
    <x v="155"/>
    <x v="144"/>
    <d v="2025-08-21T00:00:00"/>
    <n v="20"/>
    <x v="1"/>
    <x v="2"/>
    <s v="Shanghai"/>
    <s v="Corporate"/>
    <x v="2"/>
    <x v="14"/>
    <x v="2"/>
    <x v="155"/>
    <n v="1220.4100000000001"/>
    <n v="2552.2199999999998"/>
    <n v="2552.2199999999998"/>
    <n v="0.18099999999999999"/>
    <n v="14"/>
    <n v="29263.754519999995"/>
    <n v="17085.740000000002"/>
    <n v="12178.014519999993"/>
    <n v="0.41614668793360271"/>
    <d v="2023-03-03T00:00:00"/>
    <s v="Q3-2025"/>
    <s v="Asia → China → Shanghai"/>
    <s v="High"/>
    <x v="27"/>
    <d v="2023-01-01T00:00:00"/>
    <n v="31"/>
    <n v="0"/>
    <n v="0"/>
    <m/>
    <m/>
    <n v="16.8"/>
    <n v="1403.4714999999999"/>
    <n v="0.18099999999999999"/>
    <n v="35116.505423999995"/>
    <n v="23578.321199999998"/>
    <n v="11538.184223999997"/>
  </r>
  <r>
    <x v="156"/>
    <x v="145"/>
    <d v="2025-09-12T00:00:00"/>
    <n v="22"/>
    <x v="1"/>
    <x v="2"/>
    <s v="Shenzhen"/>
    <s v="Education"/>
    <x v="4"/>
    <x v="7"/>
    <x v="3"/>
    <x v="156"/>
    <n v="352.66"/>
    <n v="411.18"/>
    <n v="411.18"/>
    <n v="0.17299999999999999"/>
    <n v="13"/>
    <n v="4420.5961799999995"/>
    <n v="4584.58"/>
    <n v="-163.98382000000038"/>
    <n v="-3.7095408248758066E-2"/>
    <d v="2023-02-15T00:00:00"/>
    <s v="Q3-2025"/>
    <s v="Asia → China → Shenzhen"/>
    <s v="Low"/>
    <x v="27"/>
    <d v="2023-01-01T00:00:00"/>
    <n v="31"/>
    <n v="0"/>
    <n v="0"/>
    <m/>
    <m/>
    <n v="15.6"/>
    <n v="405.55899999999997"/>
    <n v="0.17299999999999999"/>
    <n v="5304.715416"/>
    <n v="6326.7203999999992"/>
    <n v="-1022.0049839999992"/>
  </r>
  <r>
    <x v="157"/>
    <x v="146"/>
    <d v="2023-01-29T00:00:00"/>
    <n v="19"/>
    <x v="2"/>
    <x v="3"/>
    <s v="Lyon"/>
    <s v="Non-Profit"/>
    <x v="2"/>
    <x v="0"/>
    <x v="6"/>
    <x v="157"/>
    <n v="401.66"/>
    <n v="772.09"/>
    <n v="772.09"/>
    <n v="8.8999999999999996E-2"/>
    <n v="14"/>
    <n v="9847.2358600000007"/>
    <n v="5623.2400000000007"/>
    <n v="4223.99586"/>
    <n v="0.42895244107619046"/>
    <d v="2025-09-10T00:00:00"/>
    <s v="Q1-2023"/>
    <s v="Europe → France → Lyon"/>
    <s v="Low"/>
    <x v="0"/>
    <d v="2023-01-01T00:00:00"/>
    <n v="0"/>
    <n v="0"/>
    <n v="0"/>
    <m/>
    <m/>
    <n v="16.8"/>
    <n v="461.90899999999999"/>
    <n v="8.8999999999999996E-2"/>
    <n v="11816.683032000001"/>
    <n v="7760.0712000000003"/>
    <n v="4056.6118320000005"/>
  </r>
  <r>
    <x v="158"/>
    <x v="147"/>
    <d v="2023-02-28T00:00:00"/>
    <n v="1"/>
    <x v="2"/>
    <x v="3"/>
    <s v="Marseille"/>
    <s v="Corporate"/>
    <x v="4"/>
    <x v="12"/>
    <x v="4"/>
    <x v="158"/>
    <n v="1299.81"/>
    <n v="3149.13"/>
    <n v="3149.13"/>
    <n v="0.10299999999999999"/>
    <n v="14"/>
    <n v="39546.774539999999"/>
    <n v="18197.34"/>
    <n v="21349.434539999998"/>
    <n v="0.53985273864511729"/>
    <d v="2025-08-07T00:00:00"/>
    <s v="Q1-2023"/>
    <s v="Europe → France → Marseille"/>
    <s v="High"/>
    <x v="1"/>
    <d v="2023-01-01T00:00:00"/>
    <n v="1"/>
    <n v="1"/>
    <n v="0"/>
    <m/>
    <m/>
    <n v="16.8"/>
    <n v="1494.7814999999998"/>
    <n v="0.10299999999999999"/>
    <n v="47456.129448000007"/>
    <n v="25112.329199999996"/>
    <n v="22343.80024800001"/>
  </r>
  <r>
    <x v="159"/>
    <x v="148"/>
    <d v="2023-04-16T00:00:00"/>
    <n v="13"/>
    <x v="2"/>
    <x v="3"/>
    <s v="Marseille"/>
    <s v="Non-Profit"/>
    <x v="0"/>
    <x v="3"/>
    <x v="5"/>
    <x v="159"/>
    <n v="790.54"/>
    <n v="601.49"/>
    <n v="601.49"/>
    <n v="0"/>
    <n v="15"/>
    <n v="9022.35"/>
    <n v="11858.099999999999"/>
    <n v="-2835.7499999999982"/>
    <n v="-0.31430281467688553"/>
    <d v="2025-07-16T00:00:00"/>
    <s v="Q2-2023"/>
    <s v="Europe → France → Marseille"/>
    <s v="Low"/>
    <x v="3"/>
    <d v="2023-01-01T00:00:00"/>
    <n v="3"/>
    <n v="0"/>
    <n v="0"/>
    <m/>
    <m/>
    <n v="18"/>
    <n v="909.12099999999987"/>
    <n v="0"/>
    <n v="10826.82"/>
    <n v="16364.177999999998"/>
    <n v="-5537.3579999999984"/>
  </r>
  <r>
    <x v="160"/>
    <x v="149"/>
    <d v="2023-04-17T00:00:00"/>
    <n v="5"/>
    <x v="2"/>
    <x v="3"/>
    <s v="Lyon"/>
    <s v="Enterprise"/>
    <x v="2"/>
    <x v="6"/>
    <x v="0"/>
    <x v="160"/>
    <n v="1087.81"/>
    <n v="2323.87"/>
    <n v="2323.87"/>
    <n v="9.4E-2"/>
    <n v="13"/>
    <n v="27370.540859999997"/>
    <n v="14141.529999999999"/>
    <n v="13229.010859999999"/>
    <n v="0.48333026839572651"/>
    <d v="2025-06-27T00:00:00"/>
    <s v="Q2-2023"/>
    <s v="Europe → France → Lyon"/>
    <s v="High"/>
    <x v="3"/>
    <d v="2023-01-01T00:00:00"/>
    <n v="3"/>
    <n v="1"/>
    <n v="0"/>
    <m/>
    <m/>
    <n v="15.6"/>
    <n v="1250.9814999999999"/>
    <n v="9.4E-2"/>
    <n v="32844.649031999994"/>
    <n v="19515.311399999999"/>
    <n v="13329.337631999995"/>
  </r>
  <r>
    <x v="161"/>
    <x v="63"/>
    <d v="2023-04-20T00:00:00"/>
    <n v="7"/>
    <x v="2"/>
    <x v="3"/>
    <s v="Lyon"/>
    <s v="Small Business"/>
    <x v="1"/>
    <x v="4"/>
    <x v="6"/>
    <x v="161"/>
    <n v="227.02"/>
    <n v="434.72"/>
    <n v="434.72"/>
    <n v="9.8000000000000004E-2"/>
    <n v="10"/>
    <n v="3921.1744000000008"/>
    <n v="2270.2000000000003"/>
    <n v="1650.9744000000005"/>
    <n v="0.42104079838938052"/>
    <d v="2025-06-25T00:00:00"/>
    <s v="Q2-2023"/>
    <s v="Europe → France → Lyon"/>
    <s v="Low"/>
    <x v="3"/>
    <d v="2023-01-01T00:00:00"/>
    <n v="3"/>
    <n v="1"/>
    <n v="0"/>
    <m/>
    <m/>
    <n v="12"/>
    <n v="261.07299999999998"/>
    <n v="9.8000000000000004E-2"/>
    <n v="4705.4092800000008"/>
    <n v="3132.8759999999997"/>
    <n v="1572.533280000001"/>
  </r>
  <r>
    <x v="162"/>
    <x v="150"/>
    <d v="2023-04-26T00:00:00"/>
    <n v="0"/>
    <x v="2"/>
    <x v="3"/>
    <s v="Marseille"/>
    <s v="Consumer"/>
    <x v="2"/>
    <x v="3"/>
    <x v="1"/>
    <x v="162"/>
    <n v="81.489999999999995"/>
    <n v="113.08"/>
    <n v="113.08"/>
    <n v="0.121"/>
    <n v="5"/>
    <n v="496.98660000000001"/>
    <n v="407.45"/>
    <n v="89.536600000000021"/>
    <n v="0.18015898215364362"/>
    <d v="2025-06-05T00:00:00"/>
    <s v="Q2-2023"/>
    <s v="Europe → France → Marseille"/>
    <s v="Low"/>
    <x v="3"/>
    <d v="2023-01-01T00:00:00"/>
    <n v="3"/>
    <n v="1"/>
    <n v="0"/>
    <m/>
    <m/>
    <n v="6"/>
    <n v="93.713499999999982"/>
    <n v="0.121"/>
    <n v="596.38391999999999"/>
    <n v="562.28099999999995"/>
    <n v="34.10292000000004"/>
  </r>
  <r>
    <x v="163"/>
    <x v="65"/>
    <d v="2023-07-21T00:00:00"/>
    <n v="29"/>
    <x v="2"/>
    <x v="3"/>
    <s v="Lyon"/>
    <s v="Corporate"/>
    <x v="4"/>
    <x v="9"/>
    <x v="5"/>
    <x v="163"/>
    <n v="734.34"/>
    <n v="887.9"/>
    <n v="887.9"/>
    <n v="2.5000000000000001E-2"/>
    <n v="12"/>
    <n v="10388.429999999998"/>
    <n v="8812.08"/>
    <n v="1576.3499999999985"/>
    <n v="0.15174092716608753"/>
    <d v="2025-04-17T00:00:00"/>
    <s v="Q2-2023"/>
    <s v="Europe → France → Lyon"/>
    <s v="Medium"/>
    <x v="5"/>
    <d v="2023-01-01T00:00:00"/>
    <n v="5"/>
    <n v="0"/>
    <n v="0"/>
    <m/>
    <m/>
    <n v="14.399999999999999"/>
    <n v="844.49099999999999"/>
    <n v="2.5000000000000001E-2"/>
    <n v="12466.115999999998"/>
    <n v="12160.670399999999"/>
    <n v="305.4455999999991"/>
  </r>
  <r>
    <x v="164"/>
    <x v="151"/>
    <d v="2023-07-11T00:00:00"/>
    <n v="10"/>
    <x v="2"/>
    <x v="3"/>
    <s v="Paris"/>
    <s v="Corporate"/>
    <x v="2"/>
    <x v="8"/>
    <x v="4"/>
    <x v="164"/>
    <n v="479.5"/>
    <n v="656.66"/>
    <n v="656.66"/>
    <n v="0.14899999999999999"/>
    <n v="14"/>
    <n v="7823.4472399999995"/>
    <n v="6713"/>
    <n v="1110.4472399999995"/>
    <n v="0.14193835606412289"/>
    <d v="2025-03-21T00:00:00"/>
    <s v="Q3-2023"/>
    <s v="Europe → France → Paris"/>
    <s v="Low"/>
    <x v="6"/>
    <d v="2023-01-01T00:00:00"/>
    <n v="6"/>
    <n v="0"/>
    <n v="0"/>
    <m/>
    <m/>
    <n v="16.8"/>
    <n v="551.42499999999995"/>
    <n v="0.14899999999999999"/>
    <n v="9388.1366880000005"/>
    <n v="9263.94"/>
    <n v="124.19668799999999"/>
  </r>
  <r>
    <x v="165"/>
    <x v="152"/>
    <d v="2023-08-01T00:00:00"/>
    <n v="22"/>
    <x v="2"/>
    <x v="3"/>
    <s v="Marseille"/>
    <s v="Consumer"/>
    <x v="0"/>
    <x v="7"/>
    <x v="3"/>
    <x v="165"/>
    <n v="1303.56"/>
    <n v="1791.37"/>
    <n v="1791.37"/>
    <n v="0.126"/>
    <n v="22"/>
    <n v="34444.462359999998"/>
    <n v="28678.32"/>
    <n v="5766.142359999998"/>
    <n v="0.16740404596055358"/>
    <d v="2025-03-15T00:00:00"/>
    <s v="Q3-2023"/>
    <s v="Europe → France → Marseille"/>
    <s v="High"/>
    <x v="6"/>
    <d v="2023-01-01T00:00:00"/>
    <n v="6"/>
    <n v="0"/>
    <n v="0"/>
    <m/>
    <m/>
    <n v="26.4"/>
    <n v="1499.0939999999998"/>
    <n v="0.126"/>
    <n v="41333.354831999997"/>
    <n v="39576.08159999999"/>
    <n v="1757.2732320000068"/>
  </r>
  <r>
    <x v="166"/>
    <x v="153"/>
    <d v="2023-08-19T00:00:00"/>
    <n v="20"/>
    <x v="2"/>
    <x v="3"/>
    <s v="Paris"/>
    <s v="Enterprise"/>
    <x v="0"/>
    <x v="2"/>
    <x v="4"/>
    <x v="166"/>
    <n v="1418.51"/>
    <n v="2789.61"/>
    <n v="2789.61"/>
    <n v="0.17100000000000001"/>
    <n v="8"/>
    <n v="18500.693520000001"/>
    <n v="11348.08"/>
    <n v="7152.6135200000008"/>
    <n v="0.38661326464695689"/>
    <d v="2025-02-28T00:00:00"/>
    <s v="Q3-2023"/>
    <s v="Europe → France → Paris"/>
    <s v="High"/>
    <x v="6"/>
    <d v="2023-01-01T00:00:00"/>
    <n v="6"/>
    <n v="0"/>
    <n v="0"/>
    <m/>
    <m/>
    <n v="9.6"/>
    <n v="1631.2864999999999"/>
    <n v="0.17100000000000001"/>
    <n v="22200.832224000002"/>
    <n v="15660.350399999999"/>
    <n v="6540.4818240000022"/>
  </r>
  <r>
    <x v="167"/>
    <x v="70"/>
    <d v="2023-09-19T00:00:00"/>
    <n v="21"/>
    <x v="2"/>
    <x v="3"/>
    <s v="Lyon"/>
    <s v="Small Business"/>
    <x v="2"/>
    <x v="7"/>
    <x v="3"/>
    <x v="167"/>
    <n v="784.46"/>
    <n v="1843.51"/>
    <n v="1843.51"/>
    <n v="0.13800000000000001"/>
    <n v="23"/>
    <n v="36549.429260000004"/>
    <n v="18042.580000000002"/>
    <n v="18506.849260000003"/>
    <n v="0.50635125184441798"/>
    <d v="2025-01-17T00:00:00"/>
    <s v="Q3-2023"/>
    <s v="Europe → France → Lyon"/>
    <s v="High"/>
    <x v="7"/>
    <d v="2023-01-01T00:00:00"/>
    <n v="7"/>
    <n v="0"/>
    <n v="0"/>
    <m/>
    <m/>
    <n v="27.599999999999998"/>
    <n v="902.12900000000002"/>
    <n v="0.13800000000000001"/>
    <n v="43859.315111999997"/>
    <n v="24898.760399999999"/>
    <n v="18960.554711999997"/>
  </r>
  <r>
    <x v="168"/>
    <x v="154"/>
    <d v="2023-09-16T00:00:00"/>
    <n v="2"/>
    <x v="2"/>
    <x v="3"/>
    <s v="Lyon"/>
    <s v="Non-Profit"/>
    <x v="2"/>
    <x v="7"/>
    <x v="3"/>
    <x v="168"/>
    <n v="376.83"/>
    <n v="732.88"/>
    <n v="732.88"/>
    <n v="0.188"/>
    <n v="25"/>
    <n v="14877.464000000002"/>
    <n v="9420.75"/>
    <n v="5456.7140000000018"/>
    <n v="0.36677716040852132"/>
    <d v="2025-01-09T00:00:00"/>
    <s v="Q3-2023"/>
    <s v="Europe → France → Lyon"/>
    <s v="Low"/>
    <x v="8"/>
    <d v="2023-01-01T00:00:00"/>
    <n v="8"/>
    <n v="1"/>
    <n v="0"/>
    <m/>
    <m/>
    <n v="30"/>
    <n v="433.35449999999997"/>
    <n v="0.188"/>
    <n v="17852.956800000004"/>
    <n v="13000.634999999998"/>
    <n v="4852.3218000000052"/>
  </r>
  <r>
    <x v="169"/>
    <x v="16"/>
    <d v="2023-11-24T00:00:00"/>
    <n v="30"/>
    <x v="2"/>
    <x v="3"/>
    <s v="Paris"/>
    <s v="Enterprise"/>
    <x v="3"/>
    <x v="5"/>
    <x v="2"/>
    <x v="169"/>
    <n v="287.85000000000002"/>
    <n v="602.91999999999996"/>
    <n v="602.91999999999996"/>
    <n v="0.222"/>
    <n v="11"/>
    <n v="5159.7893599999998"/>
    <n v="3166.3500000000004"/>
    <n v="1993.4393599999994"/>
    <n v="0.38634122847216373"/>
    <d v="2024-11-22T00:00:00"/>
    <s v="Q4-2023"/>
    <s v="Europe → France → Paris"/>
    <s v="Low"/>
    <x v="9"/>
    <d v="2023-01-01T00:00:00"/>
    <n v="9"/>
    <n v="0"/>
    <n v="1"/>
    <m/>
    <m/>
    <n v="13.2"/>
    <n v="331.02749999999997"/>
    <n v="0.222"/>
    <n v="6191.7472319999997"/>
    <n v="4369.5629999999992"/>
    <n v="1822.1842320000005"/>
  </r>
  <r>
    <x v="170"/>
    <x v="155"/>
    <d v="2023-12-13T00:00:00"/>
    <n v="24"/>
    <x v="2"/>
    <x v="3"/>
    <s v="Lyon"/>
    <s v="Non-Profit"/>
    <x v="2"/>
    <x v="15"/>
    <x v="0"/>
    <x v="170"/>
    <n v="1297.42"/>
    <n v="2742.97"/>
    <n v="2742.97"/>
    <n v="6.9000000000000006E-2"/>
    <n v="9"/>
    <n v="22983.34563"/>
    <n v="11676.78"/>
    <n v="11306.565629999999"/>
    <n v="0.49194602961727291"/>
    <d v="2024-11-07T00:00:00"/>
    <s v="Q4-2023"/>
    <s v="Europe → France → Lyon"/>
    <s v="High"/>
    <x v="10"/>
    <d v="2023-01-01T00:00:00"/>
    <n v="10"/>
    <n v="0"/>
    <n v="0"/>
    <m/>
    <m/>
    <n v="10.799999999999999"/>
    <n v="1492.0329999999999"/>
    <n v="6.9000000000000006E-2"/>
    <n v="27580.014755999997"/>
    <n v="16113.956399999997"/>
    <n v="11466.058356"/>
  </r>
  <r>
    <x v="171"/>
    <x v="156"/>
    <d v="2024-01-03T00:00:00"/>
    <n v="8"/>
    <x v="2"/>
    <x v="3"/>
    <s v="Lyon"/>
    <s v="Small Business"/>
    <x v="4"/>
    <x v="3"/>
    <x v="6"/>
    <x v="171"/>
    <n v="492.75"/>
    <n v="731.29"/>
    <n v="731.29"/>
    <n v="5.8000000000000003E-2"/>
    <n v="6"/>
    <n v="4133.25108"/>
    <n v="2956.5"/>
    <n v="1176.75108"/>
    <n v="0.28470350753528384"/>
    <d v="2024-10-22T00:00:00"/>
    <s v="Q4-2023"/>
    <s v="Europe → France → Lyon"/>
    <s v="Low"/>
    <x v="11"/>
    <d v="2023-01-01T00:00:00"/>
    <n v="11"/>
    <n v="0"/>
    <n v="0"/>
    <m/>
    <m/>
    <n v="7.1999999999999993"/>
    <n v="566.66249999999991"/>
    <n v="5.8000000000000003E-2"/>
    <n v="4959.9012959999991"/>
    <n v="4079.9699999999989"/>
    <n v="879.9312960000002"/>
  </r>
  <r>
    <x v="172"/>
    <x v="157"/>
    <d v="2024-01-08T00:00:00"/>
    <n v="9"/>
    <x v="2"/>
    <x v="3"/>
    <s v="Marseille"/>
    <s v="Consumer"/>
    <x v="0"/>
    <x v="11"/>
    <x v="5"/>
    <x v="172"/>
    <n v="861.1"/>
    <n v="1224.72"/>
    <n v="1224.72"/>
    <n v="0.17399999999999999"/>
    <n v="24"/>
    <n v="24278.849280000002"/>
    <n v="20666.400000000001"/>
    <n v="3612.4492800000007"/>
    <n v="0.14878997098827909"/>
    <d v="2024-10-02T00:00:00"/>
    <s v="Q4-2023"/>
    <s v="Europe → France → Marseille"/>
    <s v="Medium"/>
    <x v="11"/>
    <d v="2023-01-01T00:00:00"/>
    <n v="11"/>
    <n v="0"/>
    <n v="0"/>
    <m/>
    <m/>
    <n v="28.799999999999997"/>
    <n v="990.26499999999999"/>
    <n v="0.17399999999999999"/>
    <n v="29134.619135999998"/>
    <n v="28519.631999999998"/>
    <n v="614.98713599999974"/>
  </r>
  <r>
    <x v="173"/>
    <x v="158"/>
    <d v="2024-01-23T00:00:00"/>
    <n v="13"/>
    <x v="2"/>
    <x v="3"/>
    <s v="Marseille"/>
    <s v="Corporate"/>
    <x v="2"/>
    <x v="4"/>
    <x v="3"/>
    <x v="173"/>
    <n v="720"/>
    <n v="907.59"/>
    <n v="907.59"/>
    <n v="0.154"/>
    <n v="10"/>
    <n v="7678.2113999999992"/>
    <n v="7200"/>
    <n v="478.21139999999923"/>
    <n v="6.2281614179052078E-2"/>
    <d v="2024-10-08T00:00:00"/>
    <s v="Q1-2024"/>
    <s v="Europe → France → Marseille"/>
    <s v="Medium"/>
    <x v="12"/>
    <d v="2023-01-01T00:00:00"/>
    <n v="12"/>
    <n v="0"/>
    <n v="0"/>
    <m/>
    <m/>
    <n v="12"/>
    <n v="827.99999999999989"/>
    <n v="0.154"/>
    <n v="9213.8536800000002"/>
    <n v="9935.9999999999982"/>
    <n v="-722.14631999999801"/>
  </r>
  <r>
    <x v="174"/>
    <x v="159"/>
    <d v="2024-02-13T00:00:00"/>
    <n v="24"/>
    <x v="2"/>
    <x v="3"/>
    <s v="Marseille"/>
    <s v="Corporate"/>
    <x v="4"/>
    <x v="15"/>
    <x v="3"/>
    <x v="174"/>
    <n v="643.53"/>
    <n v="1439.01"/>
    <n v="1439.01"/>
    <n v="0"/>
    <n v="15"/>
    <n v="21585.15"/>
    <n v="9652.9499999999989"/>
    <n v="11932.200000000003"/>
    <n v="0.55279671440782208"/>
    <d v="2024-09-05T00:00:00"/>
    <s v="Q1-2024"/>
    <s v="Europe → France → Marseille"/>
    <s v="Medium"/>
    <x v="12"/>
    <d v="2023-01-01T00:00:00"/>
    <n v="12"/>
    <n v="0"/>
    <n v="0"/>
    <m/>
    <m/>
    <n v="18"/>
    <n v="740.05949999999996"/>
    <n v="0"/>
    <n v="25902.18"/>
    <n v="13321.071"/>
    <n v="12581.109"/>
  </r>
  <r>
    <x v="175"/>
    <x v="160"/>
    <d v="2024-02-21T00:00:00"/>
    <n v="20"/>
    <x v="2"/>
    <x v="3"/>
    <s v="Paris"/>
    <s v="Small Business"/>
    <x v="0"/>
    <x v="4"/>
    <x v="4"/>
    <x v="175"/>
    <n v="656.2"/>
    <n v="1467.17"/>
    <n v="1467.17"/>
    <n v="1.7999999999999999E-2"/>
    <n v="5"/>
    <n v="7203.8047000000006"/>
    <n v="3281"/>
    <n v="3922.8047000000006"/>
    <n v="0.54454623124360946"/>
    <d v="2024-09-02T00:00:00"/>
    <s v="Q1-2024"/>
    <s v="Europe → France → Paris"/>
    <s v="Medium"/>
    <x v="13"/>
    <d v="2023-01-01T00:00:00"/>
    <n v="13"/>
    <n v="0"/>
    <n v="0"/>
    <m/>
    <m/>
    <n v="6"/>
    <n v="754.63"/>
    <n v="1.7999999999999999E-2"/>
    <n v="8644.5656400000007"/>
    <n v="4527.78"/>
    <n v="4116.785640000001"/>
  </r>
  <r>
    <x v="176"/>
    <x v="161"/>
    <d v="2024-03-09T00:00:00"/>
    <n v="13"/>
    <x v="2"/>
    <x v="3"/>
    <s v="Marseille"/>
    <s v="Small Business"/>
    <x v="3"/>
    <x v="6"/>
    <x v="0"/>
    <x v="176"/>
    <n v="322.44"/>
    <n v="395.61"/>
    <n v="395.61"/>
    <n v="0"/>
    <n v="34"/>
    <n v="13450.74"/>
    <n v="10962.96"/>
    <n v="2487.7800000000007"/>
    <n v="0.18495487980586947"/>
    <d v="2024-08-07T00:00:00"/>
    <s v="Q1-2024"/>
    <s v="Europe → France → Marseille"/>
    <s v="Low"/>
    <x v="13"/>
    <d v="2023-01-01T00:00:00"/>
    <n v="13"/>
    <n v="0"/>
    <n v="0"/>
    <m/>
    <m/>
    <n v="40.799999999999997"/>
    <n v="370.80599999999998"/>
    <n v="0"/>
    <n v="16140.887999999999"/>
    <n v="15128.884799999998"/>
    <n v="1012.003200000001"/>
  </r>
  <r>
    <x v="177"/>
    <x v="162"/>
    <d v="2024-04-09T00:00:00"/>
    <n v="30"/>
    <x v="2"/>
    <x v="3"/>
    <s v="Lyon"/>
    <s v="Corporate"/>
    <x v="2"/>
    <x v="14"/>
    <x v="1"/>
    <x v="177"/>
    <n v="1176.56"/>
    <n v="1911.89"/>
    <n v="1911.89"/>
    <n v="0.11899999999999999"/>
    <n v="20"/>
    <n v="33687.501800000005"/>
    <n v="23531.199999999997"/>
    <n v="10156.301800000008"/>
    <n v="0.30148575160892477"/>
    <d v="2024-07-24T00:00:00"/>
    <s v="Q1-2024"/>
    <s v="Europe → France → Lyon"/>
    <s v="High"/>
    <x v="29"/>
    <d v="2023-01-01T00:00:00"/>
    <n v="14"/>
    <n v="0"/>
    <n v="0"/>
    <m/>
    <m/>
    <n v="24"/>
    <n v="1353.0439999999999"/>
    <n v="0.11899999999999999"/>
    <n v="40425.002160000004"/>
    <n v="32473.055999999997"/>
    <n v="7951.9461600000068"/>
  </r>
  <r>
    <x v="178"/>
    <x v="163"/>
    <d v="2024-04-13T00:00:00"/>
    <n v="28"/>
    <x v="2"/>
    <x v="3"/>
    <s v="Paris"/>
    <s v="Small Business"/>
    <x v="1"/>
    <x v="12"/>
    <x v="3"/>
    <x v="178"/>
    <n v="287.61"/>
    <n v="628.54"/>
    <n v="628.54"/>
    <n v="0.13500000000000001"/>
    <n v="21"/>
    <n v="11417.429099999999"/>
    <n v="6039.81"/>
    <n v="5377.619099999999"/>
    <n v="0.47100087531964613"/>
    <d v="2024-07-12T00:00:00"/>
    <s v="Q1-2024"/>
    <s v="Europe → France → Paris"/>
    <s v="Low"/>
    <x v="29"/>
    <d v="2023-01-01T00:00:00"/>
    <n v="14"/>
    <n v="0"/>
    <n v="0"/>
    <m/>
    <m/>
    <n v="25.2"/>
    <n v="330.75149999999996"/>
    <n v="0.13500000000000001"/>
    <n v="13700.914919999999"/>
    <n v="8334.9377999999997"/>
    <n v="5365.9771199999996"/>
  </r>
  <r>
    <x v="179"/>
    <x v="164"/>
    <d v="2024-04-18T00:00:00"/>
    <n v="9"/>
    <x v="2"/>
    <x v="3"/>
    <s v="Lyon"/>
    <s v="Consumer"/>
    <x v="1"/>
    <x v="6"/>
    <x v="3"/>
    <x v="179"/>
    <n v="1288.8499999999999"/>
    <n v="2751.84"/>
    <n v="2751.84"/>
    <n v="0.158"/>
    <n v="7"/>
    <n v="16219.34496"/>
    <n v="9021.9499999999989"/>
    <n v="7197.3949600000014"/>
    <n v="0.44375373837538756"/>
    <d v="2024-06-06T00:00:00"/>
    <s v="Q2-2024"/>
    <s v="Europe → France → Lyon"/>
    <s v="High"/>
    <x v="14"/>
    <d v="2023-01-01T00:00:00"/>
    <n v="15"/>
    <n v="0"/>
    <n v="0"/>
    <m/>
    <m/>
    <n v="8.4"/>
    <n v="1482.1774999999998"/>
    <n v="0.158"/>
    <n v="19463.213952000002"/>
    <n v="12450.290999999999"/>
    <n v="7012.9229520000026"/>
  </r>
  <r>
    <x v="180"/>
    <x v="165"/>
    <d v="2024-05-18T00:00:00"/>
    <n v="13"/>
    <x v="2"/>
    <x v="3"/>
    <s v="Marseille"/>
    <s v="Corporate"/>
    <x v="0"/>
    <x v="4"/>
    <x v="1"/>
    <x v="180"/>
    <n v="1264.04"/>
    <n v="1870.89"/>
    <n v="1870.89"/>
    <n v="0"/>
    <n v="13"/>
    <n v="24321.57"/>
    <n v="16432.52"/>
    <n v="7889.0499999999993"/>
    <n v="0.32436433996653996"/>
    <d v="2024-06-07T00:00:00"/>
    <s v="Q2-2024"/>
    <s v="Europe → France → Marseille"/>
    <s v="High"/>
    <x v="15"/>
    <d v="2023-01-01T00:00:00"/>
    <n v="16"/>
    <n v="0"/>
    <n v="0"/>
    <m/>
    <m/>
    <n v="15.6"/>
    <n v="1453.646"/>
    <n v="0"/>
    <n v="29185.884000000002"/>
    <n v="22676.8776"/>
    <n v="6509.006400000002"/>
  </r>
  <r>
    <x v="181"/>
    <x v="166"/>
    <d v="2024-05-21T00:00:00"/>
    <n v="3"/>
    <x v="2"/>
    <x v="3"/>
    <s v="Marseille"/>
    <s v="Non-Profit"/>
    <x v="0"/>
    <x v="0"/>
    <x v="3"/>
    <x v="181"/>
    <n v="663.66"/>
    <n v="824.26"/>
    <n v="824.26"/>
    <n v="0.23899999999999999"/>
    <n v="11"/>
    <n v="6899.8804600000003"/>
    <n v="7300.2599999999993"/>
    <n v="-400.379539999999"/>
    <n v="-5.8027025587048933E-2"/>
    <d v="2024-05-14T00:00:00"/>
    <s v="Q2-2024"/>
    <s v="Europe → France → Marseille"/>
    <s v="Medium"/>
    <x v="15"/>
    <d v="2023-01-01T00:00:00"/>
    <n v="16"/>
    <n v="1"/>
    <n v="1"/>
    <m/>
    <m/>
    <n v="13.2"/>
    <n v="763.20899999999995"/>
    <n v="0.23899999999999999"/>
    <n v="8279.8565519999993"/>
    <n v="10074.358799999998"/>
    <n v="-1794.5022479999989"/>
  </r>
  <r>
    <x v="182"/>
    <x v="28"/>
    <d v="2024-06-14T00:00:00"/>
    <n v="22"/>
    <x v="2"/>
    <x v="3"/>
    <s v="Marseille"/>
    <s v="Small Business"/>
    <x v="1"/>
    <x v="1"/>
    <x v="0"/>
    <x v="182"/>
    <n v="1481.74"/>
    <n v="1848.97"/>
    <n v="1848.97"/>
    <n v="0.254"/>
    <n v="9"/>
    <n v="12413.98458"/>
    <n v="13335.66"/>
    <n v="-921.67541999999958"/>
    <n v="-7.4244930309072407E-2"/>
    <d v="2024-05-18T00:00:00"/>
    <s v="Q2-2024"/>
    <s v="Europe → France → Marseille"/>
    <s v="High"/>
    <x v="15"/>
    <d v="2023-01-01T00:00:00"/>
    <n v="16"/>
    <n v="0"/>
    <n v="1"/>
    <m/>
    <m/>
    <n v="10.799999999999999"/>
    <n v="1704.001"/>
    <n v="0.25"/>
    <n v="14976.656999999997"/>
    <n v="18403.210799999997"/>
    <n v="-3426.5537999999997"/>
  </r>
  <r>
    <x v="183"/>
    <x v="124"/>
    <d v="2024-08-08T00:00:00"/>
    <n v="30"/>
    <x v="2"/>
    <x v="3"/>
    <s v="Marseille"/>
    <s v="Corporate"/>
    <x v="2"/>
    <x v="9"/>
    <x v="1"/>
    <x v="183"/>
    <n v="1062.3800000000001"/>
    <n v="1503.96"/>
    <n v="1503.96"/>
    <n v="0.18"/>
    <n v="6"/>
    <n v="7399.4832000000006"/>
    <n v="6374.2800000000007"/>
    <n v="1025.2031999999999"/>
    <n v="0.13855064905073369"/>
    <d v="2024-03-26T00:00:00"/>
    <s v="Q3-2024"/>
    <s v="Europe → France → Marseille"/>
    <s v="Medium"/>
    <x v="17"/>
    <d v="2023-01-01T00:00:00"/>
    <n v="18"/>
    <n v="0"/>
    <n v="0"/>
    <m/>
    <m/>
    <n v="7.1999999999999993"/>
    <n v="1221.7370000000001"/>
    <n v="0.18"/>
    <n v="8879.3798399999996"/>
    <n v="8796.5064000000002"/>
    <n v="82.873439999999391"/>
  </r>
  <r>
    <x v="184"/>
    <x v="167"/>
    <d v="2024-08-07T00:00:00"/>
    <n v="20"/>
    <x v="2"/>
    <x v="3"/>
    <s v="Marseille"/>
    <s v="Corporate"/>
    <x v="4"/>
    <x v="8"/>
    <x v="0"/>
    <x v="184"/>
    <n v="941.35"/>
    <n v="899.83"/>
    <n v="899.83"/>
    <n v="5.8000000000000003E-2"/>
    <n v="18"/>
    <n v="15257.51748"/>
    <n v="16944.3"/>
    <n v="-1686.7825199999988"/>
    <n v="-0.11055419220139073"/>
    <d v="2024-03-09T00:00:00"/>
    <s v="Q3-2024"/>
    <s v="Europe → France → Marseille"/>
    <s v="Medium"/>
    <x v="17"/>
    <d v="2023-01-01T00:00:00"/>
    <n v="18"/>
    <n v="0"/>
    <n v="0"/>
    <m/>
    <m/>
    <n v="21.599999999999998"/>
    <n v="1082.5525"/>
    <n v="5.8000000000000003E-2"/>
    <n v="18309.020975999996"/>
    <n v="23383.133999999998"/>
    <n v="-5074.113024000002"/>
  </r>
  <r>
    <x v="185"/>
    <x v="168"/>
    <d v="2024-08-08T00:00:00"/>
    <n v="15"/>
    <x v="2"/>
    <x v="3"/>
    <s v="Marseille"/>
    <s v="Enterprise"/>
    <x v="0"/>
    <x v="15"/>
    <x v="6"/>
    <x v="185"/>
    <n v="501.5"/>
    <n v="1201.47"/>
    <n v="1201.47"/>
    <n v="0.126"/>
    <n v="5"/>
    <n v="5250.4239000000007"/>
    <n v="2507.5"/>
    <n v="2742.9239000000007"/>
    <n v="0.52241951359394057"/>
    <d v="2024-02-27T00:00:00"/>
    <s v="Q3-2024"/>
    <s v="Europe → France → Marseille"/>
    <s v="Medium"/>
    <x v="17"/>
    <d v="2023-01-01T00:00:00"/>
    <n v="18"/>
    <n v="0"/>
    <n v="0"/>
    <m/>
    <m/>
    <n v="6"/>
    <n v="576.72499999999991"/>
    <n v="0.126"/>
    <n v="6300.5086799999999"/>
    <n v="3460.3499999999995"/>
    <n v="2840.1586800000005"/>
  </r>
  <r>
    <x v="186"/>
    <x v="169"/>
    <d v="2024-09-07T00:00:00"/>
    <n v="28"/>
    <x v="2"/>
    <x v="3"/>
    <s v="Marseille"/>
    <s v="Non-Profit"/>
    <x v="2"/>
    <x v="8"/>
    <x v="3"/>
    <x v="186"/>
    <n v="229.96"/>
    <n v="564.26"/>
    <n v="564.26"/>
    <n v="0.105"/>
    <n v="5"/>
    <n v="2525.0635000000002"/>
    <n v="1149.8"/>
    <n v="1375.2635000000002"/>
    <n v="0.54464511486542821"/>
    <d v="2024-02-19T00:00:00"/>
    <s v="Q3-2024"/>
    <s v="Europe → France → Marseille"/>
    <s v="Low"/>
    <x v="18"/>
    <d v="2023-01-01T00:00:00"/>
    <n v="19"/>
    <n v="0"/>
    <n v="0"/>
    <m/>
    <m/>
    <n v="6"/>
    <n v="264.45400000000001"/>
    <n v="0.105"/>
    <n v="3030.0762"/>
    <n v="1586.7240000000002"/>
    <n v="1443.3521999999998"/>
  </r>
  <r>
    <x v="187"/>
    <x v="81"/>
    <d v="2024-09-07T00:00:00"/>
    <n v="19"/>
    <x v="2"/>
    <x v="3"/>
    <s v="Lyon"/>
    <s v="Corporate"/>
    <x v="2"/>
    <x v="9"/>
    <x v="1"/>
    <x v="187"/>
    <n v="297.58999999999997"/>
    <n v="666.41"/>
    <n v="666.41"/>
    <n v="0"/>
    <n v="10"/>
    <n v="6664.0999999999995"/>
    <n v="2975.8999999999996"/>
    <n v="3688.2"/>
    <n v="0.55344307558409989"/>
    <d v="2024-02-06T00:00:00"/>
    <s v="Q3-2024"/>
    <s v="Europe → France → Lyon"/>
    <s v="Low"/>
    <x v="18"/>
    <d v="2023-01-01T00:00:00"/>
    <n v="19"/>
    <n v="0"/>
    <n v="0"/>
    <m/>
    <m/>
    <n v="12"/>
    <n v="342.22849999999994"/>
    <n v="0"/>
    <n v="7996.92"/>
    <n v="4106.7419999999993"/>
    <n v="3890.1780000000008"/>
  </r>
  <r>
    <x v="188"/>
    <x v="170"/>
    <d v="2024-10-24T00:00:00"/>
    <n v="11"/>
    <x v="2"/>
    <x v="3"/>
    <s v="Paris"/>
    <s v="Education"/>
    <x v="3"/>
    <x v="8"/>
    <x v="1"/>
    <x v="188"/>
    <n v="816.7"/>
    <n v="1010.75"/>
    <n v="1010.75"/>
    <n v="4.7E-2"/>
    <n v="43"/>
    <n v="41419.524249999995"/>
    <n v="35118.1"/>
    <n v="6301.4242499999964"/>
    <n v="0.15213656757537472"/>
    <d v="2023-12-30T00:00:00"/>
    <s v="Q4-2024"/>
    <s v="Europe → France → Paris"/>
    <s v="Medium"/>
    <x v="32"/>
    <d v="2023-01-01T00:00:00"/>
    <n v="21"/>
    <n v="0"/>
    <n v="0"/>
    <m/>
    <m/>
    <n v="51.6"/>
    <n v="939.20499999999993"/>
    <n v="4.7E-2"/>
    <n v="49703.429100000001"/>
    <n v="48462.977999999996"/>
    <n v="1240.4511000000057"/>
  </r>
  <r>
    <x v="189"/>
    <x v="171"/>
    <d v="2024-11-07T00:00:00"/>
    <n v="3"/>
    <x v="2"/>
    <x v="3"/>
    <s v="Lyon"/>
    <s v="Corporate"/>
    <x v="1"/>
    <x v="13"/>
    <x v="0"/>
    <x v="189"/>
    <n v="740.68"/>
    <n v="1837.19"/>
    <n v="1837.19"/>
    <n v="0.19700000000000001"/>
    <n v="17"/>
    <n v="25079.480689999997"/>
    <n v="12591.56"/>
    <n v="12487.920689999997"/>
    <n v="0.4979337827748298"/>
    <d v="2023-11-19T00:00:00"/>
    <s v="Q4-2024"/>
    <s v="Europe → France → Lyon"/>
    <s v="High"/>
    <x v="20"/>
    <d v="2023-01-01T00:00:00"/>
    <n v="22"/>
    <n v="1"/>
    <n v="0"/>
    <m/>
    <m/>
    <n v="20.399999999999999"/>
    <n v="851.78199999999993"/>
    <n v="0.19700000000000001"/>
    <n v="30095.376827999997"/>
    <n v="17376.352799999997"/>
    <n v="12719.024028"/>
  </r>
  <r>
    <x v="190"/>
    <x v="172"/>
    <d v="2024-12-15T00:00:00"/>
    <n v="25"/>
    <x v="2"/>
    <x v="3"/>
    <s v="Paris"/>
    <s v="Corporate"/>
    <x v="1"/>
    <x v="2"/>
    <x v="3"/>
    <x v="190"/>
    <n v="1203.58"/>
    <n v="1856.16"/>
    <n v="1856.16"/>
    <n v="0.129"/>
    <n v="22"/>
    <n v="35567.737920000007"/>
    <n v="26478.76"/>
    <n v="9088.9779200000085"/>
    <n v="0.25553994860295032"/>
    <d v="2023-11-29T00:00:00"/>
    <s v="Q4-2024"/>
    <s v="Europe → France → Paris"/>
    <s v="High"/>
    <x v="20"/>
    <d v="2023-01-01T00:00:00"/>
    <n v="22"/>
    <n v="0"/>
    <n v="0"/>
    <m/>
    <m/>
    <n v="26.4"/>
    <n v="1384.1169999999997"/>
    <n v="0.129"/>
    <n v="42681.285503999999"/>
    <n v="36540.688799999989"/>
    <n v="6140.5967040000105"/>
  </r>
  <r>
    <x v="191"/>
    <x v="173"/>
    <d v="2024-12-21T00:00:00"/>
    <n v="30"/>
    <x v="2"/>
    <x v="3"/>
    <s v="Marseille"/>
    <s v="Small Business"/>
    <x v="2"/>
    <x v="14"/>
    <x v="0"/>
    <x v="191"/>
    <n v="1122.68"/>
    <n v="1997.19"/>
    <n v="1997.19"/>
    <n v="0.186"/>
    <n v="3"/>
    <n v="4877.1379800000004"/>
    <n v="3368.04"/>
    <n v="1509.0979800000005"/>
    <n v="0.30942285951073306"/>
    <d v="2023-11-10T00:00:00"/>
    <s v="Q4-2024"/>
    <s v="Europe → France → Marseille"/>
    <s v="High"/>
    <x v="20"/>
    <d v="2023-01-01T00:00:00"/>
    <n v="22"/>
    <n v="0"/>
    <n v="0"/>
    <m/>
    <m/>
    <n v="3.5999999999999996"/>
    <n v="1291.0819999999999"/>
    <n v="0.186"/>
    <n v="5852.565576"/>
    <n v="4647.895199999999"/>
    <n v="1204.6703760000009"/>
  </r>
  <r>
    <x v="192"/>
    <x v="174"/>
    <d v="2024-12-30T00:00:00"/>
    <n v="30"/>
    <x v="2"/>
    <x v="3"/>
    <s v="Marseille"/>
    <s v="Consumer"/>
    <x v="0"/>
    <x v="8"/>
    <x v="3"/>
    <x v="192"/>
    <n v="117.64"/>
    <n v="175.67"/>
    <n v="175.67"/>
    <n v="0"/>
    <n v="10"/>
    <n v="1756.6999999999998"/>
    <n v="1176.4000000000001"/>
    <n v="580.29999999999973"/>
    <n v="0.33033528775545046"/>
    <d v="2023-10-15T00:00:00"/>
    <s v="Q4-2024"/>
    <s v="Europe → France → Marseille"/>
    <s v="Low"/>
    <x v="20"/>
    <d v="2023-01-01T00:00:00"/>
    <n v="22"/>
    <n v="0"/>
    <n v="0"/>
    <m/>
    <m/>
    <n v="12"/>
    <n v="135.286"/>
    <n v="0"/>
    <n v="2108.04"/>
    <n v="1623.432"/>
    <n v="484.60799999999995"/>
  </r>
  <r>
    <x v="193"/>
    <x v="175"/>
    <d v="2024-12-08T00:00:00"/>
    <n v="0"/>
    <x v="2"/>
    <x v="3"/>
    <s v="Lyon"/>
    <s v="Enterprise"/>
    <x v="4"/>
    <x v="15"/>
    <x v="1"/>
    <x v="193"/>
    <n v="257.44"/>
    <n v="290.33"/>
    <n v="290.33"/>
    <n v="9.1999999999999998E-2"/>
    <n v="23"/>
    <n v="6063.2517199999993"/>
    <n v="5921.12"/>
    <n v="142.1317199999994"/>
    <n v="2.3441500792581216E-2"/>
    <d v="2023-10-12T00:00:00"/>
    <s v="Q4-2024"/>
    <s v="Europe → France → Lyon"/>
    <s v="Low"/>
    <x v="30"/>
    <d v="2023-01-01T00:00:00"/>
    <n v="23"/>
    <n v="1"/>
    <n v="0"/>
    <m/>
    <m/>
    <n v="27.599999999999998"/>
    <n v="296.05599999999998"/>
    <n v="9.1999999999999998E-2"/>
    <n v="7275.9020639999999"/>
    <n v="8171.1455999999989"/>
    <n v="-895.24353599999904"/>
  </r>
  <r>
    <x v="194"/>
    <x v="176"/>
    <d v="2025-01-08T00:00:00"/>
    <n v="29"/>
    <x v="2"/>
    <x v="3"/>
    <s v="Marseille"/>
    <s v="Small Business"/>
    <x v="4"/>
    <x v="12"/>
    <x v="3"/>
    <x v="194"/>
    <n v="891.08"/>
    <n v="1040.0999999999999"/>
    <n v="1040.0999999999999"/>
    <n v="0.109"/>
    <n v="28"/>
    <n v="25948.414799999995"/>
    <n v="24950.240000000002"/>
    <n v="998.17479999999341"/>
    <n v="3.8467660074556598E-2"/>
    <d v="2023-10-04T00:00:00"/>
    <s v="Q4-2024"/>
    <s v="Europe → France → Marseille"/>
    <s v="Medium"/>
    <x v="30"/>
    <d v="2023-01-01T00:00:00"/>
    <n v="23"/>
    <n v="0"/>
    <n v="0"/>
    <m/>
    <m/>
    <n v="33.6"/>
    <n v="1024.742"/>
    <n v="0.109"/>
    <n v="31138.097760000001"/>
    <n v="34431.331200000001"/>
    <n v="-3293.23344"/>
  </r>
  <r>
    <x v="195"/>
    <x v="177"/>
    <d v="2025-02-08T00:00:00"/>
    <n v="26"/>
    <x v="2"/>
    <x v="3"/>
    <s v="Paris"/>
    <s v="Non-Profit"/>
    <x v="5"/>
    <x v="6"/>
    <x v="0"/>
    <x v="195"/>
    <n v="594.74"/>
    <n v="1020.69"/>
    <n v="1020.69"/>
    <n v="0.21099999999999999"/>
    <n v="6"/>
    <n v="4831.9464600000001"/>
    <n v="3568.44"/>
    <n v="1263.5064600000001"/>
    <n v="0.26149016146176424"/>
    <d v="2023-09-08T00:00:00"/>
    <s v="Q1-2025"/>
    <s v="Europe → France → Paris"/>
    <s v="Medium"/>
    <x v="21"/>
    <d v="2023-01-01T00:00:00"/>
    <n v="24"/>
    <n v="0"/>
    <n v="1"/>
    <m/>
    <m/>
    <n v="7.1999999999999993"/>
    <n v="683.95099999999991"/>
    <n v="0.21099999999999999"/>
    <n v="5798.335752"/>
    <n v="4924.4471999999987"/>
    <n v="873.88855200000125"/>
  </r>
  <r>
    <x v="196"/>
    <x v="178"/>
    <d v="2025-02-16T00:00:00"/>
    <n v="26"/>
    <x v="2"/>
    <x v="3"/>
    <s v="Lyon"/>
    <s v="Corporate"/>
    <x v="3"/>
    <x v="13"/>
    <x v="6"/>
    <x v="196"/>
    <n v="204.11"/>
    <n v="236.87"/>
    <n v="236.87"/>
    <n v="0.182"/>
    <n v="13"/>
    <n v="2518.8755800000004"/>
    <n v="2653.4300000000003"/>
    <n v="-134.55441999999994"/>
    <n v="-5.3418446337075494E-2"/>
    <d v="2023-08-27T00:00:00"/>
    <s v="Q1-2025"/>
    <s v="Europe → France → Lyon"/>
    <s v="Low"/>
    <x v="21"/>
    <d v="2023-01-01T00:00:00"/>
    <n v="24"/>
    <n v="0"/>
    <n v="0"/>
    <m/>
    <m/>
    <n v="15.6"/>
    <n v="234.72649999999999"/>
    <n v="0.182"/>
    <n v="3022.6506960000002"/>
    <n v="3661.7333999999996"/>
    <n v="-639.08270399999947"/>
  </r>
  <r>
    <x v="197"/>
    <x v="179"/>
    <d v="2025-01-22T00:00:00"/>
    <n v="0"/>
    <x v="2"/>
    <x v="3"/>
    <s v="Lyon"/>
    <s v="Small Business"/>
    <x v="1"/>
    <x v="7"/>
    <x v="5"/>
    <x v="197"/>
    <n v="591.72"/>
    <n v="577.24"/>
    <n v="577.24"/>
    <n v="0"/>
    <n v="22"/>
    <n v="12699.28"/>
    <n v="13017.84"/>
    <n v="-318.55999999999949"/>
    <n v="-2.5084886702238195E-2"/>
    <d v="2023-08-15T00:00:00"/>
    <s v="Q1-2025"/>
    <s v="Europe → France → Lyon"/>
    <s v="Low"/>
    <x v="21"/>
    <d v="2023-01-01T00:00:00"/>
    <n v="24"/>
    <n v="1"/>
    <n v="0"/>
    <m/>
    <m/>
    <n v="26.4"/>
    <n v="680.47799999999995"/>
    <n v="0"/>
    <n v="15239.135999999999"/>
    <n v="17964.619199999997"/>
    <n v="-2725.4831999999988"/>
  </r>
  <r>
    <x v="198"/>
    <x v="89"/>
    <d v="2025-02-27T00:00:00"/>
    <n v="12"/>
    <x v="2"/>
    <x v="3"/>
    <s v="Lyon"/>
    <s v="Non-Profit"/>
    <x v="2"/>
    <x v="12"/>
    <x v="5"/>
    <x v="198"/>
    <n v="1027.26"/>
    <n v="2200.41"/>
    <n v="2200.41"/>
    <n v="8.7999999999999995E-2"/>
    <n v="6"/>
    <n v="12040.64352"/>
    <n v="6163.5599999999995"/>
    <n v="5877.0835200000001"/>
    <n v="0.48810377204822358"/>
    <d v="2023-08-02T00:00:00"/>
    <s v="Q1-2025"/>
    <s v="Europe → France → Lyon"/>
    <s v="High"/>
    <x v="22"/>
    <d v="2023-01-01T00:00:00"/>
    <n v="25"/>
    <n v="0"/>
    <n v="0"/>
    <m/>
    <m/>
    <n v="7.1999999999999993"/>
    <n v="1181.3489999999999"/>
    <n v="8.7999999999999995E-2"/>
    <n v="14448.772223999998"/>
    <n v="8505.7127999999993"/>
    <n v="5943.0594239999991"/>
  </r>
  <r>
    <x v="199"/>
    <x v="180"/>
    <d v="2025-04-11T00:00:00"/>
    <n v="4"/>
    <x v="2"/>
    <x v="3"/>
    <s v="Lyon"/>
    <s v="Education"/>
    <x v="4"/>
    <x v="6"/>
    <x v="4"/>
    <x v="199"/>
    <n v="754.77"/>
    <n v="1666.18"/>
    <n v="1666.18"/>
    <n v="0.13900000000000001"/>
    <n v="14"/>
    <n v="20084.133720000002"/>
    <n v="10566.779999999999"/>
    <n v="9517.3537200000028"/>
    <n v="0.47387424584424653"/>
    <d v="2023-06-20T00:00:00"/>
    <s v="Q2-2025"/>
    <s v="Europe → France → Lyon"/>
    <s v="High"/>
    <x v="24"/>
    <d v="2023-01-01T00:00:00"/>
    <n v="27"/>
    <n v="1"/>
    <n v="0"/>
    <m/>
    <m/>
    <n v="16.8"/>
    <n v="867.98549999999989"/>
    <n v="0.13900000000000001"/>
    <n v="24100.960464"/>
    <n v="14582.156399999998"/>
    <n v="9518.8040640000017"/>
  </r>
  <r>
    <x v="200"/>
    <x v="48"/>
    <d v="2025-04-12T00:00:00"/>
    <n v="3"/>
    <x v="2"/>
    <x v="3"/>
    <s v="Lyon"/>
    <s v="Small Business"/>
    <x v="3"/>
    <x v="15"/>
    <x v="0"/>
    <x v="200"/>
    <n v="86.68"/>
    <n v="213.32"/>
    <n v="213.32"/>
    <n v="3.7999999999999999E-2"/>
    <n v="8"/>
    <n v="1641.7107199999998"/>
    <n v="693.44"/>
    <n v="948.27071999999976"/>
    <n v="0.57761133459614611"/>
    <d v="2023-06-23T00:00:00"/>
    <s v="Q2-2025"/>
    <s v="Europe → France → Lyon"/>
    <s v="Low"/>
    <x v="24"/>
    <d v="2023-01-01T00:00:00"/>
    <n v="27"/>
    <n v="1"/>
    <n v="0"/>
    <m/>
    <m/>
    <n v="9.6"/>
    <n v="99.682000000000002"/>
    <n v="3.7999999999999999E-2"/>
    <n v="1970.0528639999998"/>
    <n v="956.94719999999995"/>
    <n v="1013.1056639999998"/>
  </r>
  <r>
    <x v="201"/>
    <x v="181"/>
    <d v="2025-05-12T00:00:00"/>
    <n v="20"/>
    <x v="2"/>
    <x v="3"/>
    <s v="Lyon"/>
    <s v="Enterprise"/>
    <x v="0"/>
    <x v="12"/>
    <x v="0"/>
    <x v="201"/>
    <n v="59.51"/>
    <n v="67.040000000000006"/>
    <n v="67.040000000000006"/>
    <n v="0.114"/>
    <n v="9"/>
    <n v="534.57695999999999"/>
    <n v="535.59"/>
    <n v="-1.0130400000000463"/>
    <n v="-1.8950311663264469E-3"/>
    <d v="2023-06-09T00:00:00"/>
    <s v="Q2-2025"/>
    <s v="Europe → France → Lyon"/>
    <s v="Low"/>
    <x v="24"/>
    <d v="2023-01-01T00:00:00"/>
    <n v="27"/>
    <n v="0"/>
    <n v="0"/>
    <m/>
    <m/>
    <n v="10.799999999999999"/>
    <n v="68.436499999999995"/>
    <n v="0.114"/>
    <n v="641.4923520000001"/>
    <n v="739.11419999999987"/>
    <n v="-97.621847999999773"/>
  </r>
  <r>
    <x v="202"/>
    <x v="182"/>
    <d v="2025-05-25T00:00:00"/>
    <n v="28"/>
    <x v="2"/>
    <x v="3"/>
    <s v="Paris"/>
    <s v="Small Business"/>
    <x v="0"/>
    <x v="14"/>
    <x v="2"/>
    <x v="202"/>
    <n v="603.45000000000005"/>
    <n v="1244.08"/>
    <n v="1244.08"/>
    <n v="0.2"/>
    <n v="11"/>
    <n v="10947.904"/>
    <n v="6637.9500000000007"/>
    <n v="4309.9539999999997"/>
    <n v="0.39367846119220623"/>
    <d v="2023-05-17T00:00:00"/>
    <s v="Q2-2025"/>
    <s v="Europe → France → Paris"/>
    <s v="Medium"/>
    <x v="24"/>
    <d v="2023-01-01T00:00:00"/>
    <n v="27"/>
    <n v="0"/>
    <n v="0"/>
    <m/>
    <m/>
    <n v="13.2"/>
    <n v="693.96749999999997"/>
    <n v="0.2"/>
    <n v="13137.4848"/>
    <n v="9160.3709999999992"/>
    <n v="3977.113800000001"/>
  </r>
  <r>
    <x v="203"/>
    <x v="183"/>
    <d v="2025-05-24T00:00:00"/>
    <n v="10"/>
    <x v="2"/>
    <x v="3"/>
    <s v="Paris"/>
    <s v="Small Business"/>
    <x v="0"/>
    <x v="12"/>
    <x v="1"/>
    <x v="203"/>
    <n v="170.39"/>
    <n v="388.04"/>
    <n v="388.04"/>
    <n v="8.4000000000000005E-2"/>
    <n v="15"/>
    <n v="5331.6696000000002"/>
    <n v="2555.85"/>
    <n v="2775.8196000000003"/>
    <n v="0.52062858508711796"/>
    <d v="2023-05-10T00:00:00"/>
    <s v="Q2-2025"/>
    <s v="Europe → France → Paris"/>
    <s v="Low"/>
    <x v="25"/>
    <d v="2023-01-01T00:00:00"/>
    <n v="28"/>
    <n v="0"/>
    <n v="0"/>
    <m/>
    <m/>
    <n v="18"/>
    <n v="195.94849999999997"/>
    <n v="8.4000000000000005E-2"/>
    <n v="6398.0035200000002"/>
    <n v="3527.0729999999994"/>
    <n v="2870.9305200000008"/>
  </r>
  <r>
    <x v="204"/>
    <x v="184"/>
    <d v="2025-06-06T00:00:00"/>
    <n v="5"/>
    <x v="2"/>
    <x v="3"/>
    <s v="Paris"/>
    <s v="Consumer"/>
    <x v="3"/>
    <x v="2"/>
    <x v="1"/>
    <x v="204"/>
    <n v="379.45"/>
    <n v="742.23"/>
    <n v="742.23"/>
    <n v="0.09"/>
    <n v="13"/>
    <n v="8780.5809000000008"/>
    <n v="4932.8499999999995"/>
    <n v="3847.7309000000014"/>
    <n v="0.43820915083192286"/>
    <d v="2023-05-06T00:00:00"/>
    <s v="Q2-2025"/>
    <s v="Europe → France → Paris"/>
    <s v="Low"/>
    <x v="31"/>
    <d v="2023-01-01T00:00:00"/>
    <n v="29"/>
    <n v="1"/>
    <n v="0"/>
    <m/>
    <m/>
    <n v="15.6"/>
    <n v="436.36749999999995"/>
    <n v="0.09"/>
    <n v="10536.69708"/>
    <n v="6807.3329999999987"/>
    <n v="3729.3640800000012"/>
  </r>
  <r>
    <x v="205"/>
    <x v="185"/>
    <d v="2025-06-18T00:00:00"/>
    <n v="9"/>
    <x v="2"/>
    <x v="3"/>
    <s v="Marseille"/>
    <s v="Small Business"/>
    <x v="0"/>
    <x v="15"/>
    <x v="5"/>
    <x v="205"/>
    <n v="1225.5"/>
    <n v="-5.27"/>
    <n v="5.27"/>
    <n v="7.4999999999999997E-2"/>
    <n v="56"/>
    <n v="272.98599999999999"/>
    <n v="68628"/>
    <n v="-68355.013999999996"/>
    <n v="-250.39750756449047"/>
    <d v="2023-04-19T00:00:00"/>
    <s v="Q2-2025"/>
    <s v="Europe → France → Marseille"/>
    <s v="Low"/>
    <x v="31"/>
    <d v="2023-01-01T00:00:00"/>
    <n v="29"/>
    <n v="0"/>
    <n v="0"/>
    <m/>
    <m/>
    <n v="67.2"/>
    <n v="1409.3249999999998"/>
    <n v="7.4999999999999997E-2"/>
    <n v="327.58320000000003"/>
    <n v="94706.639999999985"/>
    <n v="-94379.056799999991"/>
  </r>
  <r>
    <x v="206"/>
    <x v="186"/>
    <d v="2025-07-12T00:00:00"/>
    <n v="27"/>
    <x v="2"/>
    <x v="3"/>
    <s v="Marseille"/>
    <s v="Consumer"/>
    <x v="2"/>
    <x v="5"/>
    <x v="5"/>
    <x v="206"/>
    <n v="318.83"/>
    <n v="699.5"/>
    <n v="699.5"/>
    <n v="0.08"/>
    <n v="13"/>
    <n v="8366.02"/>
    <n v="4144.79"/>
    <n v="4221.2300000000005"/>
    <n v="0.50456848059172699"/>
    <d v="2023-04-13T00:00:00"/>
    <s v="Q2-2025"/>
    <s v="Europe → France → Marseille"/>
    <s v="Low"/>
    <x v="31"/>
    <d v="2023-01-01T00:00:00"/>
    <n v="29"/>
    <n v="0"/>
    <n v="0"/>
    <m/>
    <m/>
    <n v="15.6"/>
    <n v="366.65449999999993"/>
    <n v="0.08"/>
    <n v="10039.224"/>
    <n v="5719.810199999999"/>
    <n v="4319.4138000000012"/>
  </r>
  <r>
    <x v="207"/>
    <x v="187"/>
    <d v="2025-08-28T00:00:00"/>
    <n v="17"/>
    <x v="2"/>
    <x v="3"/>
    <s v="Paris"/>
    <s v="Education"/>
    <x v="1"/>
    <x v="8"/>
    <x v="4"/>
    <x v="207"/>
    <n v="416.16"/>
    <n v="571.9"/>
    <n v="571.9"/>
    <n v="7.0999999999999994E-2"/>
    <n v="2"/>
    <n v="1062.5902000000001"/>
    <n v="832.32"/>
    <n v="230.27020000000005"/>
    <n v="0.21670649701079497"/>
    <d v="2023-02-20T00:00:00"/>
    <s v="Q3-2025"/>
    <s v="Europe → France → Paris"/>
    <s v="Low"/>
    <x v="27"/>
    <d v="2023-01-01T00:00:00"/>
    <n v="31"/>
    <n v="0"/>
    <n v="0"/>
    <m/>
    <m/>
    <n v="2.4"/>
    <n v="478.584"/>
    <n v="7.0999999999999994E-2"/>
    <n v="1275.10824"/>
    <n v="1148.6016"/>
    <n v="126.50664000000006"/>
  </r>
  <r>
    <x v="208"/>
    <x v="188"/>
    <d v="2025-09-03T00:00:00"/>
    <n v="21"/>
    <x v="2"/>
    <x v="3"/>
    <s v="Paris"/>
    <s v="Education"/>
    <x v="4"/>
    <x v="14"/>
    <x v="2"/>
    <x v="208"/>
    <n v="603.47"/>
    <n v="1344.05"/>
    <n v="1344.05"/>
    <n v="0.20499999999999999"/>
    <n v="18"/>
    <n v="19233.355499999998"/>
    <n v="10862.460000000001"/>
    <n v="8370.8954999999969"/>
    <n v="0.43522803392262976"/>
    <d v="2023-02-05T00:00:00"/>
    <s v="Q3-2025"/>
    <s v="Europe → France → Paris"/>
    <s v="Medium"/>
    <x v="27"/>
    <d v="2023-01-01T00:00:00"/>
    <n v="31"/>
    <n v="0"/>
    <n v="1"/>
    <m/>
    <m/>
    <n v="21.599999999999998"/>
    <n v="693.9905"/>
    <n v="0.20499999999999999"/>
    <n v="23080.026599999997"/>
    <n v="14990.194799999999"/>
    <n v="8089.8317999999981"/>
  </r>
  <r>
    <x v="209"/>
    <x v="189"/>
    <d v="2025-09-22T00:00:00"/>
    <n v="23"/>
    <x v="2"/>
    <x v="3"/>
    <s v="Marseille"/>
    <s v="Corporate"/>
    <x v="2"/>
    <x v="6"/>
    <x v="1"/>
    <x v="209"/>
    <n v="663.9"/>
    <n v="947.77"/>
    <n v="947.77"/>
    <n v="0.17399999999999999"/>
    <n v="15"/>
    <n v="11742.8703"/>
    <n v="9958.5"/>
    <n v="1784.3703000000005"/>
    <n v="0.1519535049280073"/>
    <d v="2023-02-07T00:00:00"/>
    <s v="Q3-2025"/>
    <s v="Europe → France → Marseille"/>
    <s v="Medium"/>
    <x v="27"/>
    <d v="2023-01-01T00:00:00"/>
    <n v="31"/>
    <n v="0"/>
    <n v="0"/>
    <m/>
    <m/>
    <n v="18"/>
    <n v="763.4849999999999"/>
    <n v="0.17399999999999999"/>
    <n v="14091.444360000001"/>
    <n v="13742.729999999998"/>
    <n v="348.71436000000358"/>
  </r>
  <r>
    <x v="210"/>
    <x v="189"/>
    <d v="2025-09-03T00:00:00"/>
    <n v="4"/>
    <x v="2"/>
    <x v="3"/>
    <s v="Marseille"/>
    <s v="Small Business"/>
    <x v="0"/>
    <x v="9"/>
    <x v="6"/>
    <x v="210"/>
    <n v="1286.56"/>
    <n v="2777.35"/>
    <n v="2777.35"/>
    <n v="0.13200000000000001"/>
    <n v="15"/>
    <n v="36161.097000000002"/>
    <n v="19298.399999999998"/>
    <n v="16862.697000000004"/>
    <n v="0.46632150014696744"/>
    <d v="2023-02-08T00:00:00"/>
    <s v="Q3-2025"/>
    <s v="Europe → France → Marseille"/>
    <s v="High"/>
    <x v="27"/>
    <d v="2023-01-01T00:00:00"/>
    <n v="31"/>
    <n v="1"/>
    <n v="0"/>
    <m/>
    <m/>
    <n v="18"/>
    <n v="1479.5439999999999"/>
    <n v="0.13200000000000001"/>
    <n v="43393.316399999996"/>
    <n v="26631.791999999998"/>
    <n v="16761.524399999998"/>
  </r>
  <r>
    <x v="211"/>
    <x v="190"/>
    <d v="2023-01-22T00:00:00"/>
    <n v="1"/>
    <x v="2"/>
    <x v="4"/>
    <s v="Munich"/>
    <s v="Corporate"/>
    <x v="2"/>
    <x v="8"/>
    <x v="0"/>
    <x v="211"/>
    <n v="150.86000000000001"/>
    <n v="346.96"/>
    <n v="346.96"/>
    <n v="0.19600000000000001"/>
    <n v="8"/>
    <n v="2231.6467200000002"/>
    <n v="1206.8800000000001"/>
    <n v="1024.7667200000001"/>
    <n v="0.45919755614365343"/>
    <d v="2025-09-14T00:00:00"/>
    <s v="Q1-2023"/>
    <s v="Europe → Germany → Munich"/>
    <s v="Low"/>
    <x v="0"/>
    <d v="2023-01-01T00:00:00"/>
    <n v="0"/>
    <n v="1"/>
    <n v="0"/>
    <m/>
    <m/>
    <n v="9.6"/>
    <n v="173.489"/>
    <n v="0.19600000000000001"/>
    <n v="2677.976064"/>
    <n v="1665.4944"/>
    <n v="1012.4816639999999"/>
  </r>
  <r>
    <x v="212"/>
    <x v="191"/>
    <d v="2023-02-15T00:00:00"/>
    <n v="20"/>
    <x v="2"/>
    <x v="4"/>
    <s v="Berlin"/>
    <s v="Small Business"/>
    <x v="1"/>
    <x v="13"/>
    <x v="4"/>
    <x v="212"/>
    <n v="492.62"/>
    <n v="366.7"/>
    <n v="366.7"/>
    <n v="8.8999999999999996E-2"/>
    <n v="10"/>
    <n v="3340.6370000000002"/>
    <n v="4926.2"/>
    <n v="-1585.5629999999996"/>
    <n v="-0.47462894052840809"/>
    <d v="2025-09-15T00:00:00"/>
    <s v="Q1-2023"/>
    <s v="Europe → Germany → Berlin"/>
    <s v="Low"/>
    <x v="0"/>
    <d v="2023-01-01T00:00:00"/>
    <n v="0"/>
    <n v="0"/>
    <n v="0"/>
    <m/>
    <m/>
    <n v="12"/>
    <n v="566.51299999999992"/>
    <n v="8.8999999999999996E-2"/>
    <n v="4008.7644"/>
    <n v="6798.155999999999"/>
    <n v="-2789.391599999999"/>
  </r>
  <r>
    <x v="213"/>
    <x v="192"/>
    <d v="2023-02-21T00:00:00"/>
    <n v="22"/>
    <x v="2"/>
    <x v="4"/>
    <s v="Munich"/>
    <s v="Small Business"/>
    <x v="0"/>
    <x v="2"/>
    <x v="4"/>
    <x v="213"/>
    <n v="1142.8800000000001"/>
    <n v="1465.29"/>
    <n v="1465.29"/>
    <n v="0.186"/>
    <n v="7"/>
    <n v="8349.2224200000001"/>
    <n v="8000.1600000000008"/>
    <n v="349.06241999999929"/>
    <n v="4.1807775915017401E-2"/>
    <d v="2025-08-21T00:00:00"/>
    <s v="Q1-2023"/>
    <s v="Europe → Germany → Munich"/>
    <s v="Medium"/>
    <x v="0"/>
    <d v="2023-01-01T00:00:00"/>
    <n v="0"/>
    <n v="0"/>
    <n v="0"/>
    <m/>
    <m/>
    <n v="8.4"/>
    <n v="1314.3120000000001"/>
    <n v="0.186"/>
    <n v="10019.066904000001"/>
    <n v="11040.220800000001"/>
    <n v="-1021.1538959999998"/>
  </r>
  <r>
    <x v="214"/>
    <x v="193"/>
    <d v="2023-03-12T00:00:00"/>
    <n v="21"/>
    <x v="2"/>
    <x v="4"/>
    <s v="Berlin"/>
    <s v="Small Business"/>
    <x v="2"/>
    <x v="11"/>
    <x v="0"/>
    <x v="214"/>
    <n v="1234.81"/>
    <n v="2055.2399999999998"/>
    <n v="2055.2399999999998"/>
    <n v="5.2999999999999999E-2"/>
    <n v="44"/>
    <n v="85637.740319999997"/>
    <n v="54331.64"/>
    <n v="31306.100319999998"/>
    <n v="0.36556429680441616"/>
    <d v="2025-08-13T00:00:00"/>
    <s v="Q1-2023"/>
    <s v="Europe → Germany → Berlin"/>
    <s v="High"/>
    <x v="1"/>
    <d v="2023-01-01T00:00:00"/>
    <n v="1"/>
    <n v="0"/>
    <n v="0"/>
    <m/>
    <m/>
    <n v="52.8"/>
    <n v="1420.0314999999998"/>
    <n v="5.2999999999999999E-2"/>
    <n v="102765.28838399997"/>
    <n v="74977.663199999981"/>
    <n v="27787.62518399999"/>
  </r>
  <r>
    <x v="215"/>
    <x v="194"/>
    <d v="2023-03-20T00:00:00"/>
    <n v="20"/>
    <x v="2"/>
    <x v="4"/>
    <s v="Berlin"/>
    <s v="Small Business"/>
    <x v="2"/>
    <x v="15"/>
    <x v="6"/>
    <x v="215"/>
    <n v="1200.78"/>
    <n v="2001.17"/>
    <n v="2001.17"/>
    <n v="0.29199999999999998"/>
    <n v="18"/>
    <n v="25502.910479999999"/>
    <n v="21614.04"/>
    <n v="3888.8704799999978"/>
    <n v="0.15248732034132906"/>
    <d v="2025-07-22T00:00:00"/>
    <s v="Q1-2023"/>
    <s v="Europe → Germany → Berlin"/>
    <s v="High"/>
    <x v="1"/>
    <d v="2023-01-01T00:00:00"/>
    <n v="1"/>
    <n v="0"/>
    <n v="1"/>
    <m/>
    <m/>
    <n v="21.599999999999998"/>
    <n v="1380.8969999999999"/>
    <n v="0.25"/>
    <n v="32418.953999999998"/>
    <n v="29827.375199999995"/>
    <n v="2591.578800000003"/>
  </r>
  <r>
    <x v="216"/>
    <x v="194"/>
    <d v="2023-03-06T00:00:00"/>
    <n v="6"/>
    <x v="2"/>
    <x v="4"/>
    <s v="Frankfurt"/>
    <s v="Small Business"/>
    <x v="0"/>
    <x v="0"/>
    <x v="3"/>
    <x v="216"/>
    <n v="880.02"/>
    <n v="1251.21"/>
    <n v="1251.21"/>
    <n v="0.123"/>
    <n v="29"/>
    <n v="31822.023930000003"/>
    <n v="25520.579999999998"/>
    <n v="6301.4439300000049"/>
    <n v="0.19802146915172672"/>
    <d v="2025-07-23T00:00:00"/>
    <s v="Q1-2023"/>
    <s v="Europe → Germany → Frankfurt"/>
    <s v="Medium"/>
    <x v="1"/>
    <d v="2023-01-01T00:00:00"/>
    <n v="1"/>
    <n v="1"/>
    <n v="0"/>
    <m/>
    <m/>
    <n v="34.799999999999997"/>
    <n v="1012.0229999999999"/>
    <n v="0.123"/>
    <n v="38186.428716000002"/>
    <n v="35218.400399999991"/>
    <n v="2968.0283160000108"/>
  </r>
  <r>
    <x v="217"/>
    <x v="195"/>
    <d v="2023-03-18T00:00:00"/>
    <n v="4"/>
    <x v="2"/>
    <x v="4"/>
    <s v="Frankfurt"/>
    <s v="Enterprise"/>
    <x v="2"/>
    <x v="4"/>
    <x v="1"/>
    <x v="217"/>
    <n v="472.33"/>
    <n v="360.34"/>
    <n v="360.34"/>
    <n v="0.16500000000000001"/>
    <n v="14"/>
    <n v="4212.3745999999992"/>
    <n v="6612.62"/>
    <n v="-2400.2454000000007"/>
    <n v="-0.56980815523861561"/>
    <d v="2025-07-20T00:00:00"/>
    <s v="Q1-2023"/>
    <s v="Europe → Germany → Frankfurt"/>
    <s v="Low"/>
    <x v="2"/>
    <d v="2023-01-01T00:00:00"/>
    <n v="2"/>
    <n v="1"/>
    <n v="0"/>
    <m/>
    <m/>
    <n v="16.8"/>
    <n v="543.17949999999996"/>
    <n v="0.16500000000000001"/>
    <n v="5054.8495199999998"/>
    <n v="9125.4156000000003"/>
    <n v="-4070.5660800000005"/>
  </r>
  <r>
    <x v="218"/>
    <x v="196"/>
    <d v="2023-04-06T00:00:00"/>
    <n v="20"/>
    <x v="2"/>
    <x v="4"/>
    <s v="Munich"/>
    <s v="Consumer"/>
    <x v="4"/>
    <x v="13"/>
    <x v="2"/>
    <x v="218"/>
    <n v="692.18"/>
    <n v="1159.3499999999999"/>
    <n v="1159.3499999999999"/>
    <n v="0.112"/>
    <n v="2"/>
    <n v="2059.0056"/>
    <n v="1384.36"/>
    <n v="674.64560000000006"/>
    <n v="0.32765602968734037"/>
    <d v="2025-07-14T00:00:00"/>
    <s v="Q1-2023"/>
    <s v="Europe → Germany → Munich"/>
    <s v="Medium"/>
    <x v="2"/>
    <d v="2023-01-01T00:00:00"/>
    <n v="2"/>
    <n v="0"/>
    <n v="0"/>
    <m/>
    <m/>
    <n v="2.4"/>
    <n v="796.00699999999983"/>
    <n v="0.112"/>
    <n v="2470.8067199999996"/>
    <n v="1910.4167999999995"/>
    <n v="560.38992000000007"/>
  </r>
  <r>
    <x v="219"/>
    <x v="197"/>
    <d v="2023-05-13T00:00:00"/>
    <n v="29"/>
    <x v="2"/>
    <x v="4"/>
    <s v="Frankfurt"/>
    <s v="Consumer"/>
    <x v="2"/>
    <x v="9"/>
    <x v="3"/>
    <x v="219"/>
    <n v="1320.33"/>
    <n v="2645.23"/>
    <n v="2645.23"/>
    <n v="0.155"/>
    <n v="25"/>
    <n v="55880.483749999999"/>
    <n v="33008.25"/>
    <n v="22872.233749999999"/>
    <n v="0.40930629470436536"/>
    <d v="2025-06-22T00:00:00"/>
    <s v="Q2-2023"/>
    <s v="Europe → Germany → Frankfurt"/>
    <s v="High"/>
    <x v="3"/>
    <d v="2023-01-01T00:00:00"/>
    <n v="3"/>
    <n v="0"/>
    <n v="0"/>
    <m/>
    <m/>
    <n v="30"/>
    <n v="1518.3794999999998"/>
    <n v="0.155"/>
    <n v="67056.580499999996"/>
    <n v="45551.384999999995"/>
    <n v="21505.195500000002"/>
  </r>
  <r>
    <x v="220"/>
    <x v="198"/>
    <d v="2023-04-19T00:00:00"/>
    <n v="3"/>
    <x v="2"/>
    <x v="4"/>
    <s v="Munich"/>
    <s v="Corporate"/>
    <x v="2"/>
    <x v="7"/>
    <x v="5"/>
    <x v="220"/>
    <n v="553.61"/>
    <n v="699.47"/>
    <n v="699.47"/>
    <n v="0.02"/>
    <n v="33"/>
    <n v="22620.859800000002"/>
    <n v="18269.13"/>
    <n v="4351.729800000001"/>
    <n v="0.19237685209472014"/>
    <d v="2025-06-27T00:00:00"/>
    <s v="Q2-2023"/>
    <s v="Europe → Germany → Munich"/>
    <s v="Low"/>
    <x v="3"/>
    <d v="2023-01-01T00:00:00"/>
    <n v="3"/>
    <n v="1"/>
    <n v="0"/>
    <m/>
    <m/>
    <n v="39.6"/>
    <n v="636.65149999999994"/>
    <n v="0.02"/>
    <n v="27145.031760000002"/>
    <n v="25211.399399999998"/>
    <n v="1933.6323600000032"/>
  </r>
  <r>
    <x v="221"/>
    <x v="3"/>
    <d v="2023-04-28T00:00:00"/>
    <n v="9"/>
    <x v="2"/>
    <x v="4"/>
    <s v="Berlin"/>
    <s v="Education"/>
    <x v="1"/>
    <x v="6"/>
    <x v="0"/>
    <x v="221"/>
    <n v="1178.42"/>
    <n v="2446.56"/>
    <n v="2446.56"/>
    <n v="2.9000000000000001E-2"/>
    <n v="11"/>
    <n v="26131.70736"/>
    <n v="12962.62"/>
    <n v="13169.08736"/>
    <n v="0.5039505141618883"/>
    <d v="2025-06-09T00:00:00"/>
    <s v="Q2-2023"/>
    <s v="Europe → Germany → Berlin"/>
    <s v="High"/>
    <x v="3"/>
    <d v="2023-01-01T00:00:00"/>
    <n v="3"/>
    <n v="0"/>
    <n v="0"/>
    <m/>
    <m/>
    <n v="13.2"/>
    <n v="1355.183"/>
    <n v="2.9000000000000001E-2"/>
    <n v="31358.048831999997"/>
    <n v="17888.4156"/>
    <n v="13469.633231999996"/>
  </r>
  <r>
    <x v="222"/>
    <x v="199"/>
    <d v="2023-06-19T00:00:00"/>
    <n v="23"/>
    <x v="2"/>
    <x v="4"/>
    <s v="Berlin"/>
    <s v="Education"/>
    <x v="4"/>
    <x v="13"/>
    <x v="5"/>
    <x v="222"/>
    <n v="1471.58"/>
    <n v="2576.65"/>
    <n v="2576.65"/>
    <n v="4.0000000000000001E-3"/>
    <n v="7"/>
    <n v="17964.4038"/>
    <n v="10301.06"/>
    <n v="7663.3438000000006"/>
    <n v="0.4265849223451546"/>
    <d v="2025-05-02T00:00:00"/>
    <s v="Q2-2023"/>
    <s v="Europe → Germany → Berlin"/>
    <s v="High"/>
    <x v="4"/>
    <d v="2023-01-01T00:00:00"/>
    <n v="4"/>
    <n v="0"/>
    <n v="0"/>
    <m/>
    <m/>
    <n v="8.4"/>
    <n v="1692.3169999999998"/>
    <n v="4.0000000000000001E-3"/>
    <n v="21557.28456"/>
    <n v="14215.462799999999"/>
    <n v="7341.8217600000007"/>
  </r>
  <r>
    <x v="223"/>
    <x v="200"/>
    <d v="2023-06-08T00:00:00"/>
    <n v="7"/>
    <x v="2"/>
    <x v="4"/>
    <s v="Frankfurt"/>
    <s v="Consumer"/>
    <x v="1"/>
    <x v="4"/>
    <x v="2"/>
    <x v="223"/>
    <n v="804.17"/>
    <n v="1072.29"/>
    <n v="1072.29"/>
    <n v="3.2000000000000001E-2"/>
    <n v="5"/>
    <n v="5189.8836000000001"/>
    <n v="4020.85"/>
    <n v="1169.0336000000002"/>
    <n v="0.2252523736755869"/>
    <d v="2025-04-22T00:00:00"/>
    <s v="Q2-2023"/>
    <s v="Europe → Germany → Frankfurt"/>
    <s v="Medium"/>
    <x v="5"/>
    <d v="2023-01-01T00:00:00"/>
    <n v="5"/>
    <n v="1"/>
    <n v="0"/>
    <m/>
    <m/>
    <n v="6"/>
    <n v="924.79549999999983"/>
    <n v="3.2000000000000001E-2"/>
    <n v="6227.8603199999998"/>
    <n v="5548.7729999999992"/>
    <n v="679.08732000000055"/>
  </r>
  <r>
    <x v="224"/>
    <x v="151"/>
    <d v="2023-07-08T00:00:00"/>
    <n v="7"/>
    <x v="2"/>
    <x v="4"/>
    <s v="Frankfurt"/>
    <s v="Small Business"/>
    <x v="3"/>
    <x v="1"/>
    <x v="6"/>
    <x v="224"/>
    <n v="460.21"/>
    <n v="1139.1500000000001"/>
    <n v="1139.1500000000001"/>
    <n v="0.115"/>
    <n v="14"/>
    <n v="14114.068500000001"/>
    <n v="6442.94"/>
    <n v="7671.1285000000016"/>
    <n v="0.54350937151821255"/>
    <d v="2025-03-14T00:00:00"/>
    <s v="Q3-2023"/>
    <s v="Europe → Germany → Frankfurt"/>
    <s v="Medium"/>
    <x v="6"/>
    <d v="2023-01-01T00:00:00"/>
    <n v="6"/>
    <n v="1"/>
    <n v="0"/>
    <m/>
    <m/>
    <n v="16.8"/>
    <n v="529.24149999999997"/>
    <n v="0.115"/>
    <n v="16936.8822"/>
    <n v="8891.2572"/>
    <n v="8045.625"/>
  </r>
  <r>
    <x v="225"/>
    <x v="201"/>
    <d v="2023-09-01T00:00:00"/>
    <n v="2"/>
    <x v="2"/>
    <x v="4"/>
    <s v="Munich"/>
    <s v="Corporate"/>
    <x v="2"/>
    <x v="1"/>
    <x v="4"/>
    <x v="225"/>
    <n v="44.42"/>
    <n v="41.9"/>
    <n v="41.9"/>
    <n v="0.14399999999999999"/>
    <n v="6"/>
    <n v="215.19839999999996"/>
    <n v="266.52"/>
    <n v="-51.321600000000018"/>
    <n v="-0.23848504449847224"/>
    <d v="2025-01-22T00:00:00"/>
    <s v="Q3-2023"/>
    <s v="Europe → Germany → Munich"/>
    <s v="Low"/>
    <x v="7"/>
    <d v="2023-01-01T00:00:00"/>
    <n v="7"/>
    <n v="1"/>
    <n v="0"/>
    <m/>
    <m/>
    <n v="7.1999999999999993"/>
    <n v="51.082999999999998"/>
    <n v="0.14399999999999999"/>
    <n v="258.23807999999997"/>
    <n v="367.79759999999993"/>
    <n v="-109.55951999999996"/>
  </r>
  <r>
    <x v="226"/>
    <x v="202"/>
    <d v="2023-12-10T00:00:00"/>
    <n v="10"/>
    <x v="2"/>
    <x v="4"/>
    <s v="Munich"/>
    <s v="Small Business"/>
    <x v="2"/>
    <x v="8"/>
    <x v="6"/>
    <x v="226"/>
    <n v="174.74"/>
    <n v="415.96"/>
    <n v="415.96"/>
    <n v="0.125"/>
    <n v="21"/>
    <n v="7643.2649999999994"/>
    <n v="3669.54"/>
    <n v="3973.7249999999995"/>
    <n v="0.51989889137691803"/>
    <d v="2024-10-27T00:00:00"/>
    <s v="Q4-2023"/>
    <s v="Europe → Germany → Munich"/>
    <s v="Low"/>
    <x v="10"/>
    <d v="2023-01-01T00:00:00"/>
    <n v="10"/>
    <n v="0"/>
    <n v="0"/>
    <m/>
    <m/>
    <n v="25.2"/>
    <n v="200.95099999999999"/>
    <n v="0.125"/>
    <n v="9171.9179999999997"/>
    <n v="5063.9651999999996"/>
    <n v="4107.9528"/>
  </r>
  <r>
    <x v="227"/>
    <x v="203"/>
    <d v="2023-12-16T00:00:00"/>
    <n v="14"/>
    <x v="2"/>
    <x v="4"/>
    <s v="Frankfurt"/>
    <s v="Education"/>
    <x v="2"/>
    <x v="1"/>
    <x v="0"/>
    <x v="227"/>
    <n v="879.08"/>
    <n v="1093.3900000000001"/>
    <n v="1093.3900000000001"/>
    <n v="0.113"/>
    <n v="17"/>
    <n v="16487.22781"/>
    <n v="14944.36"/>
    <n v="1542.8678099999997"/>
    <n v="9.3579577341935186E-2"/>
    <d v="2024-10-25T00:00:00"/>
    <s v="Q4-2023"/>
    <s v="Europe → Germany → Frankfurt"/>
    <s v="Medium"/>
    <x v="11"/>
    <d v="2023-01-01T00:00:00"/>
    <n v="11"/>
    <n v="0"/>
    <n v="0"/>
    <m/>
    <m/>
    <n v="20.399999999999999"/>
    <n v="1010.942"/>
    <n v="0.113"/>
    <n v="19784.673372000001"/>
    <n v="20623.216799999998"/>
    <n v="-838.54342799999722"/>
  </r>
  <r>
    <x v="228"/>
    <x v="204"/>
    <d v="2024-01-02T00:00:00"/>
    <n v="26"/>
    <x v="2"/>
    <x v="4"/>
    <s v="Frankfurt"/>
    <s v="Enterprise"/>
    <x v="3"/>
    <x v="6"/>
    <x v="1"/>
    <x v="228"/>
    <n v="1071.99"/>
    <n v="2397.3000000000002"/>
    <n v="2397.3000000000002"/>
    <n v="6.2E-2"/>
    <n v="18"/>
    <n v="40476.013200000001"/>
    <n v="19295.82"/>
    <n v="21180.193200000002"/>
    <n v="0.52327765324476183"/>
    <d v="2024-11-05T00:00:00"/>
    <s v="Q4-2023"/>
    <s v="Europe → Germany → Frankfurt"/>
    <s v="High"/>
    <x v="11"/>
    <d v="2023-01-01T00:00:00"/>
    <n v="11"/>
    <n v="0"/>
    <n v="0"/>
    <m/>
    <m/>
    <n v="21.599999999999998"/>
    <n v="1232.7884999999999"/>
    <n v="6.2E-2"/>
    <n v="48571.215839999997"/>
    <n v="26628.231599999996"/>
    <n v="21942.984240000002"/>
  </r>
  <r>
    <x v="229"/>
    <x v="205"/>
    <d v="2024-02-05T00:00:00"/>
    <n v="23"/>
    <x v="2"/>
    <x v="4"/>
    <s v="Frankfurt"/>
    <s v="Education"/>
    <x v="2"/>
    <x v="7"/>
    <x v="6"/>
    <x v="229"/>
    <n v="1017.93"/>
    <n v="1529.14"/>
    <n v="1529.14"/>
    <n v="0.155"/>
    <n v="12"/>
    <n v="15505.479600000001"/>
    <n v="12215.16"/>
    <n v="3290.3196000000007"/>
    <n v="0.21220366508366503"/>
    <d v="2024-09-25T00:00:00"/>
    <s v="Q1-2024"/>
    <s v="Europe → Germany → Frankfurt"/>
    <s v="Medium"/>
    <x v="12"/>
    <d v="2023-01-01T00:00:00"/>
    <n v="12"/>
    <n v="0"/>
    <n v="0"/>
    <m/>
    <m/>
    <n v="14.399999999999999"/>
    <n v="1170.6194999999998"/>
    <n v="0.155"/>
    <n v="18606.575519999999"/>
    <n v="16856.920799999996"/>
    <n v="1749.6547200000023"/>
  </r>
  <r>
    <x v="230"/>
    <x v="206"/>
    <d v="2024-02-11T00:00:00"/>
    <n v="26"/>
    <x v="2"/>
    <x v="4"/>
    <s v="Frankfurt"/>
    <s v="Non-Profit"/>
    <x v="3"/>
    <x v="6"/>
    <x v="0"/>
    <x v="230"/>
    <n v="504.93"/>
    <n v="819.06"/>
    <n v="819.06"/>
    <n v="0.22600000000000001"/>
    <n v="15"/>
    <n v="9509.2865999999995"/>
    <n v="7573.95"/>
    <n v="1935.3365999999996"/>
    <n v="0.20352069312959814"/>
    <d v="2024-09-09T00:00:00"/>
    <s v="Q1-2024"/>
    <s v="Europe → Germany → Frankfurt"/>
    <s v="Medium"/>
    <x v="12"/>
    <d v="2023-01-01T00:00:00"/>
    <n v="12"/>
    <n v="0"/>
    <n v="1"/>
    <m/>
    <m/>
    <n v="18"/>
    <n v="580.66949999999997"/>
    <n v="0.22600000000000001"/>
    <n v="11411.143919999999"/>
    <n v="10452.050999999999"/>
    <n v="959.09291999999914"/>
  </r>
  <r>
    <x v="231"/>
    <x v="207"/>
    <d v="2024-02-09T00:00:00"/>
    <n v="12"/>
    <x v="2"/>
    <x v="4"/>
    <s v="Berlin"/>
    <s v="Corporate"/>
    <x v="1"/>
    <x v="2"/>
    <x v="5"/>
    <x v="231"/>
    <n v="644.16999999999996"/>
    <n v="700.12"/>
    <n v="700.12"/>
    <n v="6.0000000000000001E-3"/>
    <n v="23"/>
    <n v="16006.14344"/>
    <n v="14815.91"/>
    <n v="1190.23344"/>
    <n v="7.436103796405813E-2"/>
    <d v="2024-08-18T00:00:00"/>
    <s v="Q1-2024"/>
    <s v="Europe → Germany → Berlin"/>
    <s v="Low"/>
    <x v="12"/>
    <d v="2023-01-01T00:00:00"/>
    <n v="12"/>
    <n v="0"/>
    <n v="0"/>
    <m/>
    <m/>
    <n v="27.599999999999998"/>
    <n v="740.79549999999995"/>
    <n v="6.0000000000000001E-3"/>
    <n v="19207.372127999999"/>
    <n v="20445.955799999996"/>
    <n v="-1238.583671999997"/>
  </r>
  <r>
    <x v="232"/>
    <x v="115"/>
    <d v="2024-02-21T00:00:00"/>
    <n v="18"/>
    <x v="2"/>
    <x v="4"/>
    <s v="Frankfurt"/>
    <s v="Corporate"/>
    <x v="4"/>
    <x v="15"/>
    <x v="1"/>
    <x v="232"/>
    <n v="39.229999999999997"/>
    <n v="30.09"/>
    <n v="30.09"/>
    <n v="0.17699999999999999"/>
    <n v="13"/>
    <n v="321.93290999999999"/>
    <n v="509.98999999999995"/>
    <n v="-188.05708999999996"/>
    <n v="-0.58414993981199359"/>
    <d v="2024-09-03T00:00:00"/>
    <s v="Q1-2024"/>
    <s v="Europe → Germany → Frankfurt"/>
    <s v="Low"/>
    <x v="13"/>
    <d v="2023-01-01T00:00:00"/>
    <n v="13"/>
    <n v="0"/>
    <n v="0"/>
    <m/>
    <m/>
    <n v="15.6"/>
    <n v="45.114499999999992"/>
    <n v="0.17699999999999999"/>
    <n v="386.31949199999997"/>
    <n v="703.78619999999989"/>
    <n v="-317.46670799999993"/>
  </r>
  <r>
    <x v="233"/>
    <x v="208"/>
    <d v="2024-04-03T00:00:00"/>
    <n v="27"/>
    <x v="2"/>
    <x v="4"/>
    <s v="Frankfurt"/>
    <s v="Corporate"/>
    <x v="2"/>
    <x v="3"/>
    <x v="3"/>
    <x v="233"/>
    <n v="738.16"/>
    <n v="956.49"/>
    <n v="956.49"/>
    <n v="0.152"/>
    <n v="5"/>
    <n v="4055.5175999999997"/>
    <n v="3690.7999999999997"/>
    <n v="364.71759999999995"/>
    <n v="8.9931208780847108E-2"/>
    <d v="2024-07-13T00:00:00"/>
    <s v="Q1-2024"/>
    <s v="Europe → Germany → Frankfurt"/>
    <s v="Medium"/>
    <x v="29"/>
    <d v="2023-01-01T00:00:00"/>
    <n v="14"/>
    <n v="0"/>
    <n v="0"/>
    <m/>
    <m/>
    <n v="6"/>
    <n v="848.8839999999999"/>
    <n v="0.152"/>
    <n v="4866.6211200000007"/>
    <n v="5093.3039999999992"/>
    <n v="-226.68287999999848"/>
  </r>
  <r>
    <x v="234"/>
    <x v="208"/>
    <d v="2024-03-25T00:00:00"/>
    <n v="18"/>
    <x v="2"/>
    <x v="4"/>
    <s v="Munich"/>
    <s v="Corporate"/>
    <x v="1"/>
    <x v="7"/>
    <x v="1"/>
    <x v="234"/>
    <n v="712.84"/>
    <n v="927.51"/>
    <n v="927.51"/>
    <n v="0.24299999999999999"/>
    <n v="27"/>
    <n v="18957.37689"/>
    <n v="19246.68"/>
    <n v="-289.30311000000074"/>
    <n v="-1.5260714163076427E-2"/>
    <d v="2024-07-25T00:00:00"/>
    <s v="Q1-2024"/>
    <s v="Europe → Germany → Munich"/>
    <s v="Medium"/>
    <x v="29"/>
    <d v="2023-01-01T00:00:00"/>
    <n v="14"/>
    <n v="0"/>
    <n v="1"/>
    <m/>
    <m/>
    <n v="32.4"/>
    <n v="819.76599999999996"/>
    <n v="0.24299999999999999"/>
    <n v="22748.852267999999"/>
    <n v="26560.418399999999"/>
    <n v="-3811.5661319999999"/>
  </r>
  <r>
    <x v="235"/>
    <x v="209"/>
    <d v="2024-03-21T00:00:00"/>
    <n v="3"/>
    <x v="2"/>
    <x v="4"/>
    <s v="Munich"/>
    <s v="Small Business"/>
    <x v="1"/>
    <x v="3"/>
    <x v="5"/>
    <x v="235"/>
    <n v="910.63"/>
    <n v="1269.4000000000001"/>
    <n v="1269.4000000000001"/>
    <n v="6.8000000000000005E-2"/>
    <n v="9"/>
    <n v="10647.727199999999"/>
    <n v="8195.67"/>
    <n v="2452.0571999999993"/>
    <n v="0.23028925834989455"/>
    <d v="2024-07-09T00:00:00"/>
    <s v="Q1-2024"/>
    <s v="Europe → Germany → Munich"/>
    <s v="Medium"/>
    <x v="29"/>
    <d v="2023-01-01T00:00:00"/>
    <n v="14"/>
    <n v="1"/>
    <n v="0"/>
    <m/>
    <m/>
    <n v="10.799999999999999"/>
    <n v="1047.2244999999998"/>
    <n v="6.8000000000000005E-2"/>
    <n v="12777.272639999999"/>
    <n v="11310.024599999997"/>
    <n v="1467.2480400000022"/>
  </r>
  <r>
    <x v="236"/>
    <x v="210"/>
    <d v="2024-04-17T00:00:00"/>
    <n v="17"/>
    <x v="2"/>
    <x v="4"/>
    <s v="Frankfurt"/>
    <s v="Education"/>
    <x v="2"/>
    <x v="15"/>
    <x v="0"/>
    <x v="236"/>
    <n v="1025.51"/>
    <n v="1436.54"/>
    <n v="1436.54"/>
    <n v="0.13900000000000001"/>
    <n v="28"/>
    <n v="34632.106319999999"/>
    <n v="28714.28"/>
    <n v="5917.8263200000001"/>
    <n v="0.17087688127656453"/>
    <d v="2024-06-25T00:00:00"/>
    <s v="Q1-2024"/>
    <s v="Europe → Germany → Frankfurt"/>
    <s v="Medium"/>
    <x v="29"/>
    <d v="2023-01-01T00:00:00"/>
    <n v="14"/>
    <n v="0"/>
    <n v="0"/>
    <m/>
    <m/>
    <n v="33.6"/>
    <n v="1179.3364999999999"/>
    <n v="0.13900000000000001"/>
    <n v="41558.527583999996"/>
    <n v="39625.706399999995"/>
    <n v="1932.8211840000004"/>
  </r>
  <r>
    <x v="237"/>
    <x v="211"/>
    <d v="2024-04-24T00:00:00"/>
    <n v="20"/>
    <x v="2"/>
    <x v="4"/>
    <s v="Frankfurt"/>
    <s v="Non-Profit"/>
    <x v="2"/>
    <x v="13"/>
    <x v="5"/>
    <x v="237"/>
    <n v="683.42"/>
    <n v="951.51"/>
    <n v="951.51"/>
    <n v="0"/>
    <n v="14"/>
    <n v="13321.14"/>
    <n v="9567.8799999999992"/>
    <n v="3753.26"/>
    <n v="0.28175216235247136"/>
    <d v="2024-06-07T00:00:00"/>
    <s v="Q2-2024"/>
    <s v="Europe → Germany → Frankfurt"/>
    <s v="Medium"/>
    <x v="14"/>
    <d v="2023-01-01T00:00:00"/>
    <n v="15"/>
    <n v="0"/>
    <n v="0"/>
    <m/>
    <m/>
    <n v="16.8"/>
    <n v="785.93299999999988"/>
    <n v="0"/>
    <n v="15985.368"/>
    <n v="13203.674399999998"/>
    <n v="2781.6936000000023"/>
  </r>
  <r>
    <x v="238"/>
    <x v="212"/>
    <d v="2024-05-19T00:00:00"/>
    <n v="20"/>
    <x v="2"/>
    <x v="4"/>
    <s v="Frankfurt"/>
    <s v="Enterprise"/>
    <x v="0"/>
    <x v="5"/>
    <x v="6"/>
    <x v="238"/>
    <n v="668.97"/>
    <n v="1667.44"/>
    <n v="1667.44"/>
    <n v="3.4000000000000002E-2"/>
    <n v="15"/>
    <n v="24161.205600000001"/>
    <n v="10034.550000000001"/>
    <n v="14126.6556"/>
    <n v="0.58468339013679016"/>
    <d v="2024-06-02T00:00:00"/>
    <s v="Q2-2024"/>
    <s v="Europe → Germany → Frankfurt"/>
    <s v="High"/>
    <x v="14"/>
    <d v="2023-01-01T00:00:00"/>
    <n v="15"/>
    <n v="0"/>
    <n v="0"/>
    <m/>
    <m/>
    <n v="18"/>
    <n v="769.31549999999993"/>
    <n v="3.4000000000000002E-2"/>
    <n v="28993.44672"/>
    <n v="13847.678999999998"/>
    <n v="15145.767720000002"/>
  </r>
  <r>
    <x v="239"/>
    <x v="213"/>
    <d v="2024-05-26T00:00:00"/>
    <n v="25"/>
    <x v="2"/>
    <x v="4"/>
    <s v="Berlin"/>
    <s v="Non-Profit"/>
    <x v="4"/>
    <x v="7"/>
    <x v="4"/>
    <x v="239"/>
    <n v="930.71"/>
    <n v="1625.42"/>
    <n v="1625.42"/>
    <n v="0.13800000000000001"/>
    <n v="7"/>
    <n v="9807.7842799999999"/>
    <n v="6514.97"/>
    <n v="3292.8142799999996"/>
    <n v="0.33573477821231196"/>
    <d v="2024-05-23T00:00:00"/>
    <s v="Q2-2024"/>
    <s v="Europe → Germany → Berlin"/>
    <s v="Medium"/>
    <x v="15"/>
    <d v="2023-01-01T00:00:00"/>
    <n v="16"/>
    <n v="0"/>
    <n v="0"/>
    <m/>
    <m/>
    <n v="8.4"/>
    <n v="1070.3164999999999"/>
    <n v="0.13800000000000001"/>
    <n v="11769.341136000001"/>
    <n v="8990.6585999999988"/>
    <n v="2778.6825360000021"/>
  </r>
  <r>
    <x v="240"/>
    <x v="214"/>
    <d v="2024-06-18T00:00:00"/>
    <n v="21"/>
    <x v="2"/>
    <x v="4"/>
    <s v="Frankfurt"/>
    <s v="Small Business"/>
    <x v="1"/>
    <x v="6"/>
    <x v="2"/>
    <x v="240"/>
    <n v="986.85"/>
    <n v="2422.1"/>
    <n v="2422.1"/>
    <n v="7.5999999999999998E-2"/>
    <n v="10"/>
    <n v="22380.204000000002"/>
    <n v="9868.5"/>
    <n v="12511.704000000002"/>
    <n v="0.55905227673527913"/>
    <d v="2024-04-21T00:00:00"/>
    <s v="Q2-2024"/>
    <s v="Europe → Germany → Frankfurt"/>
    <s v="High"/>
    <x v="15"/>
    <d v="2023-01-01T00:00:00"/>
    <n v="16"/>
    <n v="0"/>
    <n v="0"/>
    <m/>
    <m/>
    <n v="12"/>
    <n v="1134.8774999999998"/>
    <n v="7.5999999999999998E-2"/>
    <n v="26856.244799999997"/>
    <n v="13618.529999999999"/>
    <n v="13237.714799999998"/>
  </r>
  <r>
    <x v="241"/>
    <x v="122"/>
    <d v="2024-06-26T00:00:00"/>
    <n v="19"/>
    <x v="2"/>
    <x v="4"/>
    <s v="Berlin"/>
    <s v="Non-Profit"/>
    <x v="0"/>
    <x v="3"/>
    <x v="1"/>
    <x v="241"/>
    <n v="1064.32"/>
    <n v="1848.39"/>
    <n v="1848.39"/>
    <n v="7.2999999999999995E-2"/>
    <n v="38"/>
    <n v="65111.38614000001"/>
    <n v="40444.159999999996"/>
    <n v="24667.226140000013"/>
    <n v="0.3788465827921631"/>
    <d v="2024-04-19T00:00:00"/>
    <s v="Q2-2024"/>
    <s v="Europe → Germany → Berlin"/>
    <s v="High"/>
    <x v="16"/>
    <d v="2023-01-01T00:00:00"/>
    <n v="17"/>
    <n v="0"/>
    <n v="0"/>
    <m/>
    <m/>
    <n v="45.6"/>
    <n v="1223.9679999999998"/>
    <n v="7.2999999999999995E-2"/>
    <n v="78133.663368000009"/>
    <n v="55812.940799999997"/>
    <n v="22320.722568000012"/>
  </r>
  <r>
    <x v="242"/>
    <x v="215"/>
    <d v="2024-09-04T00:00:00"/>
    <n v="13"/>
    <x v="2"/>
    <x v="4"/>
    <s v="Frankfurt"/>
    <s v="Non-Profit"/>
    <x v="4"/>
    <x v="11"/>
    <x v="3"/>
    <x v="242"/>
    <n v="90.04"/>
    <n v="194.62"/>
    <n v="194.62"/>
    <n v="4.2999999999999997E-2"/>
    <n v="32"/>
    <n v="5960.04288"/>
    <n v="2881.28"/>
    <n v="3078.7628799999998"/>
    <n v="0.51656723650954672"/>
    <d v="2024-02-20T00:00:00"/>
    <s v="Q3-2024"/>
    <s v="Europe → Germany → Frankfurt"/>
    <s v="Low"/>
    <x v="18"/>
    <d v="2023-01-01T00:00:00"/>
    <n v="19"/>
    <n v="0"/>
    <n v="0"/>
    <m/>
    <m/>
    <n v="38.4"/>
    <n v="103.54599999999999"/>
    <n v="4.2999999999999997E-2"/>
    <n v="7152.0514559999992"/>
    <n v="3976.1663999999996"/>
    <n v="3175.8850559999996"/>
  </r>
  <r>
    <x v="243"/>
    <x v="216"/>
    <d v="2024-09-19T00:00:00"/>
    <n v="23"/>
    <x v="2"/>
    <x v="4"/>
    <s v="Berlin"/>
    <s v="Small Business"/>
    <x v="2"/>
    <x v="0"/>
    <x v="0"/>
    <x v="243"/>
    <n v="1024.01"/>
    <n v="1580.97"/>
    <n v="1580.97"/>
    <n v="3.6999999999999998E-2"/>
    <n v="27"/>
    <n v="41106.800970000004"/>
    <n v="27648.27"/>
    <n v="13458.530970000003"/>
    <n v="0.3274039976942531"/>
    <d v="2024-02-03T00:00:00"/>
    <s v="Q3-2024"/>
    <s v="Europe → Germany → Berlin"/>
    <s v="Medium"/>
    <x v="18"/>
    <d v="2023-01-01T00:00:00"/>
    <n v="19"/>
    <n v="0"/>
    <n v="0"/>
    <m/>
    <m/>
    <n v="32.4"/>
    <n v="1177.6115"/>
    <n v="3.6999999999999998E-2"/>
    <n v="49328.161163999997"/>
    <n v="38154.6126"/>
    <n v="11173.548563999997"/>
  </r>
  <r>
    <x v="244"/>
    <x v="217"/>
    <d v="2024-11-12T00:00:00"/>
    <n v="11"/>
    <x v="2"/>
    <x v="4"/>
    <s v="Frankfurt"/>
    <s v="Consumer"/>
    <x v="1"/>
    <x v="7"/>
    <x v="3"/>
    <x v="244"/>
    <n v="599.84"/>
    <n v="1330.85"/>
    <n v="1330.85"/>
    <n v="0.115"/>
    <n v="11"/>
    <n v="12955.824749999998"/>
    <n v="6598.2400000000007"/>
    <n v="6357.5847499999973"/>
    <n v="0.49071246892252063"/>
    <d v="2023-11-19T00:00:00"/>
    <s v="Q4-2024"/>
    <s v="Europe → Germany → Frankfurt"/>
    <s v="Medium"/>
    <x v="20"/>
    <d v="2023-01-01T00:00:00"/>
    <n v="22"/>
    <n v="0"/>
    <n v="0"/>
    <m/>
    <m/>
    <n v="13.2"/>
    <n v="689.81600000000003"/>
    <n v="0.115"/>
    <n v="15546.989699999998"/>
    <n v="9105.5712000000003"/>
    <n v="6441.4184999999979"/>
  </r>
  <r>
    <x v="245"/>
    <x v="218"/>
    <d v="2024-12-12T00:00:00"/>
    <n v="8"/>
    <x v="2"/>
    <x v="4"/>
    <s v="Frankfurt"/>
    <s v="Enterprise"/>
    <x v="0"/>
    <x v="7"/>
    <x v="3"/>
    <x v="245"/>
    <n v="72.06"/>
    <n v="122.74"/>
    <n v="122.74"/>
    <n v="0.23799999999999999"/>
    <n v="8"/>
    <n v="748.22303999999997"/>
    <n v="576.48"/>
    <n v="171.74303999999995"/>
    <n v="0.22953455162246802"/>
    <d v="2023-10-31T00:00:00"/>
    <s v="Q4-2024"/>
    <s v="Europe → Germany → Frankfurt"/>
    <s v="Low"/>
    <x v="30"/>
    <d v="2023-01-01T00:00:00"/>
    <n v="23"/>
    <n v="0"/>
    <n v="1"/>
    <m/>
    <m/>
    <n v="9.6"/>
    <n v="82.869"/>
    <n v="0.23799999999999999"/>
    <n v="897.86764799999992"/>
    <n v="795.54239999999993"/>
    <n v="102.32524799999999"/>
  </r>
  <r>
    <x v="246"/>
    <x v="219"/>
    <d v="2024-12-18T00:00:00"/>
    <n v="1"/>
    <x v="2"/>
    <x v="4"/>
    <s v="Munich"/>
    <s v="Education"/>
    <x v="4"/>
    <x v="11"/>
    <x v="5"/>
    <x v="246"/>
    <n v="346.82"/>
    <n v="701.95"/>
    <n v="701.95"/>
    <n v="0.14699999999999999"/>
    <n v="8"/>
    <n v="4790.1068000000005"/>
    <n v="2774.56"/>
    <n v="2015.5468000000005"/>
    <n v="0.42077283120284509"/>
    <d v="2023-10-11T00:00:00"/>
    <s v="Q4-2024"/>
    <s v="Europe → Germany → Munich"/>
    <s v="Low"/>
    <x v="30"/>
    <d v="2023-01-01T00:00:00"/>
    <n v="23"/>
    <n v="1"/>
    <n v="0"/>
    <m/>
    <m/>
    <n v="9.6"/>
    <n v="398.84299999999996"/>
    <n v="0.14699999999999999"/>
    <n v="5748.1281600000002"/>
    <n v="3828.8927999999996"/>
    <n v="1919.2353600000006"/>
  </r>
  <r>
    <x v="247"/>
    <x v="220"/>
    <d v="2025-01-11T00:00:00"/>
    <n v="19"/>
    <x v="2"/>
    <x v="4"/>
    <s v="Berlin"/>
    <s v="Education"/>
    <x v="4"/>
    <x v="12"/>
    <x v="2"/>
    <x v="247"/>
    <n v="501.81"/>
    <n v="921.62"/>
    <n v="921.62"/>
    <n v="0.01"/>
    <n v="9"/>
    <n v="8211.6342000000004"/>
    <n v="4516.29"/>
    <n v="3695.3442000000005"/>
    <n v="0.45001325071202031"/>
    <d v="2023-09-25T00:00:00"/>
    <s v="Q4-2024"/>
    <s v="Europe → Germany → Berlin"/>
    <s v="Medium"/>
    <x v="30"/>
    <d v="2023-01-01T00:00:00"/>
    <n v="23"/>
    <n v="0"/>
    <n v="0"/>
    <m/>
    <m/>
    <n v="10.799999999999999"/>
    <n v="577.08150000000001"/>
    <n v="0.01"/>
    <n v="9853.9610399999983"/>
    <n v="6232.4801999999991"/>
    <n v="3621.4808399999993"/>
  </r>
  <r>
    <x v="248"/>
    <x v="88"/>
    <d v="2025-01-02T00:00:00"/>
    <n v="6"/>
    <x v="2"/>
    <x v="4"/>
    <s v="Frankfurt"/>
    <s v="Education"/>
    <x v="2"/>
    <x v="8"/>
    <x v="6"/>
    <x v="248"/>
    <n v="1391.99"/>
    <n v="3469.7"/>
    <n v="3469.7"/>
    <n v="0.184"/>
    <n v="23"/>
    <n v="65119.329599999997"/>
    <n v="32015.77"/>
    <n v="33103.559599999993"/>
    <n v="0.50835227886006973"/>
    <d v="2023-09-30T00:00:00"/>
    <s v="Q4-2024"/>
    <s v="Europe → Germany → Frankfurt"/>
    <s v="High"/>
    <x v="30"/>
    <d v="2023-01-01T00:00:00"/>
    <n v="23"/>
    <n v="1"/>
    <n v="0"/>
    <m/>
    <m/>
    <n v="27.599999999999998"/>
    <n v="1600.7884999999999"/>
    <n v="0.184"/>
    <n v="78143.195519999994"/>
    <n v="44181.762599999995"/>
    <n v="33961.432919999999"/>
  </r>
  <r>
    <x v="249"/>
    <x v="89"/>
    <d v="2025-02-15T00:00:00"/>
    <n v="0"/>
    <x v="2"/>
    <x v="4"/>
    <s v="Frankfurt"/>
    <s v="Small Business"/>
    <x v="0"/>
    <x v="11"/>
    <x v="5"/>
    <x v="249"/>
    <n v="815.83"/>
    <n v="1982.18"/>
    <n v="1982.18"/>
    <n v="0.127"/>
    <n v="6"/>
    <n v="10382.65884"/>
    <n v="4894.9800000000005"/>
    <n v="5487.6788399999996"/>
    <n v="0.52854272923408507"/>
    <d v="2023-07-24T00:00:00"/>
    <s v="Q1-2025"/>
    <s v="Europe → Germany → Frankfurt"/>
    <s v="High"/>
    <x v="22"/>
    <d v="2023-01-01T00:00:00"/>
    <n v="25"/>
    <n v="1"/>
    <n v="0"/>
    <m/>
    <m/>
    <n v="7.1999999999999993"/>
    <n v="938.20449999999994"/>
    <n v="0.127"/>
    <n v="12459.190608000001"/>
    <n v="6755.0723999999991"/>
    <n v="5704.1182080000017"/>
  </r>
  <r>
    <x v="250"/>
    <x v="221"/>
    <d v="2025-03-17T00:00:00"/>
    <n v="29"/>
    <x v="2"/>
    <x v="4"/>
    <s v="Munich"/>
    <s v="Consumer"/>
    <x v="4"/>
    <x v="11"/>
    <x v="5"/>
    <x v="250"/>
    <n v="730.42"/>
    <n v="956.7"/>
    <n v="956.7"/>
    <n v="4.2000000000000003E-2"/>
    <n v="22"/>
    <n v="20163.409200000002"/>
    <n v="16069.24"/>
    <n v="4094.1692000000021"/>
    <n v="0.20304945256975698"/>
    <d v="2023-08-10T00:00:00"/>
    <s v="Q1-2025"/>
    <s v="Europe → Germany → Munich"/>
    <s v="Medium"/>
    <x v="22"/>
    <d v="2023-01-01T00:00:00"/>
    <n v="25"/>
    <n v="0"/>
    <n v="0"/>
    <m/>
    <m/>
    <n v="26.4"/>
    <n v="839.98299999999983"/>
    <n v="4.2000000000000003E-2"/>
    <n v="24196.091039999999"/>
    <n v="22175.551199999994"/>
    <n v="2020.5398400000049"/>
  </r>
  <r>
    <x v="251"/>
    <x v="222"/>
    <d v="2025-03-26T00:00:00"/>
    <n v="15"/>
    <x v="2"/>
    <x v="4"/>
    <s v="Berlin"/>
    <s v="Small Business"/>
    <x v="1"/>
    <x v="14"/>
    <x v="2"/>
    <x v="251"/>
    <n v="116.97"/>
    <n v="140.82"/>
    <n v="140.82"/>
    <n v="0.122"/>
    <n v="5"/>
    <n v="618.19979999999987"/>
    <n v="584.85"/>
    <n v="33.349799999999846"/>
    <n v="5.3946636669891926E-2"/>
    <d v="2023-07-03T00:00:00"/>
    <s v="Q1-2025"/>
    <s v="Europe → Germany → Berlin"/>
    <s v="Low"/>
    <x v="23"/>
    <d v="2023-01-01T00:00:00"/>
    <n v="26"/>
    <n v="0"/>
    <n v="0"/>
    <m/>
    <m/>
    <n v="6"/>
    <n v="134.51549999999997"/>
    <n v="0.122"/>
    <n v="741.83975999999996"/>
    <n v="807.09299999999985"/>
    <n v="-65.253239999999892"/>
  </r>
  <r>
    <x v="252"/>
    <x v="223"/>
    <d v="2025-04-02T00:00:00"/>
    <n v="10"/>
    <x v="2"/>
    <x v="4"/>
    <s v="Berlin"/>
    <s v="Enterprise"/>
    <x v="1"/>
    <x v="6"/>
    <x v="3"/>
    <x v="252"/>
    <n v="663.61"/>
    <n v="1002.11"/>
    <n v="1002.11"/>
    <n v="4.5999999999999999E-2"/>
    <n v="17"/>
    <n v="16252.219979999998"/>
    <n v="11281.37"/>
    <n v="4970.8499799999972"/>
    <n v="0.30585667595670812"/>
    <d v="2023-06-22T00:00:00"/>
    <s v="Q1-2025"/>
    <s v="Europe → Germany → Berlin"/>
    <s v="Medium"/>
    <x v="23"/>
    <d v="2023-01-01T00:00:00"/>
    <n v="26"/>
    <n v="0"/>
    <n v="0"/>
    <m/>
    <m/>
    <n v="20.399999999999999"/>
    <n v="763.15149999999994"/>
    <n v="4.5999999999999999E-2"/>
    <n v="19502.663975999996"/>
    <n v="15568.290599999998"/>
    <n v="3934.3733759999977"/>
  </r>
  <r>
    <x v="253"/>
    <x v="224"/>
    <d v="2025-04-13T00:00:00"/>
    <n v="9"/>
    <x v="2"/>
    <x v="4"/>
    <s v="Munich"/>
    <s v="Consumer"/>
    <x v="0"/>
    <x v="8"/>
    <x v="2"/>
    <x v="253"/>
    <n v="7.02"/>
    <n v="6.28"/>
    <n v="6.28"/>
    <n v="0.13400000000000001"/>
    <n v="14"/>
    <n v="76.138720000000006"/>
    <n v="98.28"/>
    <n v="-22.141279999999995"/>
    <n v="-0.29080184169106066"/>
    <d v="2023-07-01T00:00:00"/>
    <s v="Q2-2025"/>
    <s v="Europe → Germany → Munich"/>
    <s v="Low"/>
    <x v="24"/>
    <d v="2023-01-01T00:00:00"/>
    <n v="27"/>
    <n v="0"/>
    <n v="0"/>
    <m/>
    <m/>
    <n v="16.8"/>
    <n v="8.0729999999999986"/>
    <n v="0.13400000000000001"/>
    <n v="91.366464000000008"/>
    <n v="135.62639999999999"/>
    <n v="-44.259935999999982"/>
  </r>
  <r>
    <x v="254"/>
    <x v="181"/>
    <d v="2025-05-02T00:00:00"/>
    <n v="10"/>
    <x v="2"/>
    <x v="4"/>
    <s v="Berlin"/>
    <s v="Corporate"/>
    <x v="0"/>
    <x v="5"/>
    <x v="0"/>
    <x v="254"/>
    <n v="20.149999999999999"/>
    <n v="39.74"/>
    <n v="39.74"/>
    <n v="0.151"/>
    <n v="18"/>
    <n v="607.30668000000003"/>
    <n v="362.7"/>
    <n v="244.60668000000004"/>
    <n v="0.4027729120318585"/>
    <d v="2023-05-27T00:00:00"/>
    <s v="Q2-2025"/>
    <s v="Europe → Germany → Berlin"/>
    <s v="Low"/>
    <x v="24"/>
    <d v="2023-01-01T00:00:00"/>
    <n v="27"/>
    <n v="0"/>
    <n v="0"/>
    <m/>
    <m/>
    <n v="21.599999999999998"/>
    <n v="23.172499999999996"/>
    <n v="0.151"/>
    <n v="728.76801599999999"/>
    <n v="500.52599999999984"/>
    <n v="228.24201600000015"/>
  </r>
  <r>
    <x v="255"/>
    <x v="225"/>
    <d v="2025-05-19T00:00:00"/>
    <n v="21"/>
    <x v="2"/>
    <x v="4"/>
    <s v="Berlin"/>
    <s v="Corporate"/>
    <x v="3"/>
    <x v="7"/>
    <x v="2"/>
    <x v="255"/>
    <n v="350.76"/>
    <n v="492.18"/>
    <n v="492.18"/>
    <n v="5.2999999999999999E-2"/>
    <n v="11"/>
    <n v="5127.0390600000001"/>
    <n v="3858.3599999999997"/>
    <n v="1268.6790600000004"/>
    <n v="0.24744868239798437"/>
    <d v="2023-06-01T00:00:00"/>
    <s v="Q2-2025"/>
    <s v="Europe → Germany → Berlin"/>
    <s v="Low"/>
    <x v="24"/>
    <d v="2023-01-01T00:00:00"/>
    <n v="27"/>
    <n v="0"/>
    <n v="0"/>
    <m/>
    <m/>
    <n v="13.2"/>
    <n v="403.37399999999997"/>
    <n v="5.2999999999999999E-2"/>
    <n v="6152.4468719999995"/>
    <n v="5324.5367999999989"/>
    <n v="827.91007200000058"/>
  </r>
  <r>
    <x v="256"/>
    <x v="226"/>
    <d v="2025-06-20T00:00:00"/>
    <n v="22"/>
    <x v="2"/>
    <x v="4"/>
    <s v="Berlin"/>
    <s v="Corporate"/>
    <x v="2"/>
    <x v="4"/>
    <x v="3"/>
    <x v="256"/>
    <n v="483.47"/>
    <n v="1135.43"/>
    <n v="1135.43"/>
    <n v="0.14599999999999999"/>
    <n v="11"/>
    <n v="10666.229420000001"/>
    <n v="5318.17"/>
    <n v="5348.0594200000014"/>
    <n v="0.50140112399719983"/>
    <d v="2023-05-02T00:00:00"/>
    <s v="Q2-2025"/>
    <s v="Europe → Germany → Berlin"/>
    <s v="Medium"/>
    <x v="25"/>
    <d v="2023-01-01T00:00:00"/>
    <n v="28"/>
    <n v="0"/>
    <n v="0"/>
    <m/>
    <m/>
    <n v="13.2"/>
    <n v="555.9905"/>
    <n v="0.14599999999999999"/>
    <n v="12799.475304"/>
    <n v="7339.0745999999999"/>
    <n v="5460.4007039999997"/>
  </r>
  <r>
    <x v="257"/>
    <x v="184"/>
    <d v="2025-06-27T00:00:00"/>
    <n v="26"/>
    <x v="2"/>
    <x v="4"/>
    <s v="Munich"/>
    <s v="Consumer"/>
    <x v="3"/>
    <x v="6"/>
    <x v="6"/>
    <x v="257"/>
    <n v="1362.31"/>
    <n v="3294.57"/>
    <n v="3294.57"/>
    <n v="0.113"/>
    <n v="7"/>
    <n v="20455.985130000001"/>
    <n v="9536.17"/>
    <n v="10919.815130000001"/>
    <n v="0.5338200561157721"/>
    <d v="2023-05-10T00:00:00"/>
    <s v="Q2-2025"/>
    <s v="Europe → Germany → Munich"/>
    <s v="High"/>
    <x v="31"/>
    <d v="2023-01-01T00:00:00"/>
    <n v="29"/>
    <n v="0"/>
    <n v="0"/>
    <m/>
    <m/>
    <n v="8.4"/>
    <n v="1566.6564999999998"/>
    <n v="0.113"/>
    <n v="24547.182156000003"/>
    <n v="13159.914599999998"/>
    <n v="11387.267556000004"/>
  </r>
  <r>
    <x v="258"/>
    <x v="184"/>
    <d v="2025-06-05T00:00:00"/>
    <n v="4"/>
    <x v="2"/>
    <x v="4"/>
    <s v="Munich"/>
    <s v="Enterprise"/>
    <x v="2"/>
    <x v="3"/>
    <x v="1"/>
    <x v="258"/>
    <n v="1171.42"/>
    <n v="2187.8000000000002"/>
    <n v="2187.8000000000002"/>
    <n v="0.23"/>
    <n v="15"/>
    <n v="25269.09"/>
    <n v="17571.300000000003"/>
    <n v="7697.7899999999972"/>
    <n v="0.30463265594447592"/>
    <d v="2023-04-22T00:00:00"/>
    <s v="Q2-2025"/>
    <s v="Europe → Germany → Munich"/>
    <s v="High"/>
    <x v="31"/>
    <d v="2023-01-01T00:00:00"/>
    <n v="29"/>
    <n v="1"/>
    <n v="1"/>
    <m/>
    <m/>
    <n v="18"/>
    <n v="1347.133"/>
    <n v="0.23"/>
    <n v="30322.908000000003"/>
    <n v="24248.394"/>
    <n v="6074.5140000000029"/>
  </r>
  <r>
    <x v="259"/>
    <x v="94"/>
    <d v="2025-07-14T00:00:00"/>
    <n v="20"/>
    <x v="2"/>
    <x v="4"/>
    <s v="Berlin"/>
    <s v="Corporate"/>
    <x v="2"/>
    <x v="13"/>
    <x v="5"/>
    <x v="259"/>
    <n v="385.08"/>
    <n v="893.19"/>
    <n v="893.19"/>
    <n v="0.151"/>
    <n v="8"/>
    <n v="6066.54648"/>
    <n v="3080.64"/>
    <n v="2985.9064800000001"/>
    <n v="0.49219213762621666"/>
    <d v="2023-04-22T00:00:00"/>
    <s v="Q2-2025"/>
    <s v="Europe → Germany → Berlin"/>
    <s v="Medium"/>
    <x v="31"/>
    <d v="2023-01-01T00:00:00"/>
    <n v="29"/>
    <n v="0"/>
    <n v="0"/>
    <m/>
    <m/>
    <n v="9.6"/>
    <n v="442.84199999999993"/>
    <n v="0.151"/>
    <n v="7279.8557759999994"/>
    <n v="4251.2831999999989"/>
    <n v="3028.5725760000005"/>
  </r>
  <r>
    <x v="260"/>
    <x v="141"/>
    <d v="2025-07-05T00:00:00"/>
    <n v="8"/>
    <x v="2"/>
    <x v="4"/>
    <s v="Munich"/>
    <s v="Small Business"/>
    <x v="2"/>
    <x v="2"/>
    <x v="0"/>
    <x v="260"/>
    <n v="314.93"/>
    <n v="687.95"/>
    <n v="687.95"/>
    <n v="0.20499999999999999"/>
    <n v="8"/>
    <n v="4375.3620000000001"/>
    <n v="2519.44"/>
    <n v="1855.922"/>
    <n v="0.424175645352316"/>
    <d v="2023-04-05T00:00:00"/>
    <s v="Q2-2025"/>
    <s v="Europe → Germany → Munich"/>
    <s v="Low"/>
    <x v="31"/>
    <d v="2023-01-01T00:00:00"/>
    <n v="29"/>
    <n v="0"/>
    <n v="1"/>
    <m/>
    <m/>
    <n v="9.6"/>
    <n v="362.16949999999997"/>
    <n v="0.20499999999999999"/>
    <n v="5250.434400000001"/>
    <n v="3476.8271999999997"/>
    <n v="1773.6072000000013"/>
  </r>
  <r>
    <x v="261"/>
    <x v="145"/>
    <d v="2025-09-14T00:00:00"/>
    <n v="24"/>
    <x v="2"/>
    <x v="4"/>
    <s v="Berlin"/>
    <s v="Non-Profit"/>
    <x v="1"/>
    <x v="4"/>
    <x v="0"/>
    <x v="261"/>
    <n v="1397.67"/>
    <n v="3131.37"/>
    <n v="3131.37"/>
    <n v="0.10299999999999999"/>
    <n v="20"/>
    <n v="56176.777799999996"/>
    <n v="27953.4"/>
    <n v="28223.377799999995"/>
    <n v="0.50240293062874808"/>
    <d v="2023-02-26T00:00:00"/>
    <s v="Q3-2025"/>
    <s v="Europe → Germany → Berlin"/>
    <s v="High"/>
    <x v="27"/>
    <d v="2023-01-01T00:00:00"/>
    <n v="31"/>
    <n v="0"/>
    <n v="0"/>
    <m/>
    <m/>
    <n v="24"/>
    <n v="1607.3205"/>
    <n v="0.10299999999999999"/>
    <n v="67412.133360000007"/>
    <n v="38575.692000000003"/>
    <n v="28836.441360000004"/>
  </r>
  <r>
    <x v="262"/>
    <x v="0"/>
    <d v="2023-02-28T00:00:00"/>
    <n v="30"/>
    <x v="1"/>
    <x v="5"/>
    <s v="Bengaluru"/>
    <s v="Non-Profit"/>
    <x v="4"/>
    <x v="7"/>
    <x v="5"/>
    <x v="262"/>
    <n v="1262.0999999999999"/>
    <n v="1395.53"/>
    <n v="1395.53"/>
    <n v="0.23300000000000001"/>
    <n v="25"/>
    <n v="26759.28775"/>
    <n v="31552.499999999996"/>
    <n v="-4793.2122499999969"/>
    <n v="-0.17912331205452198"/>
    <d v="2025-09-10T00:00:00"/>
    <s v="Q1-2023"/>
    <s v="Asia → India → Bengaluru"/>
    <s v="Medium"/>
    <x v="0"/>
    <d v="2023-01-01T00:00:00"/>
    <n v="0"/>
    <n v="0"/>
    <n v="1"/>
    <m/>
    <m/>
    <n v="30"/>
    <n v="1451.4149999999997"/>
    <n v="0.23300000000000001"/>
    <n v="32111.1453"/>
    <n v="43542.44999999999"/>
    <n v="-11431.30469999999"/>
  </r>
  <r>
    <x v="263"/>
    <x v="227"/>
    <d v="2023-03-04T00:00:00"/>
    <n v="12"/>
    <x v="1"/>
    <x v="5"/>
    <s v="Delhi"/>
    <s v="Consumer"/>
    <x v="3"/>
    <x v="3"/>
    <x v="0"/>
    <x v="263"/>
    <n v="299.75"/>
    <n v="523.01"/>
    <n v="523.01"/>
    <n v="0.157"/>
    <n v="50"/>
    <n v="22044.871499999997"/>
    <n v="14987.5"/>
    <n v="7057.3714999999975"/>
    <n v="0.32013665854210122"/>
    <d v="2025-08-10T00:00:00"/>
    <s v="Q1-2023"/>
    <s v="Asia → India → Delhi"/>
    <s v="Low"/>
    <x v="1"/>
    <d v="2023-01-01T00:00:00"/>
    <n v="1"/>
    <n v="0"/>
    <n v="0"/>
    <m/>
    <m/>
    <n v="60"/>
    <n v="344.71249999999998"/>
    <n v="0.157"/>
    <n v="26453.845799999999"/>
    <n v="20682.75"/>
    <n v="5771.0957999999991"/>
  </r>
  <r>
    <x v="264"/>
    <x v="228"/>
    <d v="2023-04-22T00:00:00"/>
    <n v="26"/>
    <x v="1"/>
    <x v="5"/>
    <s v="Delhi"/>
    <s v="Non-Profit"/>
    <x v="0"/>
    <x v="9"/>
    <x v="3"/>
    <x v="264"/>
    <n v="178.53"/>
    <n v="199.37"/>
    <n v="199.37"/>
    <n v="0.10100000000000001"/>
    <n v="37"/>
    <n v="6631.6443100000006"/>
    <n v="6605.61"/>
    <n v="26.034310000000914"/>
    <n v="3.9257699573457538E-3"/>
    <d v="2025-07-03T00:00:00"/>
    <s v="Q1-2023"/>
    <s v="Asia → India → Delhi"/>
    <s v="Low"/>
    <x v="2"/>
    <d v="2023-01-01T00:00:00"/>
    <n v="2"/>
    <n v="0"/>
    <n v="0"/>
    <m/>
    <m/>
    <n v="44.4"/>
    <n v="205.30949999999999"/>
    <n v="0.10100000000000001"/>
    <n v="7957.973172"/>
    <n v="9115.7417999999998"/>
    <n v="-1157.7686279999998"/>
  </r>
  <r>
    <x v="265"/>
    <x v="3"/>
    <d v="2023-04-30T00:00:00"/>
    <n v="11"/>
    <x v="1"/>
    <x v="5"/>
    <s v="Delhi"/>
    <s v="Small Business"/>
    <x v="4"/>
    <x v="4"/>
    <x v="4"/>
    <x v="265"/>
    <n v="826.55"/>
    <n v="1397.05"/>
    <n v="1397.05"/>
    <n v="0.16900000000000001"/>
    <n v="28"/>
    <n v="32506.559399999998"/>
    <n v="23143.399999999998"/>
    <n v="9363.1594000000005"/>
    <n v="0.28803907804527601"/>
    <d v="2025-06-01T00:00:00"/>
    <s v="Q2-2023"/>
    <s v="Asia → India → Delhi"/>
    <s v="Medium"/>
    <x v="3"/>
    <d v="2023-01-01T00:00:00"/>
    <n v="3"/>
    <n v="0"/>
    <n v="0"/>
    <m/>
    <m/>
    <n v="33.6"/>
    <n v="950.53249999999991"/>
    <n v="0.16900000000000001"/>
    <n v="39007.871279999999"/>
    <n v="31937.892"/>
    <n v="7069.9792799999996"/>
  </r>
  <r>
    <x v="266"/>
    <x v="105"/>
    <d v="2023-05-18T00:00:00"/>
    <n v="16"/>
    <x v="1"/>
    <x v="5"/>
    <s v="Delhi"/>
    <s v="Small Business"/>
    <x v="0"/>
    <x v="12"/>
    <x v="0"/>
    <x v="266"/>
    <n v="1463.92"/>
    <n v="2252.2399999999998"/>
    <n v="2252.2399999999998"/>
    <n v="0.11799999999999999"/>
    <n v="44"/>
    <n v="87404.929919999995"/>
    <n v="64412.480000000003"/>
    <n v="22992.449919999992"/>
    <n v="0.26305667130040061"/>
    <d v="2025-05-18T00:00:00"/>
    <s v="Q2-2023"/>
    <s v="Asia → India → Delhi"/>
    <s v="High"/>
    <x v="4"/>
    <d v="2023-01-01T00:00:00"/>
    <n v="4"/>
    <n v="0"/>
    <n v="0"/>
    <m/>
    <m/>
    <n v="52.8"/>
    <n v="1683.508"/>
    <n v="0.11799999999999999"/>
    <n v="104885.91590399998"/>
    <n v="88889.222399999999"/>
    <n v="15996.693503999981"/>
  </r>
  <r>
    <x v="267"/>
    <x v="105"/>
    <d v="2023-05-16T00:00:00"/>
    <n v="14"/>
    <x v="1"/>
    <x v="5"/>
    <s v="Bengaluru"/>
    <s v="Non-Profit"/>
    <x v="4"/>
    <x v="11"/>
    <x v="0"/>
    <x v="267"/>
    <n v="475.37"/>
    <n v="963.73"/>
    <n v="963.73"/>
    <n v="4.1000000000000002E-2"/>
    <n v="22"/>
    <n v="20332.775539999999"/>
    <n v="10458.14"/>
    <n v="9874.6355399999993"/>
    <n v="0.48565113604750881"/>
    <d v="2025-05-27T00:00:00"/>
    <s v="Q2-2023"/>
    <s v="Asia → India → Bengaluru"/>
    <s v="Medium"/>
    <x v="4"/>
    <d v="2023-01-01T00:00:00"/>
    <n v="4"/>
    <n v="0"/>
    <n v="0"/>
    <m/>
    <m/>
    <n v="26.4"/>
    <n v="546.67549999999994"/>
    <n v="4.1000000000000002E-2"/>
    <n v="24399.330647999996"/>
    <n v="14432.233199999997"/>
    <n v="9967.0974479999986"/>
  </r>
  <r>
    <x v="268"/>
    <x v="229"/>
    <d v="2023-05-20T00:00:00"/>
    <n v="13"/>
    <x v="1"/>
    <x v="5"/>
    <s v="Mumbai"/>
    <s v="Enterprise"/>
    <x v="4"/>
    <x v="0"/>
    <x v="5"/>
    <x v="268"/>
    <n v="1443.28"/>
    <n v="2580.5700000000002"/>
    <n v="2580.5700000000002"/>
    <n v="0"/>
    <n v="18"/>
    <n v="46450.26"/>
    <n v="25979.040000000001"/>
    <n v="20471.22"/>
    <n v="0.4407127107577008"/>
    <d v="2025-05-10T00:00:00"/>
    <s v="Q2-2023"/>
    <s v="Asia → India → Mumbai"/>
    <s v="High"/>
    <x v="4"/>
    <d v="2023-01-01T00:00:00"/>
    <n v="4"/>
    <n v="0"/>
    <n v="0"/>
    <m/>
    <m/>
    <n v="21.599999999999998"/>
    <n v="1659.7719999999999"/>
    <n v="0"/>
    <n v="55740.311999999998"/>
    <n v="35851.075199999992"/>
    <n v="19889.236800000006"/>
  </r>
  <r>
    <x v="269"/>
    <x v="230"/>
    <d v="2023-05-27T00:00:00"/>
    <n v="17"/>
    <x v="1"/>
    <x v="5"/>
    <s v="Mumbai"/>
    <s v="Consumer"/>
    <x v="4"/>
    <x v="3"/>
    <x v="6"/>
    <x v="269"/>
    <n v="1286.1600000000001"/>
    <n v="3101.11"/>
    <n v="3101.11"/>
    <n v="0.1"/>
    <n v="23"/>
    <n v="64192.976999999999"/>
    <n v="29581.68"/>
    <n v="34611.296999999999"/>
    <n v="0.53917575749758417"/>
    <d v="2025-04-27T00:00:00"/>
    <s v="Q2-2023"/>
    <s v="Asia → India → Mumbai"/>
    <s v="High"/>
    <x v="4"/>
    <d v="2023-01-01T00:00:00"/>
    <n v="4"/>
    <n v="0"/>
    <n v="0"/>
    <m/>
    <m/>
    <n v="27.599999999999998"/>
    <n v="1479.0840000000001"/>
    <n v="0.1"/>
    <n v="77031.572400000005"/>
    <n v="40822.718399999998"/>
    <n v="36208.854000000007"/>
  </r>
  <r>
    <x v="270"/>
    <x v="230"/>
    <d v="2023-05-14T00:00:00"/>
    <n v="4"/>
    <x v="1"/>
    <x v="5"/>
    <s v="Delhi"/>
    <s v="Non-Profit"/>
    <x v="3"/>
    <x v="5"/>
    <x v="0"/>
    <x v="270"/>
    <n v="622.6"/>
    <n v="833.69"/>
    <n v="833.69"/>
    <n v="0.20899999999999999"/>
    <n v="14"/>
    <n v="9232.2830599999998"/>
    <n v="8716.4"/>
    <n v="515.88306000000011"/>
    <n v="5.5878167582959715E-2"/>
    <d v="2025-05-12T00:00:00"/>
    <s v="Q2-2023"/>
    <s v="Asia → India → Delhi"/>
    <s v="Medium"/>
    <x v="4"/>
    <d v="2023-01-01T00:00:00"/>
    <n v="4"/>
    <n v="1"/>
    <n v="1"/>
    <m/>
    <m/>
    <n v="16.8"/>
    <n v="715.99"/>
    <n v="0.20899999999999999"/>
    <n v="11078.739672000002"/>
    <n v="12028.632000000001"/>
    <n v="-949.89232799999991"/>
  </r>
  <r>
    <x v="271"/>
    <x v="231"/>
    <d v="2023-06-19T00:00:00"/>
    <n v="30"/>
    <x v="1"/>
    <x v="5"/>
    <s v="Delhi"/>
    <s v="Non-Profit"/>
    <x v="0"/>
    <x v="15"/>
    <x v="6"/>
    <x v="271"/>
    <n v="1161.2"/>
    <n v="878.73"/>
    <n v="878.73"/>
    <n v="0.19"/>
    <n v="31"/>
    <n v="22064.910300000003"/>
    <n v="35997.200000000004"/>
    <n v="-13932.289700000001"/>
    <n v="-0.63142290227212028"/>
    <d v="2025-05-17T00:00:00"/>
    <s v="Q2-2023"/>
    <s v="Asia → India → Delhi"/>
    <s v="Medium"/>
    <x v="4"/>
    <d v="2023-01-01T00:00:00"/>
    <n v="4"/>
    <n v="0"/>
    <n v="0"/>
    <m/>
    <m/>
    <n v="37.199999999999996"/>
    <n v="1335.3799999999999"/>
    <n v="0.19"/>
    <n v="26477.892359999998"/>
    <n v="49676.135999999991"/>
    <n v="-23198.243639999993"/>
  </r>
  <r>
    <x v="272"/>
    <x v="200"/>
    <d v="2023-06-01T00:00:00"/>
    <n v="0"/>
    <x v="1"/>
    <x v="5"/>
    <s v="Bengaluru"/>
    <s v="Corporate"/>
    <x v="4"/>
    <x v="6"/>
    <x v="5"/>
    <x v="272"/>
    <n v="669.37"/>
    <n v="997.2"/>
    <n v="997.2"/>
    <n v="8.2000000000000003E-2"/>
    <n v="5"/>
    <n v="4577.1480000000001"/>
    <n v="3346.85"/>
    <n v="1230.2980000000002"/>
    <n v="0.26879139586484863"/>
    <d v="2025-04-24T00:00:00"/>
    <s v="Q2-2023"/>
    <s v="Asia → India → Bengaluru"/>
    <s v="Medium"/>
    <x v="5"/>
    <d v="2023-01-01T00:00:00"/>
    <n v="5"/>
    <n v="1"/>
    <n v="0"/>
    <m/>
    <m/>
    <n v="6"/>
    <n v="769.77549999999997"/>
    <n v="8.2000000000000003E-2"/>
    <n v="5492.5776000000005"/>
    <n v="4618.6530000000002"/>
    <n v="873.92460000000028"/>
  </r>
  <r>
    <x v="273"/>
    <x v="232"/>
    <d v="2023-07-22T00:00:00"/>
    <n v="1"/>
    <x v="1"/>
    <x v="5"/>
    <s v="Delhi"/>
    <s v="Small Business"/>
    <x v="3"/>
    <x v="6"/>
    <x v="3"/>
    <x v="273"/>
    <n v="946.99"/>
    <n v="2132.19"/>
    <n v="2132.19"/>
    <n v="0.16500000000000001"/>
    <n v="7"/>
    <n v="12462.65055"/>
    <n v="6628.93"/>
    <n v="5833.72055"/>
    <n v="0.46809629513362228"/>
    <d v="2025-03-03T00:00:00"/>
    <s v="Q3-2023"/>
    <s v="Asia → India → Delhi"/>
    <s v="High"/>
    <x v="6"/>
    <d v="2023-01-01T00:00:00"/>
    <n v="6"/>
    <n v="1"/>
    <n v="0"/>
    <m/>
    <m/>
    <n v="8.4"/>
    <n v="1089.0384999999999"/>
    <n v="0.16500000000000001"/>
    <n v="14955.18066"/>
    <n v="9147.9233999999997"/>
    <n v="5807.2572600000003"/>
  </r>
  <r>
    <x v="274"/>
    <x v="201"/>
    <d v="2023-09-03T00:00:00"/>
    <n v="4"/>
    <x v="1"/>
    <x v="5"/>
    <s v="Delhi"/>
    <s v="Small Business"/>
    <x v="0"/>
    <x v="11"/>
    <x v="5"/>
    <x v="274"/>
    <n v="1082.25"/>
    <n v="2433.34"/>
    <n v="2433.34"/>
    <n v="0.27"/>
    <n v="4"/>
    <n v="7105.3528000000006"/>
    <n v="4329"/>
    <n v="2776.3528000000006"/>
    <n v="0.3907410199251472"/>
    <d v="2025-01-03T00:00:00"/>
    <s v="Q3-2023"/>
    <s v="Asia → India → Delhi"/>
    <s v="High"/>
    <x v="7"/>
    <d v="2023-01-01T00:00:00"/>
    <n v="7"/>
    <n v="1"/>
    <n v="1"/>
    <m/>
    <m/>
    <n v="4.8"/>
    <n v="1244.5874999999999"/>
    <n v="0.25"/>
    <n v="8760.0240000000013"/>
    <n v="5974.0199999999995"/>
    <n v="2786.0040000000017"/>
  </r>
  <r>
    <x v="275"/>
    <x v="233"/>
    <d v="2023-10-08T00:00:00"/>
    <n v="20"/>
    <x v="1"/>
    <x v="5"/>
    <s v="Delhi"/>
    <s v="Small Business"/>
    <x v="2"/>
    <x v="7"/>
    <x v="1"/>
    <x v="275"/>
    <n v="825.64"/>
    <n v="1108.43"/>
    <n v="1108.43"/>
    <n v="0.114"/>
    <n v="7"/>
    <n v="6874.4828600000001"/>
    <n v="5779.48"/>
    <n v="1095.0028600000005"/>
    <n v="0.15928512475773349"/>
    <d v="2024-12-27T00:00:00"/>
    <s v="Q3-2023"/>
    <s v="Asia → India → Delhi"/>
    <s v="Medium"/>
    <x v="8"/>
    <d v="2023-01-01T00:00:00"/>
    <n v="8"/>
    <n v="0"/>
    <n v="0"/>
    <m/>
    <m/>
    <n v="8.4"/>
    <n v="949.48599999999988"/>
    <n v="0.114"/>
    <n v="8249.3794320000015"/>
    <n v="7975.6823999999997"/>
    <n v="273.69703200000185"/>
  </r>
  <r>
    <x v="276"/>
    <x v="234"/>
    <d v="2023-10-08T00:00:00"/>
    <n v="19"/>
    <x v="1"/>
    <x v="5"/>
    <s v="Bengaluru"/>
    <s v="Education"/>
    <x v="2"/>
    <x v="9"/>
    <x v="3"/>
    <x v="276"/>
    <n v="385.32"/>
    <n v="606.76"/>
    <n v="606.76"/>
    <n v="8.5999999999999993E-2"/>
    <n v="8"/>
    <n v="4436.6291200000005"/>
    <n v="3082.56"/>
    <n v="1354.0691200000006"/>
    <n v="0.30520223425842735"/>
    <d v="2024-12-20T00:00:00"/>
    <s v="Q3-2023"/>
    <s v="Asia → India → Bengaluru"/>
    <s v="Low"/>
    <x v="8"/>
    <d v="2023-01-01T00:00:00"/>
    <n v="8"/>
    <n v="0"/>
    <n v="0"/>
    <m/>
    <m/>
    <n v="9.6"/>
    <n v="443.11799999999994"/>
    <n v="8.5999999999999993E-2"/>
    <n v="5323.9549440000001"/>
    <n v="4253.9327999999996"/>
    <n v="1070.0221440000005"/>
  </r>
  <r>
    <x v="277"/>
    <x v="235"/>
    <d v="2023-09-28T00:00:00"/>
    <n v="8"/>
    <x v="1"/>
    <x v="5"/>
    <s v="Delhi"/>
    <s v="Corporate"/>
    <x v="2"/>
    <x v="7"/>
    <x v="5"/>
    <x v="277"/>
    <n v="1362.06"/>
    <n v="3398.37"/>
    <n v="3398.37"/>
    <n v="0.157"/>
    <n v="11"/>
    <n v="31513.085009999999"/>
    <n v="14982.66"/>
    <n v="16530.425009999999"/>
    <n v="0.52455749745714919"/>
    <d v="2024-12-24T00:00:00"/>
    <s v="Q3-2023"/>
    <s v="Asia → India → Delhi"/>
    <s v="High"/>
    <x v="8"/>
    <d v="2023-01-01T00:00:00"/>
    <n v="8"/>
    <n v="0"/>
    <n v="0"/>
    <m/>
    <m/>
    <n v="13.2"/>
    <n v="1566.3689999999999"/>
    <n v="0.157"/>
    <n v="37815.702011999994"/>
    <n v="20676.070799999998"/>
    <n v="17139.631211999997"/>
  </r>
  <r>
    <x v="278"/>
    <x v="111"/>
    <d v="2023-10-06T00:00:00"/>
    <n v="1"/>
    <x v="1"/>
    <x v="5"/>
    <s v="Bengaluru"/>
    <s v="Non-Profit"/>
    <x v="1"/>
    <x v="14"/>
    <x v="1"/>
    <x v="278"/>
    <n v="1470.26"/>
    <n v="2562.5500000000002"/>
    <n v="2562.5500000000002"/>
    <n v="0.17299999999999999"/>
    <n v="9"/>
    <n v="19073.059649999999"/>
    <n v="13232.34"/>
    <n v="5840.7196499999991"/>
    <n v="0.30622877279157462"/>
    <d v="2024-11-30T00:00:00"/>
    <s v="Q4-2023"/>
    <s v="Asia → India → Bengaluru"/>
    <s v="High"/>
    <x v="9"/>
    <d v="2023-01-01T00:00:00"/>
    <n v="9"/>
    <n v="1"/>
    <n v="0"/>
    <m/>
    <m/>
    <n v="10.799999999999999"/>
    <n v="1690.7989999999998"/>
    <n v="0.17299999999999999"/>
    <n v="22887.671579999998"/>
    <n v="18260.629199999996"/>
    <n v="4627.0423800000026"/>
  </r>
  <r>
    <x v="279"/>
    <x v="236"/>
    <d v="2023-10-23T00:00:00"/>
    <n v="16"/>
    <x v="1"/>
    <x v="5"/>
    <s v="Hyderabad"/>
    <s v="Consumer"/>
    <x v="4"/>
    <x v="2"/>
    <x v="0"/>
    <x v="279"/>
    <n v="906.81"/>
    <n v="1395.56"/>
    <n v="1395.56"/>
    <n v="0.185"/>
    <n v="6"/>
    <n v="6824.2884000000004"/>
    <n v="5440.86"/>
    <n v="1383.4284000000007"/>
    <n v="0.20272126834498974"/>
    <d v="2024-12-27T00:00:00"/>
    <s v="Q4-2023"/>
    <s v="Asia → India → Hyderabad"/>
    <s v="Medium"/>
    <x v="9"/>
    <d v="2023-01-01T00:00:00"/>
    <n v="9"/>
    <n v="0"/>
    <n v="0"/>
    <m/>
    <m/>
    <n v="7.1999999999999993"/>
    <n v="1042.8314999999998"/>
    <n v="0.185"/>
    <n v="8189.1460799999986"/>
    <n v="7508.3867999999975"/>
    <n v="680.75928000000113"/>
  </r>
  <r>
    <x v="280"/>
    <x v="237"/>
    <d v="2023-11-14T00:00:00"/>
    <n v="15"/>
    <x v="1"/>
    <x v="5"/>
    <s v="Bengaluru"/>
    <s v="Corporate"/>
    <x v="1"/>
    <x v="8"/>
    <x v="6"/>
    <x v="280"/>
    <n v="953.46"/>
    <n v="2066.75"/>
    <n v="2066.75"/>
    <n v="0.13800000000000001"/>
    <n v="5"/>
    <n v="8907.6924999999992"/>
    <n v="4767.3"/>
    <n v="4140.392499999999"/>
    <n v="0.46481089238318446"/>
    <d v="2024-12-04T00:00:00"/>
    <s v="Q4-2023"/>
    <s v="Asia → India → Bengaluru"/>
    <s v="High"/>
    <x v="9"/>
    <d v="2023-01-01T00:00:00"/>
    <n v="9"/>
    <n v="0"/>
    <n v="0"/>
    <m/>
    <m/>
    <n v="6"/>
    <n v="1096.479"/>
    <n v="0.13800000000000001"/>
    <n v="10689.231"/>
    <n v="6578.8739999999998"/>
    <n v="4110.357"/>
  </r>
  <r>
    <x v="281"/>
    <x v="155"/>
    <d v="2023-12-12T00:00:00"/>
    <n v="23"/>
    <x v="1"/>
    <x v="5"/>
    <s v="Delhi"/>
    <s v="Small Business"/>
    <x v="2"/>
    <x v="5"/>
    <x v="4"/>
    <x v="281"/>
    <n v="1349.04"/>
    <n v="2636.6"/>
    <n v="2636.6"/>
    <n v="0.114"/>
    <n v="14"/>
    <n v="32704.386400000003"/>
    <n v="18886.559999999998"/>
    <n v="13817.826400000005"/>
    <n v="0.42250682312143928"/>
    <d v="2024-11-11T00:00:00"/>
    <s v="Q4-2023"/>
    <s v="Asia → India → Delhi"/>
    <s v="High"/>
    <x v="10"/>
    <d v="2023-01-01T00:00:00"/>
    <n v="10"/>
    <n v="0"/>
    <n v="0"/>
    <m/>
    <m/>
    <n v="16.8"/>
    <n v="1551.3959999999997"/>
    <n v="0.114"/>
    <n v="39245.263679999996"/>
    <n v="26063.452799999995"/>
    <n v="13181.810880000001"/>
  </r>
  <r>
    <x v="282"/>
    <x v="238"/>
    <d v="2023-12-07T00:00:00"/>
    <n v="9"/>
    <x v="1"/>
    <x v="5"/>
    <s v="Delhi"/>
    <s v="Enterprise"/>
    <x v="0"/>
    <x v="11"/>
    <x v="2"/>
    <x v="282"/>
    <n v="699.33"/>
    <n v="873.75"/>
    <n v="873.75"/>
    <n v="0.23499999999999999"/>
    <n v="10"/>
    <n v="6684.1875"/>
    <n v="6993.3"/>
    <n v="-309.11250000000018"/>
    <n v="-4.6245336475076469E-2"/>
    <d v="2024-11-06T00:00:00"/>
    <s v="Q4-2023"/>
    <s v="Asia → India → Delhi"/>
    <s v="Medium"/>
    <x v="10"/>
    <d v="2023-01-01T00:00:00"/>
    <n v="10"/>
    <n v="0"/>
    <n v="1"/>
    <m/>
    <m/>
    <n v="12"/>
    <n v="804.22950000000003"/>
    <n v="0.23499999999999999"/>
    <n v="8021.0250000000005"/>
    <n v="9650.7540000000008"/>
    <n v="-1629.7290000000003"/>
  </r>
  <r>
    <x v="283"/>
    <x v="239"/>
    <d v="2024-01-14T00:00:00"/>
    <n v="27"/>
    <x v="1"/>
    <x v="5"/>
    <s v="Mumbai"/>
    <s v="Consumer"/>
    <x v="3"/>
    <x v="0"/>
    <x v="4"/>
    <x v="283"/>
    <n v="1408.3"/>
    <n v="2193.13"/>
    <n v="2193.13"/>
    <n v="7.0999999999999994E-2"/>
    <n v="7"/>
    <n v="14261.92439"/>
    <n v="9858.1"/>
    <n v="4403.8243899999998"/>
    <n v="0.30878191957656281"/>
    <d v="2024-10-14T00:00:00"/>
    <s v="Q4-2023"/>
    <s v="Asia → India → Mumbai"/>
    <s v="High"/>
    <x v="11"/>
    <d v="2023-01-01T00:00:00"/>
    <n v="11"/>
    <n v="0"/>
    <n v="0"/>
    <m/>
    <m/>
    <n v="8.4"/>
    <n v="1619.5449999999998"/>
    <n v="7.0999999999999994E-2"/>
    <n v="17114.309268000001"/>
    <n v="13604.178"/>
    <n v="3510.131268000001"/>
  </r>
  <r>
    <x v="284"/>
    <x v="240"/>
    <d v="2024-01-14T00:00:00"/>
    <n v="25"/>
    <x v="1"/>
    <x v="5"/>
    <s v="Mumbai"/>
    <s v="Non-Profit"/>
    <x v="0"/>
    <x v="11"/>
    <x v="0"/>
    <x v="284"/>
    <n v="1085.6099999999999"/>
    <n v="1246.4100000000001"/>
    <n v="1246.4100000000001"/>
    <n v="0.113"/>
    <n v="7"/>
    <n v="7738.9596900000006"/>
    <n v="7599.2699999999995"/>
    <n v="139.68969000000106"/>
    <n v="1.8050189637310417E-2"/>
    <d v="2024-10-19T00:00:00"/>
    <s v="Q4-2023"/>
    <s v="Asia → India → Mumbai"/>
    <s v="Medium"/>
    <x v="11"/>
    <d v="2023-01-01T00:00:00"/>
    <n v="11"/>
    <n v="0"/>
    <n v="0"/>
    <m/>
    <m/>
    <n v="8.4"/>
    <n v="1248.4514999999999"/>
    <n v="0.113"/>
    <n v="9286.7516280000018"/>
    <n v="10486.9926"/>
    <n v="-1200.2409719999978"/>
  </r>
  <r>
    <x v="285"/>
    <x v="241"/>
    <d v="2024-01-16T00:00:00"/>
    <n v="25"/>
    <x v="1"/>
    <x v="5"/>
    <s v="Hyderabad"/>
    <s v="Small Business"/>
    <x v="4"/>
    <x v="4"/>
    <x v="1"/>
    <x v="285"/>
    <n v="1346.81"/>
    <n v="978.09"/>
    <n v="978.09"/>
    <n v="0.159"/>
    <n v="17"/>
    <n v="13983.752729999998"/>
    <n v="22895.77"/>
    <n v="-8912.0172700000021"/>
    <n v="-0.6373122753293996"/>
    <d v="2024-11-04T00:00:00"/>
    <s v="Q4-2023"/>
    <s v="Asia → India → Hyderabad"/>
    <s v="Medium"/>
    <x v="11"/>
    <d v="2023-01-01T00:00:00"/>
    <n v="11"/>
    <n v="0"/>
    <n v="0"/>
    <m/>
    <m/>
    <n v="20.399999999999999"/>
    <n v="1548.8314999999998"/>
    <n v="0.159"/>
    <n v="16780.503275999999"/>
    <n v="31596.162599999992"/>
    <n v="-14815.659323999993"/>
  </r>
  <r>
    <x v="286"/>
    <x v="242"/>
    <d v="2024-01-12T00:00:00"/>
    <n v="4"/>
    <x v="1"/>
    <x v="5"/>
    <s v="Bengaluru"/>
    <s v="Corporate"/>
    <x v="2"/>
    <x v="6"/>
    <x v="3"/>
    <x v="286"/>
    <n v="802.32"/>
    <n v="602.34"/>
    <n v="602.34"/>
    <n v="0.12"/>
    <n v="25"/>
    <n v="13251.48"/>
    <n v="20058"/>
    <n v="-6806.52"/>
    <n v="-0.51364224977134632"/>
    <d v="2024-10-03T00:00:00"/>
    <s v="Q1-2024"/>
    <s v="Asia → India → Bengaluru"/>
    <s v="Low"/>
    <x v="12"/>
    <d v="2023-01-01T00:00:00"/>
    <n v="12"/>
    <n v="1"/>
    <n v="0"/>
    <m/>
    <m/>
    <n v="30"/>
    <n v="922.66800000000001"/>
    <n v="0.12"/>
    <n v="15901.776"/>
    <n v="27680.04"/>
    <n v="-11778.264000000001"/>
  </r>
  <r>
    <x v="287"/>
    <x v="243"/>
    <d v="2024-01-29T00:00:00"/>
    <n v="17"/>
    <x v="1"/>
    <x v="5"/>
    <s v="Hyderabad"/>
    <s v="Small Business"/>
    <x v="2"/>
    <x v="7"/>
    <x v="1"/>
    <x v="287"/>
    <n v="310.02"/>
    <n v="619.51"/>
    <n v="619.51"/>
    <n v="4.2000000000000003E-2"/>
    <n v="4"/>
    <n v="2373.9623200000001"/>
    <n v="1240.08"/>
    <n v="1133.8823200000002"/>
    <n v="0.47763282106347843"/>
    <d v="2024-09-14T00:00:00"/>
    <s v="Q1-2024"/>
    <s v="Asia → India → Hyderabad"/>
    <s v="Low"/>
    <x v="12"/>
    <d v="2023-01-01T00:00:00"/>
    <n v="12"/>
    <n v="0"/>
    <n v="0"/>
    <m/>
    <m/>
    <n v="4.8"/>
    <n v="356.52299999999997"/>
    <n v="4.2000000000000003E-2"/>
    <n v="2848.7547839999997"/>
    <n v="1711.3103999999998"/>
    <n v="1137.4443839999999"/>
  </r>
  <r>
    <x v="288"/>
    <x v="205"/>
    <d v="2024-01-22T00:00:00"/>
    <n v="9"/>
    <x v="1"/>
    <x v="5"/>
    <s v="Mumbai"/>
    <s v="Enterprise"/>
    <x v="0"/>
    <x v="9"/>
    <x v="1"/>
    <x v="288"/>
    <n v="313.60000000000002"/>
    <n v="334.28"/>
    <n v="334.28"/>
    <n v="0.14000000000000001"/>
    <n v="22"/>
    <n v="6324.5775999999996"/>
    <n v="6899.2000000000007"/>
    <n v="-574.62240000000111"/>
    <n v="-9.0855458868905517E-2"/>
    <d v="2024-09-13T00:00:00"/>
    <s v="Q1-2024"/>
    <s v="Asia → India → Mumbai"/>
    <s v="Low"/>
    <x v="12"/>
    <d v="2023-01-01T00:00:00"/>
    <n v="12"/>
    <n v="0"/>
    <n v="0"/>
    <m/>
    <m/>
    <n v="26.4"/>
    <n v="360.64"/>
    <n v="0.14000000000000001"/>
    <n v="7589.4931199999983"/>
    <n v="9520.8959999999988"/>
    <n v="-1931.4028800000006"/>
  </r>
  <r>
    <x v="289"/>
    <x v="244"/>
    <d v="2024-01-25T00:00:00"/>
    <n v="4"/>
    <x v="1"/>
    <x v="5"/>
    <s v="Delhi"/>
    <s v="Consumer"/>
    <x v="2"/>
    <x v="5"/>
    <x v="0"/>
    <x v="289"/>
    <n v="523.70000000000005"/>
    <n v="1109.92"/>
    <n v="1109.92"/>
    <n v="0.03"/>
    <n v="11"/>
    <n v="11842.8464"/>
    <n v="5760.7000000000007"/>
    <n v="6082.1463999999996"/>
    <n v="0.51357133197302973"/>
    <d v="2024-08-28T00:00:00"/>
    <s v="Q1-2024"/>
    <s v="Asia → India → Delhi"/>
    <s v="Medium"/>
    <x v="12"/>
    <d v="2023-01-01T00:00:00"/>
    <n v="12"/>
    <n v="1"/>
    <n v="0"/>
    <m/>
    <m/>
    <n v="13.2"/>
    <n v="602.255"/>
    <n v="0.03"/>
    <n v="14211.415679999998"/>
    <n v="7949.7659999999996"/>
    <n v="6261.6496799999986"/>
  </r>
  <r>
    <x v="290"/>
    <x v="245"/>
    <d v="2024-03-04T00:00:00"/>
    <n v="16"/>
    <x v="1"/>
    <x v="5"/>
    <s v="Delhi"/>
    <s v="Small Business"/>
    <x v="0"/>
    <x v="8"/>
    <x v="2"/>
    <x v="290"/>
    <n v="1231.8"/>
    <n v="2015.99"/>
    <n v="2015.99"/>
    <n v="0.26100000000000001"/>
    <n v="6"/>
    <n v="8938.8996600000009"/>
    <n v="7390.7999999999993"/>
    <n v="1548.0996600000017"/>
    <n v="0.17318682599464391"/>
    <d v="2024-08-12T00:00:00"/>
    <s v="Q1-2024"/>
    <s v="Asia → India → Delhi"/>
    <s v="High"/>
    <x v="13"/>
    <d v="2023-01-01T00:00:00"/>
    <n v="13"/>
    <n v="0"/>
    <n v="1"/>
    <m/>
    <m/>
    <n v="7.1999999999999993"/>
    <n v="1416.57"/>
    <n v="0.25"/>
    <n v="10886.346"/>
    <n v="10199.303999999998"/>
    <n v="687.04200000000128"/>
  </r>
  <r>
    <x v="291"/>
    <x v="246"/>
    <d v="2024-03-26T00:00:00"/>
    <n v="28"/>
    <x v="1"/>
    <x v="5"/>
    <s v="Mumbai"/>
    <s v="Education"/>
    <x v="0"/>
    <x v="2"/>
    <x v="6"/>
    <x v="291"/>
    <n v="1035.19"/>
    <n v="2322.6999999999998"/>
    <n v="2322.6999999999998"/>
    <n v="0.17299999999999999"/>
    <n v="8"/>
    <n v="15366.983199999999"/>
    <n v="8281.52"/>
    <n v="7085.4631999999983"/>
    <n v="0.46108355217047409"/>
    <d v="2024-08-04T00:00:00"/>
    <s v="Q1-2024"/>
    <s v="Asia → India → Mumbai"/>
    <s v="High"/>
    <x v="13"/>
    <d v="2023-01-01T00:00:00"/>
    <n v="13"/>
    <n v="0"/>
    <n v="0"/>
    <m/>
    <m/>
    <n v="9.6"/>
    <n v="1190.4684999999999"/>
    <n v="0.17299999999999999"/>
    <n v="18440.379839999998"/>
    <n v="11428.497599999999"/>
    <n v="7011.882239999999"/>
  </r>
  <r>
    <x v="292"/>
    <x v="247"/>
    <d v="2024-03-26T00:00:00"/>
    <n v="3"/>
    <x v="1"/>
    <x v="5"/>
    <s v="Bengaluru"/>
    <s v="Education"/>
    <x v="2"/>
    <x v="2"/>
    <x v="2"/>
    <x v="292"/>
    <n v="382.21"/>
    <n v="571.89"/>
    <n v="571.89"/>
    <n v="0.14799999999999999"/>
    <n v="26"/>
    <n v="12668.50728"/>
    <n v="9937.4599999999991"/>
    <n v="2731.0472800000007"/>
    <n v="0.2155776698578809"/>
    <d v="2024-06-11T00:00:00"/>
    <s v="Q1-2024"/>
    <s v="Asia → India → Bengaluru"/>
    <s v="Low"/>
    <x v="29"/>
    <d v="2023-01-01T00:00:00"/>
    <n v="14"/>
    <n v="1"/>
    <n v="0"/>
    <m/>
    <m/>
    <n v="31.2"/>
    <n v="439.54149999999993"/>
    <n v="0.14799999999999999"/>
    <n v="15202.208736"/>
    <n v="13713.694799999997"/>
    <n v="1488.513936000003"/>
  </r>
  <r>
    <x v="293"/>
    <x v="213"/>
    <d v="2024-05-16T00:00:00"/>
    <n v="15"/>
    <x v="1"/>
    <x v="5"/>
    <s v="Bengaluru"/>
    <s v="Small Business"/>
    <x v="4"/>
    <x v="11"/>
    <x v="1"/>
    <x v="293"/>
    <n v="901.19"/>
    <n v="2125.44"/>
    <n v="2125.44"/>
    <n v="7.0999999999999994E-2"/>
    <n v="12"/>
    <n v="23694.405119999999"/>
    <n v="10814.28"/>
    <n v="12880.125119999999"/>
    <n v="0.54359352154100415"/>
    <d v="2024-05-30T00:00:00"/>
    <s v="Q2-2024"/>
    <s v="Asia → India → Bengaluru"/>
    <s v="High"/>
    <x v="15"/>
    <d v="2023-01-01T00:00:00"/>
    <n v="16"/>
    <n v="0"/>
    <n v="0"/>
    <m/>
    <m/>
    <n v="14.399999999999999"/>
    <n v="1036.3685"/>
    <n v="7.0999999999999994E-2"/>
    <n v="28433.286144000002"/>
    <n v="14923.706399999999"/>
    <n v="13509.579744000002"/>
  </r>
  <r>
    <x v="294"/>
    <x v="248"/>
    <d v="2024-06-17T00:00:00"/>
    <n v="21"/>
    <x v="1"/>
    <x v="5"/>
    <s v="Delhi"/>
    <s v="Small Business"/>
    <x v="1"/>
    <x v="15"/>
    <x v="5"/>
    <x v="294"/>
    <n v="465.02"/>
    <n v="651.55999999999995"/>
    <n v="651.55999999999995"/>
    <n v="4.2000000000000003E-2"/>
    <n v="19"/>
    <n v="11859.695119999998"/>
    <n v="8835.3799999999992"/>
    <n v="3024.3151199999993"/>
    <n v="0.25500783025187918"/>
    <d v="2024-04-29T00:00:00"/>
    <s v="Q2-2024"/>
    <s v="Asia → India → Delhi"/>
    <s v="Low"/>
    <x v="15"/>
    <d v="2023-01-01T00:00:00"/>
    <n v="16"/>
    <n v="0"/>
    <n v="0"/>
    <m/>
    <m/>
    <n v="22.8"/>
    <n v="534.77299999999991"/>
    <n v="4.2000000000000003E-2"/>
    <n v="14231.634144"/>
    <n v="12192.824399999998"/>
    <n v="2038.809744000002"/>
  </r>
  <r>
    <x v="295"/>
    <x v="249"/>
    <d v="2024-06-24T00:00:00"/>
    <n v="18"/>
    <x v="1"/>
    <x v="5"/>
    <s v="Bengaluru"/>
    <s v="Small Business"/>
    <x v="2"/>
    <x v="15"/>
    <x v="4"/>
    <x v="295"/>
    <n v="1253.25"/>
    <n v="3087.13"/>
    <n v="3087.13"/>
    <n v="7.1999999999999995E-2"/>
    <n v="11"/>
    <n v="31513.423040000001"/>
    <n v="13785.75"/>
    <n v="17727.673040000001"/>
    <n v="0.562543555408064"/>
    <d v="2024-04-12T00:00:00"/>
    <s v="Q2-2024"/>
    <s v="Asia → India → Bengaluru"/>
    <s v="High"/>
    <x v="16"/>
    <d v="2023-01-01T00:00:00"/>
    <n v="17"/>
    <n v="0"/>
    <n v="0"/>
    <m/>
    <m/>
    <n v="13.2"/>
    <n v="1441.2375"/>
    <n v="7.1999999999999995E-2"/>
    <n v="37816.107648000005"/>
    <n v="19024.334999999999"/>
    <n v="18791.772648000006"/>
  </r>
  <r>
    <x v="296"/>
    <x v="250"/>
    <d v="2024-08-23T00:00:00"/>
    <n v="26"/>
    <x v="1"/>
    <x v="5"/>
    <s v="Hyderabad"/>
    <s v="Corporate"/>
    <x v="4"/>
    <x v="9"/>
    <x v="4"/>
    <x v="296"/>
    <n v="1339.24"/>
    <n v="1558.89"/>
    <n v="1558.89"/>
    <n v="0.192"/>
    <n v="24"/>
    <n v="30229.994880000002"/>
    <n v="32141.760000000002"/>
    <n v="-1911.76512"/>
    <n v="-6.3240669659021781E-2"/>
    <d v="2024-03-09T00:00:00"/>
    <s v="Q3-2024"/>
    <s v="Asia → India → Hyderabad"/>
    <s v="Medium"/>
    <x v="17"/>
    <d v="2023-01-01T00:00:00"/>
    <n v="18"/>
    <n v="0"/>
    <n v="0"/>
    <m/>
    <m/>
    <n v="28.799999999999997"/>
    <n v="1540.126"/>
    <n v="0.192"/>
    <n v="36275.993856000001"/>
    <n v="44355.628799999991"/>
    <n v="-8079.6349439999904"/>
  </r>
  <r>
    <x v="297"/>
    <x v="251"/>
    <d v="2024-09-12T00:00:00"/>
    <n v="25"/>
    <x v="1"/>
    <x v="5"/>
    <s v="Mumbai"/>
    <s v="Consumer"/>
    <x v="0"/>
    <x v="5"/>
    <x v="2"/>
    <x v="297"/>
    <n v="1154.03"/>
    <n v="1590.36"/>
    <n v="1590.36"/>
    <n v="0.314"/>
    <n v="18"/>
    <n v="19637.76528"/>
    <n v="20772.54"/>
    <n v="-1134.7747200000013"/>
    <n v="-5.7785328616576745E-2"/>
    <d v="2024-02-29T00:00:00"/>
    <s v="Q3-2024"/>
    <s v="Asia → India → Mumbai"/>
    <s v="Medium"/>
    <x v="18"/>
    <d v="2023-01-01T00:00:00"/>
    <n v="19"/>
    <n v="0"/>
    <n v="1"/>
    <m/>
    <m/>
    <n v="21.599999999999998"/>
    <n v="1327.1344999999999"/>
    <n v="0.25"/>
    <n v="25763.831999999999"/>
    <n v="28666.105199999995"/>
    <n v="-2902.273199999996"/>
  </r>
  <r>
    <x v="298"/>
    <x v="216"/>
    <d v="2024-09-18T00:00:00"/>
    <n v="22"/>
    <x v="1"/>
    <x v="5"/>
    <s v="Delhi"/>
    <s v="Consumer"/>
    <x v="2"/>
    <x v="7"/>
    <x v="1"/>
    <x v="298"/>
    <n v="896.75"/>
    <n v="1651.14"/>
    <n v="1651.14"/>
    <n v="2.5000000000000001E-2"/>
    <n v="15"/>
    <n v="24147.922500000001"/>
    <n v="13451.25"/>
    <n v="10696.672500000001"/>
    <n v="0.44296450346815552"/>
    <d v="2024-02-14T00:00:00"/>
    <s v="Q3-2024"/>
    <s v="Asia → India → Delhi"/>
    <s v="High"/>
    <x v="18"/>
    <d v="2023-01-01T00:00:00"/>
    <n v="19"/>
    <n v="0"/>
    <n v="0"/>
    <m/>
    <m/>
    <n v="18"/>
    <n v="1031.2624999999998"/>
    <n v="2.5000000000000001E-2"/>
    <n v="28977.507000000001"/>
    <n v="18562.724999999999"/>
    <n v="10414.782000000003"/>
  </r>
  <r>
    <x v="299"/>
    <x v="126"/>
    <d v="2024-09-07T00:00:00"/>
    <n v="0"/>
    <x v="1"/>
    <x v="5"/>
    <s v="Mumbai"/>
    <s v="Education"/>
    <x v="3"/>
    <x v="7"/>
    <x v="4"/>
    <x v="299"/>
    <n v="1066.6500000000001"/>
    <n v="2569.77"/>
    <n v="2569.77"/>
    <n v="0.13400000000000001"/>
    <n v="9"/>
    <n v="20028.787380000002"/>
    <n v="9599.85"/>
    <n v="10428.937380000001"/>
    <n v="0.52069739331368348"/>
    <d v="2024-02-01T00:00:00"/>
    <s v="Q3-2024"/>
    <s v="Asia → India → Mumbai"/>
    <s v="High"/>
    <x v="19"/>
    <d v="2023-01-01T00:00:00"/>
    <n v="20"/>
    <n v="1"/>
    <n v="0"/>
    <m/>
    <m/>
    <n v="10.799999999999999"/>
    <n v="1226.6475"/>
    <n v="0.13400000000000001"/>
    <n v="24034.544855999997"/>
    <n v="13247.793"/>
    <n v="10786.751855999997"/>
  </r>
  <r>
    <x v="300"/>
    <x v="252"/>
    <d v="2024-11-06T00:00:00"/>
    <n v="20"/>
    <x v="1"/>
    <x v="5"/>
    <s v="Bengaluru"/>
    <s v="Enterprise"/>
    <x v="3"/>
    <x v="13"/>
    <x v="0"/>
    <x v="300"/>
    <n v="72.94"/>
    <n v="106.3"/>
    <n v="106.3"/>
    <n v="0.29499999999999998"/>
    <n v="8"/>
    <n v="599.53200000000004"/>
    <n v="583.52"/>
    <n v="16.012000000000057"/>
    <n v="2.6707498515508857E-2"/>
    <d v="2024-01-02T00:00:00"/>
    <s v="Q4-2024"/>
    <s v="Asia → India → Bengaluru"/>
    <s v="Low"/>
    <x v="32"/>
    <d v="2023-01-01T00:00:00"/>
    <n v="21"/>
    <n v="0"/>
    <n v="1"/>
    <m/>
    <m/>
    <n v="9.6"/>
    <n v="83.880999999999986"/>
    <n v="0.25"/>
    <n v="765.3599999999999"/>
    <n v="805.2575999999998"/>
    <n v="-39.897599999999898"/>
  </r>
  <r>
    <x v="301"/>
    <x v="37"/>
    <d v="2024-11-18T00:00:00"/>
    <n v="16"/>
    <x v="1"/>
    <x v="5"/>
    <s v="Mumbai"/>
    <s v="Small Business"/>
    <x v="3"/>
    <x v="13"/>
    <x v="0"/>
    <x v="301"/>
    <n v="1233.58"/>
    <n v="1912.51"/>
    <n v="1912.51"/>
    <n v="0.255"/>
    <n v="51"/>
    <n v="72665.817450000002"/>
    <n v="62912.579999999994"/>
    <n v="9753.2374500000078"/>
    <n v="0.134220432553601"/>
    <d v="2023-12-01T00:00:00"/>
    <s v="Q4-2024"/>
    <s v="Asia → India → Mumbai"/>
    <s v="High"/>
    <x v="20"/>
    <d v="2023-01-01T00:00:00"/>
    <n v="22"/>
    <n v="0"/>
    <n v="1"/>
    <m/>
    <m/>
    <n v="61.199999999999996"/>
    <n v="1418.6169999999997"/>
    <n v="0.25"/>
    <n v="87784.209000000003"/>
    <n v="86819.360399999976"/>
    <n v="964.84860000002664"/>
  </r>
  <r>
    <x v="302"/>
    <x v="253"/>
    <d v="2024-11-21T00:00:00"/>
    <n v="9"/>
    <x v="1"/>
    <x v="5"/>
    <s v="Mumbai"/>
    <s v="Corporate"/>
    <x v="2"/>
    <x v="15"/>
    <x v="6"/>
    <x v="302"/>
    <n v="903.41"/>
    <n v="1860.41"/>
    <n v="1860.41"/>
    <n v="0.108"/>
    <n v="5"/>
    <n v="8297.4286000000011"/>
    <n v="4517.05"/>
    <n v="3780.3786000000009"/>
    <n v="0.455608451996803"/>
    <d v="2023-11-20T00:00:00"/>
    <s v="Q4-2024"/>
    <s v="Asia → India → Mumbai"/>
    <s v="High"/>
    <x v="20"/>
    <d v="2023-01-01T00:00:00"/>
    <n v="22"/>
    <n v="0"/>
    <n v="0"/>
    <m/>
    <m/>
    <n v="6"/>
    <n v="1038.9214999999999"/>
    <n v="0.108"/>
    <n v="9956.9143200000017"/>
    <n v="6233.5289999999995"/>
    <n v="3723.3853200000021"/>
  </r>
  <r>
    <x v="303"/>
    <x v="174"/>
    <d v="2024-12-10T00:00:00"/>
    <n v="10"/>
    <x v="1"/>
    <x v="5"/>
    <s v="Hyderabad"/>
    <s v="Small Business"/>
    <x v="4"/>
    <x v="8"/>
    <x v="5"/>
    <x v="303"/>
    <n v="851.49"/>
    <n v="901.79"/>
    <n v="901.79"/>
    <n v="0.245"/>
    <n v="16"/>
    <n v="10893.6232"/>
    <n v="13623.84"/>
    <n v="-2730.2168000000001"/>
    <n v="-0.25062522816100341"/>
    <d v="2023-10-26T00:00:00"/>
    <s v="Q4-2024"/>
    <s v="Asia → India → Hyderabad"/>
    <s v="Medium"/>
    <x v="20"/>
    <d v="2023-01-01T00:00:00"/>
    <n v="22"/>
    <n v="0"/>
    <n v="1"/>
    <m/>
    <m/>
    <n v="19.2"/>
    <n v="979.21349999999995"/>
    <n v="0.245"/>
    <n v="13072.347839999999"/>
    <n v="18800.8992"/>
    <n v="-5728.5513600000013"/>
  </r>
  <r>
    <x v="304"/>
    <x v="254"/>
    <d v="2025-01-14T00:00:00"/>
    <n v="25"/>
    <x v="1"/>
    <x v="5"/>
    <s v="Delhi"/>
    <s v="Small Business"/>
    <x v="4"/>
    <x v="3"/>
    <x v="3"/>
    <x v="304"/>
    <n v="1361.34"/>
    <n v="1737.9"/>
    <n v="1737.9"/>
    <n v="7.6999999999999999E-2"/>
    <n v="14"/>
    <n v="22457.143800000002"/>
    <n v="19058.759999999998"/>
    <n v="3398.3838000000032"/>
    <n v="0.15132751654731813"/>
    <d v="2023-10-09T00:00:00"/>
    <s v="Q4-2024"/>
    <s v="Asia → India → Delhi"/>
    <s v="High"/>
    <x v="30"/>
    <d v="2023-01-01T00:00:00"/>
    <n v="23"/>
    <n v="0"/>
    <n v="0"/>
    <m/>
    <m/>
    <n v="16.8"/>
    <n v="1565.5409999999997"/>
    <n v="7.6999999999999999E-2"/>
    <n v="26948.572560000001"/>
    <n v="26301.088799999998"/>
    <n v="647.4837600000028"/>
  </r>
  <r>
    <x v="305"/>
    <x v="255"/>
    <d v="2025-01-13T00:00:00"/>
    <n v="20"/>
    <x v="1"/>
    <x v="5"/>
    <s v="Bengaluru"/>
    <s v="Corporate"/>
    <x v="0"/>
    <x v="0"/>
    <x v="4"/>
    <x v="305"/>
    <n v="126.15"/>
    <n v="284.23"/>
    <n v="284.23"/>
    <n v="0.113"/>
    <n v="22"/>
    <n v="5546.4642200000008"/>
    <n v="2775.3"/>
    <n v="2771.1642200000006"/>
    <n v="0.49962716968541088"/>
    <d v="2023-09-19T00:00:00"/>
    <s v="Q4-2024"/>
    <s v="Asia → India → Bengaluru"/>
    <s v="Low"/>
    <x v="30"/>
    <d v="2023-01-01T00:00:00"/>
    <n v="23"/>
    <n v="0"/>
    <n v="0"/>
    <m/>
    <m/>
    <n v="26.4"/>
    <n v="145.07249999999999"/>
    <n v="0.113"/>
    <n v="6655.7570640000004"/>
    <n v="3829.9139999999998"/>
    <n v="2825.8430640000006"/>
  </r>
  <r>
    <x v="306"/>
    <x v="88"/>
    <d v="2025-01-15T00:00:00"/>
    <n v="19"/>
    <x v="1"/>
    <x v="5"/>
    <s v="Delhi"/>
    <s v="Non-Profit"/>
    <x v="3"/>
    <x v="2"/>
    <x v="1"/>
    <x v="306"/>
    <n v="495.59"/>
    <n v="631.78"/>
    <n v="631.78"/>
    <n v="8.6999999999999994E-2"/>
    <n v="17"/>
    <n v="9805.8573800000013"/>
    <n v="8425.0299999999988"/>
    <n v="1380.8273800000024"/>
    <n v="0.14081658813601899"/>
    <d v="2023-09-18T00:00:00"/>
    <s v="Q4-2024"/>
    <s v="Asia → India → Delhi"/>
    <s v="Low"/>
    <x v="30"/>
    <d v="2023-01-01T00:00:00"/>
    <n v="23"/>
    <n v="0"/>
    <n v="0"/>
    <m/>
    <m/>
    <n v="20.399999999999999"/>
    <n v="569.92849999999987"/>
    <n v="8.6999999999999994E-2"/>
    <n v="11767.028855999999"/>
    <n v="11626.541399999996"/>
    <n v="140.48745600000257"/>
  </r>
  <r>
    <x v="307"/>
    <x v="88"/>
    <d v="2025-01-14T00:00:00"/>
    <n v="18"/>
    <x v="1"/>
    <x v="5"/>
    <s v="Bengaluru"/>
    <s v="Small Business"/>
    <x v="0"/>
    <x v="6"/>
    <x v="0"/>
    <x v="307"/>
    <n v="586.07000000000005"/>
    <n v="845.97"/>
    <n v="845.97"/>
    <n v="0.14699999999999999"/>
    <n v="4"/>
    <n v="2886.4496399999998"/>
    <n v="2344.2800000000002"/>
    <n v="542.16963999999962"/>
    <n v="0.18783270370862928"/>
    <d v="2023-10-05T00:00:00"/>
    <s v="Q4-2024"/>
    <s v="Asia → India → Bengaluru"/>
    <s v="Medium"/>
    <x v="30"/>
    <d v="2023-01-01T00:00:00"/>
    <n v="23"/>
    <n v="0"/>
    <n v="0"/>
    <m/>
    <m/>
    <n v="4.8"/>
    <n v="673.98050000000001"/>
    <n v="0.14699999999999999"/>
    <n v="3463.739568"/>
    <n v="3235.1064000000001"/>
    <n v="228.63316799999984"/>
  </r>
  <r>
    <x v="308"/>
    <x v="256"/>
    <d v="2025-01-05T00:00:00"/>
    <n v="1"/>
    <x v="1"/>
    <x v="5"/>
    <s v="Delhi"/>
    <s v="Education"/>
    <x v="4"/>
    <x v="14"/>
    <x v="1"/>
    <x v="308"/>
    <n v="1428.33"/>
    <n v="3028.05"/>
    <n v="3028.05"/>
    <n v="0"/>
    <n v="11"/>
    <n v="33308.550000000003"/>
    <n v="15711.63"/>
    <n v="17596.920000000006"/>
    <n v="0.52830039134096207"/>
    <d v="2023-08-23T00:00:00"/>
    <s v="Q1-2025"/>
    <s v="Asia → India → Delhi"/>
    <s v="High"/>
    <x v="21"/>
    <d v="2023-01-01T00:00:00"/>
    <n v="24"/>
    <n v="1"/>
    <n v="0"/>
    <m/>
    <m/>
    <n v="13.2"/>
    <n v="1642.5794999999998"/>
    <n v="0"/>
    <n v="39970.26"/>
    <n v="21682.049399999996"/>
    <n v="18288.210600000006"/>
  </r>
  <r>
    <x v="309"/>
    <x v="257"/>
    <d v="2025-03-09T00:00:00"/>
    <n v="18"/>
    <x v="1"/>
    <x v="5"/>
    <s v="Delhi"/>
    <s v="Small Business"/>
    <x v="2"/>
    <x v="13"/>
    <x v="0"/>
    <x v="309"/>
    <n v="325.87"/>
    <n v="538.79"/>
    <n v="538.79"/>
    <n v="0.17399999999999999"/>
    <n v="16"/>
    <n v="7120.6486400000003"/>
    <n v="5213.92"/>
    <n v="1906.7286400000003"/>
    <n v="0.26777457172778013"/>
    <d v="2023-08-03T00:00:00"/>
    <s v="Q1-2025"/>
    <s v="Asia → India → Delhi"/>
    <s v="Low"/>
    <x v="22"/>
    <d v="2023-01-01T00:00:00"/>
    <n v="25"/>
    <n v="0"/>
    <n v="0"/>
    <m/>
    <m/>
    <n v="19.2"/>
    <n v="374.75049999999999"/>
    <n v="0.17399999999999999"/>
    <n v="8544.7783679999993"/>
    <n v="7195.2095999999992"/>
    <n v="1349.5687680000001"/>
  </r>
  <r>
    <x v="310"/>
    <x v="258"/>
    <d v="2025-03-15T00:00:00"/>
    <n v="7"/>
    <x v="1"/>
    <x v="5"/>
    <s v="Bengaluru"/>
    <s v="Corporate"/>
    <x v="3"/>
    <x v="12"/>
    <x v="6"/>
    <x v="310"/>
    <n v="475.66"/>
    <n v="529.14"/>
    <n v="529.14"/>
    <n v="0.19600000000000001"/>
    <n v="11"/>
    <n v="4679.7141600000004"/>
    <n v="5232.26"/>
    <n v="-552.54583999999977"/>
    <n v="-0.11807256193613323"/>
    <d v="2023-08-02T00:00:00"/>
    <s v="Q1-2025"/>
    <s v="Asia → India → Bengaluru"/>
    <s v="Low"/>
    <x v="23"/>
    <d v="2023-01-01T00:00:00"/>
    <n v="26"/>
    <n v="1"/>
    <n v="0"/>
    <m/>
    <m/>
    <n v="13.2"/>
    <n v="547.00900000000001"/>
    <n v="0.19600000000000001"/>
    <n v="5615.6569919999993"/>
    <n v="7220.5187999999998"/>
    <n v="-1604.8618080000006"/>
  </r>
  <r>
    <x v="311"/>
    <x v="259"/>
    <d v="2025-03-29T00:00:00"/>
    <n v="14"/>
    <x v="1"/>
    <x v="5"/>
    <s v="Mumbai"/>
    <s v="Enterprise"/>
    <x v="2"/>
    <x v="5"/>
    <x v="1"/>
    <x v="311"/>
    <n v="935.83"/>
    <n v="2303.46"/>
    <n v="2303.46"/>
    <n v="0.105"/>
    <n v="9"/>
    <n v="18554.370299999999"/>
    <n v="8422.4700000000012"/>
    <n v="10131.900299999998"/>
    <n v="0.54606543559174292"/>
    <d v="2023-07-14T00:00:00"/>
    <s v="Q1-2025"/>
    <s v="Asia → India → Mumbai"/>
    <s v="High"/>
    <x v="23"/>
    <d v="2023-01-01T00:00:00"/>
    <n v="26"/>
    <n v="0"/>
    <n v="0"/>
    <m/>
    <m/>
    <n v="10.799999999999999"/>
    <n v="1076.2045000000001"/>
    <n v="0.105"/>
    <n v="22265.244360000001"/>
    <n v="11623.008599999999"/>
    <n v="10642.235760000001"/>
  </r>
  <r>
    <x v="312"/>
    <x v="139"/>
    <d v="2025-04-04T00:00:00"/>
    <n v="11"/>
    <x v="1"/>
    <x v="5"/>
    <s v="Mumbai"/>
    <s v="Education"/>
    <x v="0"/>
    <x v="9"/>
    <x v="2"/>
    <x v="312"/>
    <n v="23.83"/>
    <n v="47.29"/>
    <n v="47.29"/>
    <n v="6.4000000000000001E-2"/>
    <n v="19"/>
    <n v="841.00536"/>
    <n v="452.77"/>
    <n v="388.23536000000001"/>
    <n v="0.46163244429262618"/>
    <d v="2023-07-09T00:00:00"/>
    <s v="Q1-2025"/>
    <s v="Asia → India → Mumbai"/>
    <s v="Low"/>
    <x v="23"/>
    <d v="2023-01-01T00:00:00"/>
    <n v="26"/>
    <n v="0"/>
    <n v="0"/>
    <m/>
    <m/>
    <n v="22.8"/>
    <n v="27.404499999999995"/>
    <n v="6.4000000000000001E-2"/>
    <n v="1009.2064319999999"/>
    <n v="624.82259999999997"/>
    <n v="384.38383199999998"/>
  </r>
  <r>
    <x v="313"/>
    <x v="182"/>
    <d v="2025-05-27T00:00:00"/>
    <n v="30"/>
    <x v="1"/>
    <x v="5"/>
    <s v="Delhi"/>
    <s v="Enterprise"/>
    <x v="0"/>
    <x v="15"/>
    <x v="2"/>
    <x v="313"/>
    <n v="481.32"/>
    <n v="1135.99"/>
    <n v="1135.99"/>
    <n v="0.14499999999999999"/>
    <n v="5"/>
    <n v="4856.35725"/>
    <n v="2406.6"/>
    <n v="2449.7572500000001"/>
    <n v="0.50444337677175621"/>
    <d v="2023-06-14T00:00:00"/>
    <s v="Q2-2025"/>
    <s v="Asia → India → Delhi"/>
    <s v="Medium"/>
    <x v="24"/>
    <d v="2023-01-01T00:00:00"/>
    <n v="27"/>
    <n v="0"/>
    <n v="0"/>
    <m/>
    <m/>
    <n v="6"/>
    <n v="553.51799999999992"/>
    <n v="0.14499999999999999"/>
    <n v="5827.6287000000002"/>
    <n v="3321.1079999999993"/>
    <n v="2506.5207000000009"/>
  </r>
  <r>
    <x v="314"/>
    <x v="260"/>
    <d v="2025-05-13T00:00:00"/>
    <n v="6"/>
    <x v="1"/>
    <x v="5"/>
    <s v="Bengaluru"/>
    <s v="Enterprise"/>
    <x v="2"/>
    <x v="9"/>
    <x v="2"/>
    <x v="314"/>
    <n v="935.98"/>
    <n v="2077.69"/>
    <n v="2077.69"/>
    <n v="0.17499999999999999"/>
    <n v="24"/>
    <n v="41138.261999999995"/>
    <n v="22463.52"/>
    <n v="18674.741999999995"/>
    <n v="0.45395067978321491"/>
    <d v="2023-05-17T00:00:00"/>
    <s v="Q2-2025"/>
    <s v="Asia → India → Bengaluru"/>
    <s v="High"/>
    <x v="25"/>
    <d v="2023-01-01T00:00:00"/>
    <n v="28"/>
    <n v="1"/>
    <n v="0"/>
    <m/>
    <m/>
    <n v="28.799999999999997"/>
    <n v="1076.377"/>
    <n v="0.17499999999999999"/>
    <n v="49365.914399999994"/>
    <n v="30999.657599999995"/>
    <n v="18366.256799999999"/>
  </r>
  <r>
    <x v="315"/>
    <x v="92"/>
    <d v="2025-05-26T00:00:00"/>
    <n v="14"/>
    <x v="1"/>
    <x v="5"/>
    <s v="Hyderabad"/>
    <s v="Corporate"/>
    <x v="0"/>
    <x v="2"/>
    <x v="3"/>
    <x v="315"/>
    <n v="320.12"/>
    <n v="594.41999999999996"/>
    <n v="594.41999999999996"/>
    <n v="0.104"/>
    <n v="18"/>
    <n v="9586.8057599999993"/>
    <n v="5762.16"/>
    <n v="3824.6457599999994"/>
    <n v="0.39894891538931104"/>
    <d v="2023-05-07T00:00:00"/>
    <s v="Q2-2025"/>
    <s v="Asia → India → Hyderabad"/>
    <s v="Low"/>
    <x v="25"/>
    <d v="2023-01-01T00:00:00"/>
    <n v="28"/>
    <n v="0"/>
    <n v="0"/>
    <m/>
    <m/>
    <n v="21.599999999999998"/>
    <n v="368.13799999999998"/>
    <n v="0.104"/>
    <n v="11504.166911999999"/>
    <n v="7951.7807999999986"/>
    <n v="3552.3861120000001"/>
  </r>
  <r>
    <x v="316"/>
    <x v="51"/>
    <d v="2025-05-28T00:00:00"/>
    <n v="11"/>
    <x v="1"/>
    <x v="5"/>
    <s v="Bengaluru"/>
    <s v="Corporate"/>
    <x v="3"/>
    <x v="7"/>
    <x v="6"/>
    <x v="316"/>
    <n v="623.4"/>
    <n v="1100.0899999999999"/>
    <n v="1100.0899999999999"/>
    <n v="0.114"/>
    <n v="12"/>
    <n v="11696.156879999999"/>
    <n v="7480.7999999999993"/>
    <n v="4215.3568799999994"/>
    <n v="0.36040529579490388"/>
    <d v="2023-05-02T00:00:00"/>
    <s v="Q2-2025"/>
    <s v="Asia → India → Bengaluru"/>
    <s v="Medium"/>
    <x v="25"/>
    <d v="2023-01-01T00:00:00"/>
    <n v="28"/>
    <n v="0"/>
    <n v="0"/>
    <m/>
    <m/>
    <n v="14.399999999999999"/>
    <n v="716.91"/>
    <n v="0.114"/>
    <n v="14035.388255999997"/>
    <n v="10323.503999999999"/>
    <n v="3711.8842559999975"/>
  </r>
  <r>
    <x v="317"/>
    <x v="261"/>
    <d v="2025-06-14T00:00:00"/>
    <n v="9"/>
    <x v="1"/>
    <x v="5"/>
    <s v="Delhi"/>
    <s v="Non-Profit"/>
    <x v="4"/>
    <x v="4"/>
    <x v="5"/>
    <x v="317"/>
    <n v="618.69000000000005"/>
    <n v="796.15"/>
    <n v="796.15"/>
    <n v="0.09"/>
    <n v="11"/>
    <n v="7969.4615000000003"/>
    <n v="6805.59"/>
    <n v="1163.8715000000002"/>
    <n v="0.14604142325049191"/>
    <d v="2023-04-14T00:00:00"/>
    <s v="Q2-2025"/>
    <s v="Asia → India → Delhi"/>
    <s v="Low"/>
    <x v="31"/>
    <d v="2023-01-01T00:00:00"/>
    <n v="29"/>
    <n v="0"/>
    <n v="0"/>
    <m/>
    <m/>
    <n v="13.2"/>
    <n v="711.49350000000004"/>
    <n v="0.09"/>
    <n v="9563.353799999999"/>
    <n v="9391.7142000000003"/>
    <n v="171.63959999999861"/>
  </r>
  <r>
    <x v="318"/>
    <x v="185"/>
    <d v="2025-06-25T00:00:00"/>
    <n v="16"/>
    <x v="1"/>
    <x v="5"/>
    <s v="Hyderabad"/>
    <s v="Enterprise"/>
    <x v="3"/>
    <x v="3"/>
    <x v="2"/>
    <x v="318"/>
    <n v="527.33000000000004"/>
    <n v="911.72"/>
    <n v="911.72"/>
    <n v="0.14399999999999999"/>
    <n v="25"/>
    <n v="19510.808000000001"/>
    <n v="13183.250000000002"/>
    <n v="6327.5579999999991"/>
    <n v="0.32431040272652978"/>
    <d v="2023-04-21T00:00:00"/>
    <s v="Q2-2025"/>
    <s v="Asia → India → Hyderabad"/>
    <s v="Medium"/>
    <x v="31"/>
    <d v="2023-01-01T00:00:00"/>
    <n v="29"/>
    <n v="0"/>
    <n v="0"/>
    <m/>
    <m/>
    <n v="30"/>
    <n v="606.42949999999996"/>
    <n v="0.14399999999999999"/>
    <n v="23412.9696"/>
    <n v="18192.884999999998"/>
    <n v="5220.084600000002"/>
  </r>
  <r>
    <x v="319"/>
    <x v="262"/>
    <d v="2025-07-05T00:00:00"/>
    <n v="18"/>
    <x v="1"/>
    <x v="5"/>
    <s v="Delhi"/>
    <s v="Consumer"/>
    <x v="0"/>
    <x v="11"/>
    <x v="6"/>
    <x v="319"/>
    <n v="982.93"/>
    <n v="2299.3000000000002"/>
    <n v="2299.3000000000002"/>
    <n v="0.113"/>
    <n v="6"/>
    <n v="12236.874600000001"/>
    <n v="5897.58"/>
    <n v="6339.2946000000011"/>
    <n v="0.51804850562087157"/>
    <d v="2023-04-19T00:00:00"/>
    <s v="Q2-2025"/>
    <s v="Asia → India → Delhi"/>
    <s v="High"/>
    <x v="31"/>
    <d v="2023-01-01T00:00:00"/>
    <n v="29"/>
    <n v="0"/>
    <n v="0"/>
    <m/>
    <m/>
    <n v="7.1999999999999993"/>
    <n v="1130.3694999999998"/>
    <n v="0.113"/>
    <n v="14684.249519999999"/>
    <n v="8138.6603999999979"/>
    <n v="6545.5891200000015"/>
  </r>
  <r>
    <x v="320"/>
    <x v="144"/>
    <d v="2025-08-16T00:00:00"/>
    <n v="15"/>
    <x v="1"/>
    <x v="5"/>
    <s v="Delhi"/>
    <s v="Enterprise"/>
    <x v="2"/>
    <x v="13"/>
    <x v="0"/>
    <x v="320"/>
    <n v="24.44"/>
    <n v="28.69"/>
    <n v="28.69"/>
    <n v="0.14599999999999999"/>
    <n v="6"/>
    <n v="147.00756000000001"/>
    <n v="146.64000000000001"/>
    <n v="0.36755999999999744"/>
    <n v="2.5002795774584476E-3"/>
    <d v="2023-02-28T00:00:00"/>
    <s v="Q3-2025"/>
    <s v="Asia → India → Delhi"/>
    <s v="Low"/>
    <x v="27"/>
    <d v="2023-01-01T00:00:00"/>
    <n v="31"/>
    <n v="0"/>
    <n v="0"/>
    <m/>
    <m/>
    <n v="7.1999999999999993"/>
    <n v="28.105999999999998"/>
    <n v="0.14599999999999999"/>
    <n v="176.40907199999998"/>
    <n v="202.36319999999998"/>
    <n v="-25.954127999999997"/>
  </r>
  <r>
    <x v="321"/>
    <x v="263"/>
    <d v="2025-08-28T00:00:00"/>
    <n v="23"/>
    <x v="1"/>
    <x v="5"/>
    <s v="Mumbai"/>
    <s v="Non-Profit"/>
    <x v="3"/>
    <x v="1"/>
    <x v="6"/>
    <x v="321"/>
    <n v="638.54"/>
    <n v="987.24"/>
    <n v="987.24"/>
    <n v="0"/>
    <n v="11"/>
    <n v="10859.64"/>
    <n v="7023.94"/>
    <n v="3835.7"/>
    <n v="0.35320692030306716"/>
    <d v="2023-02-21T00:00:00"/>
    <s v="Q3-2025"/>
    <s v="Asia → India → Mumbai"/>
    <s v="Medium"/>
    <x v="27"/>
    <d v="2023-01-01T00:00:00"/>
    <n v="31"/>
    <n v="0"/>
    <n v="0"/>
    <m/>
    <m/>
    <n v="13.2"/>
    <n v="734.32099999999991"/>
    <n v="0"/>
    <n v="13031.567999999999"/>
    <n v="9693.0371999999988"/>
    <n v="3338.5308000000005"/>
  </r>
  <r>
    <x v="322"/>
    <x v="58"/>
    <d v="2025-09-25T00:00:00"/>
    <n v="10"/>
    <x v="1"/>
    <x v="5"/>
    <s v="Delhi"/>
    <s v="Consumer"/>
    <x v="4"/>
    <x v="4"/>
    <x v="2"/>
    <x v="322"/>
    <n v="1488.91"/>
    <n v="1483.74"/>
    <n v="1483.74"/>
    <n v="0.16800000000000001"/>
    <n v="24"/>
    <n v="29627.320319999999"/>
    <n v="35733.840000000004"/>
    <n v="-6106.5196800000049"/>
    <n v="-0.20611110333450519"/>
    <d v="2023-01-13T00:00:00"/>
    <s v="Q3-2025"/>
    <s v="Asia → India → Delhi"/>
    <s v="Medium"/>
    <x v="28"/>
    <d v="2023-01-01T00:00:00"/>
    <n v="32"/>
    <n v="0"/>
    <n v="0"/>
    <m/>
    <m/>
    <n v="28.799999999999997"/>
    <n v="1712.2465"/>
    <n v="0.16800000000000001"/>
    <n v="35552.784383999999"/>
    <n v="49312.699199999995"/>
    <n v="-13759.914815999997"/>
  </r>
  <r>
    <x v="323"/>
    <x v="264"/>
    <d v="2023-03-20T00:00:00"/>
    <n v="17"/>
    <x v="1"/>
    <x v="6"/>
    <s v="Nagoya"/>
    <s v="Small Business"/>
    <x v="1"/>
    <x v="0"/>
    <x v="4"/>
    <x v="323"/>
    <n v="1171.17"/>
    <n v="2030.64"/>
    <n v="2030.64"/>
    <n v="0.157"/>
    <n v="11"/>
    <n v="18830.12472"/>
    <n v="12882.87"/>
    <n v="5947.254719999999"/>
    <n v="0.31583724528830415"/>
    <d v="2025-08-01T00:00:00"/>
    <s v="Q1-2023"/>
    <s v="Asia → Japan → Nagoya"/>
    <s v="High"/>
    <x v="2"/>
    <d v="2023-03-01T00:00:00"/>
    <n v="0"/>
    <n v="0"/>
    <n v="0"/>
    <m/>
    <m/>
    <n v="13.2"/>
    <n v="1346.8454999999999"/>
    <n v="0.157"/>
    <n v="22596.149664"/>
    <n v="17778.360599999996"/>
    <n v="4817.7890640000041"/>
  </r>
  <r>
    <x v="324"/>
    <x v="265"/>
    <d v="2023-03-26T00:00:00"/>
    <n v="1"/>
    <x v="1"/>
    <x v="6"/>
    <s v="Osaka"/>
    <s v="Small Business"/>
    <x v="3"/>
    <x v="14"/>
    <x v="0"/>
    <x v="324"/>
    <n v="135.12"/>
    <n v="301.7"/>
    <n v="301.7"/>
    <n v="0.14000000000000001"/>
    <n v="47"/>
    <n v="12194.714"/>
    <n v="6350.64"/>
    <n v="5844.0739999999996"/>
    <n v="0.47923009920527859"/>
    <d v="2025-07-17T00:00:00"/>
    <s v="Q1-2023"/>
    <s v="Asia → Japan → Osaka"/>
    <s v="Low"/>
    <x v="2"/>
    <d v="2023-03-01T00:00:00"/>
    <n v="0"/>
    <n v="1"/>
    <n v="0"/>
    <m/>
    <m/>
    <n v="56.4"/>
    <n v="155.38800000000001"/>
    <n v="0.14000000000000001"/>
    <n v="14633.656799999997"/>
    <n v="8763.8832000000002"/>
    <n v="5869.7735999999968"/>
  </r>
  <r>
    <x v="325"/>
    <x v="3"/>
    <d v="2023-04-21T00:00:00"/>
    <n v="2"/>
    <x v="1"/>
    <x v="6"/>
    <s v="Nagoya"/>
    <s v="Small Business"/>
    <x v="2"/>
    <x v="3"/>
    <x v="1"/>
    <x v="325"/>
    <n v="607.04"/>
    <n v="1229.3399999999999"/>
    <n v="1229.3399999999999"/>
    <n v="0.14699999999999999"/>
    <n v="7"/>
    <n v="7340.3891399999993"/>
    <n v="4249.28"/>
    <n v="3091.1091399999996"/>
    <n v="0.42110970972310058"/>
    <d v="2025-06-09T00:00:00"/>
    <s v="Q2-2023"/>
    <s v="Asia → Japan → Nagoya"/>
    <s v="Medium"/>
    <x v="3"/>
    <d v="2023-03-01T00:00:00"/>
    <n v="1"/>
    <n v="1"/>
    <n v="0"/>
    <m/>
    <m/>
    <n v="8.4"/>
    <n v="698.09599999999989"/>
    <n v="0.14699999999999999"/>
    <n v="8808.4669680000006"/>
    <n v="5864.0063999999993"/>
    <n v="2944.4605680000013"/>
  </r>
  <r>
    <x v="326"/>
    <x v="266"/>
    <d v="2023-05-14T00:00:00"/>
    <n v="22"/>
    <x v="1"/>
    <x v="6"/>
    <s v="Nagoya"/>
    <s v="Enterprise"/>
    <x v="4"/>
    <x v="4"/>
    <x v="5"/>
    <x v="326"/>
    <n v="1209.22"/>
    <n v="1404.33"/>
    <n v="1404.33"/>
    <n v="0.10299999999999999"/>
    <n v="11"/>
    <n v="13856.52411"/>
    <n v="13301.42"/>
    <n v="555.10411000000022"/>
    <n v="4.0060848275751328E-2"/>
    <d v="2025-05-29T00:00:00"/>
    <s v="Q2-2023"/>
    <s v="Asia → Japan → Nagoya"/>
    <s v="Medium"/>
    <x v="3"/>
    <d v="2023-03-01T00:00:00"/>
    <n v="1"/>
    <n v="0"/>
    <n v="0"/>
    <m/>
    <m/>
    <n v="13.2"/>
    <n v="1390.6029999999998"/>
    <n v="0.10299999999999999"/>
    <n v="16627.828932"/>
    <n v="18355.959599999998"/>
    <n v="-1728.130667999998"/>
  </r>
  <r>
    <x v="327"/>
    <x v="267"/>
    <d v="2023-05-14T00:00:00"/>
    <n v="8"/>
    <x v="1"/>
    <x v="6"/>
    <s v="Osaka"/>
    <s v="Enterprise"/>
    <x v="0"/>
    <x v="7"/>
    <x v="2"/>
    <x v="327"/>
    <n v="291.18"/>
    <n v="479.54"/>
    <n v="479.54"/>
    <n v="0.14099999999999999"/>
    <n v="22"/>
    <n v="9062.34692"/>
    <n v="6405.96"/>
    <n v="2656.3869199999999"/>
    <n v="0.29312350801066001"/>
    <d v="2025-05-17T00:00:00"/>
    <s v="Q2-2023"/>
    <s v="Asia → Japan → Osaka"/>
    <s v="Low"/>
    <x v="4"/>
    <d v="2023-03-01T00:00:00"/>
    <n v="2"/>
    <n v="0"/>
    <n v="0"/>
    <m/>
    <m/>
    <n v="26.4"/>
    <n v="334.85699999999997"/>
    <n v="0.14099999999999999"/>
    <n v="10874.816304"/>
    <n v="8840.2247999999981"/>
    <n v="2034.5915040000018"/>
  </r>
  <r>
    <x v="328"/>
    <x v="268"/>
    <d v="2023-07-21T00:00:00"/>
    <n v="27"/>
    <x v="1"/>
    <x v="6"/>
    <s v="Nagoya"/>
    <s v="Consumer"/>
    <x v="0"/>
    <x v="9"/>
    <x v="2"/>
    <x v="328"/>
    <n v="554.76"/>
    <n v="728.69"/>
    <n v="728.69"/>
    <n v="0.22"/>
    <n v="7"/>
    <n v="3978.6474000000003"/>
    <n v="3883.3199999999997"/>
    <n v="95.32740000000058"/>
    <n v="2.395975074343119E-2"/>
    <d v="2025-04-07T00:00:00"/>
    <s v="Q2-2023"/>
    <s v="Asia → Japan → Nagoya"/>
    <s v="Low"/>
    <x v="5"/>
    <d v="2023-03-01T00:00:00"/>
    <n v="3"/>
    <n v="0"/>
    <n v="1"/>
    <m/>
    <m/>
    <n v="8.4"/>
    <n v="637.97399999999993"/>
    <n v="0.22"/>
    <n v="4774.3768800000007"/>
    <n v="5358.9816000000001"/>
    <n v="-584.60471999999936"/>
  </r>
  <r>
    <x v="329"/>
    <x v="269"/>
    <d v="2023-07-02T00:00:00"/>
    <n v="3"/>
    <x v="1"/>
    <x v="6"/>
    <s v="Nagoya"/>
    <s v="Education"/>
    <x v="0"/>
    <x v="8"/>
    <x v="0"/>
    <x v="329"/>
    <n v="55.65"/>
    <n v="83.57"/>
    <n v="83.57"/>
    <n v="6.6000000000000003E-2"/>
    <n v="8"/>
    <n v="624.43503999999996"/>
    <n v="445.2"/>
    <n v="179.23503999999997"/>
    <n v="0.2870355257449998"/>
    <d v="2025-04-04T00:00:00"/>
    <s v="Q2-2023"/>
    <s v="Asia → Japan → Nagoya"/>
    <s v="Low"/>
    <x v="5"/>
    <d v="2023-03-01T00:00:00"/>
    <n v="3"/>
    <n v="1"/>
    <n v="0"/>
    <m/>
    <m/>
    <n v="9.6"/>
    <n v="63.997499999999995"/>
    <n v="6.6000000000000003E-2"/>
    <n v="749.32204799999988"/>
    <n v="614.37599999999998"/>
    <n v="134.94604799999991"/>
  </r>
  <r>
    <x v="330"/>
    <x v="270"/>
    <d v="2023-07-19T00:00:00"/>
    <n v="10"/>
    <x v="1"/>
    <x v="6"/>
    <s v="Tokyo"/>
    <s v="Enterprise"/>
    <x v="3"/>
    <x v="1"/>
    <x v="1"/>
    <x v="330"/>
    <n v="141.26"/>
    <n v="206.88"/>
    <n v="206.88"/>
    <n v="0.107"/>
    <n v="9"/>
    <n v="1662.6945600000001"/>
    <n v="1271.3399999999999"/>
    <n v="391.35456000000022"/>
    <n v="0.23537369365062469"/>
    <d v="2025-03-06T00:00:00"/>
    <s v="Q3-2023"/>
    <s v="Asia → Japan → Tokyo"/>
    <s v="Low"/>
    <x v="6"/>
    <d v="2023-03-01T00:00:00"/>
    <n v="4"/>
    <n v="0"/>
    <n v="0"/>
    <m/>
    <m/>
    <n v="10.799999999999999"/>
    <n v="162.44899999999998"/>
    <n v="0.107"/>
    <n v="1995.2334719999997"/>
    <n v="1754.4491999999996"/>
    <n v="240.7842720000001"/>
  </r>
  <r>
    <x v="331"/>
    <x v="153"/>
    <d v="2023-08-07T00:00:00"/>
    <n v="8"/>
    <x v="1"/>
    <x v="6"/>
    <s v="Nagoya"/>
    <s v="Education"/>
    <x v="0"/>
    <x v="4"/>
    <x v="4"/>
    <x v="331"/>
    <n v="1352.44"/>
    <n v="2698.01"/>
    <n v="2698.01"/>
    <n v="0.13100000000000001"/>
    <n v="13"/>
    <n v="30479.418970000002"/>
    <n v="17581.72"/>
    <n v="12897.698970000001"/>
    <n v="0.42316091992090887"/>
    <d v="2025-02-19T00:00:00"/>
    <s v="Q3-2023"/>
    <s v="Asia → Japan → Nagoya"/>
    <s v="High"/>
    <x v="6"/>
    <d v="2023-03-01T00:00:00"/>
    <n v="4"/>
    <n v="0"/>
    <n v="0"/>
    <m/>
    <m/>
    <n v="15.6"/>
    <n v="1555.306"/>
    <n v="0.13100000000000001"/>
    <n v="36575.302764000007"/>
    <n v="24262.7736"/>
    <n v="12312.529164000007"/>
  </r>
  <r>
    <x v="332"/>
    <x v="271"/>
    <d v="2023-10-10T00:00:00"/>
    <n v="19"/>
    <x v="1"/>
    <x v="6"/>
    <s v="Tokyo"/>
    <s v="Education"/>
    <x v="1"/>
    <x v="0"/>
    <x v="1"/>
    <x v="332"/>
    <n v="845.63"/>
    <n v="2062.12"/>
    <n v="2062.12"/>
    <n v="0.13400000000000001"/>
    <n v="5"/>
    <n v="8928.9795999999988"/>
    <n v="4228.1499999999996"/>
    <n v="4700.8295999999991"/>
    <n v="0.52646884757133949"/>
    <d v="2024-12-29T00:00:00"/>
    <s v="Q3-2023"/>
    <s v="Asia → Japan → Tokyo"/>
    <s v="High"/>
    <x v="8"/>
    <d v="2023-03-01T00:00:00"/>
    <n v="6"/>
    <n v="0"/>
    <n v="0"/>
    <m/>
    <m/>
    <n v="6"/>
    <n v="972.47449999999992"/>
    <n v="0.13400000000000001"/>
    <n v="10714.775519999999"/>
    <n v="5834.8469999999998"/>
    <n v="4879.9285199999995"/>
  </r>
  <r>
    <x v="333"/>
    <x v="110"/>
    <d v="2023-10-30T00:00:00"/>
    <n v="30"/>
    <x v="1"/>
    <x v="6"/>
    <s v="Tokyo"/>
    <s v="Enterprise"/>
    <x v="1"/>
    <x v="0"/>
    <x v="3"/>
    <x v="333"/>
    <n v="649.13"/>
    <n v="975.43"/>
    <n v="975.43"/>
    <n v="0.157"/>
    <n v="27"/>
    <n v="22201.762229999997"/>
    <n v="17526.509999999998"/>
    <n v="4675.2522299999982"/>
    <n v="0.21058023149543473"/>
    <d v="2024-12-28T00:00:00"/>
    <s v="Q3-2023"/>
    <s v="Asia → Japan → Tokyo"/>
    <s v="Medium"/>
    <x v="8"/>
    <d v="2023-03-01T00:00:00"/>
    <n v="6"/>
    <n v="0"/>
    <n v="0"/>
    <m/>
    <m/>
    <n v="32.4"/>
    <n v="746.4994999999999"/>
    <n v="0.157"/>
    <n v="26642.114675999997"/>
    <n v="24186.583799999997"/>
    <n v="2455.5308760000007"/>
  </r>
  <r>
    <x v="334"/>
    <x v="272"/>
    <d v="2023-10-29T00:00:00"/>
    <n v="17"/>
    <x v="1"/>
    <x v="6"/>
    <s v="Nagoya"/>
    <s v="Non-Profit"/>
    <x v="2"/>
    <x v="15"/>
    <x v="2"/>
    <x v="334"/>
    <n v="1102.19"/>
    <n v="1711.16"/>
    <n v="1711.16"/>
    <n v="0.151"/>
    <n v="10"/>
    <n v="14527.748400000002"/>
    <n v="11021.900000000001"/>
    <n v="3505.8484000000008"/>
    <n v="0.24132083675127525"/>
    <d v="2024-11-27T00:00:00"/>
    <s v="Q4-2023"/>
    <s v="Asia → Japan → Nagoya"/>
    <s v="High"/>
    <x v="9"/>
    <d v="2023-03-01T00:00:00"/>
    <n v="7"/>
    <n v="0"/>
    <n v="0"/>
    <m/>
    <m/>
    <n v="12"/>
    <n v="1267.5184999999999"/>
    <n v="0.151"/>
    <n v="17433.29808"/>
    <n v="15210.221999999998"/>
    <n v="2223.0760800000025"/>
  </r>
  <r>
    <x v="335"/>
    <x v="155"/>
    <d v="2023-12-19T00:00:00"/>
    <n v="30"/>
    <x v="1"/>
    <x v="6"/>
    <s v="Nagoya"/>
    <s v="Consumer"/>
    <x v="4"/>
    <x v="10"/>
    <x v="2"/>
    <x v="335"/>
    <n v="807.11"/>
    <n v="1853.86"/>
    <n v="1853.86"/>
    <n v="0.13900000000000001"/>
    <n v="8"/>
    <n v="12769.38768"/>
    <n v="6456.88"/>
    <n v="6312.5076799999997"/>
    <n v="0.49434693645388639"/>
    <d v="2024-11-17T00:00:00"/>
    <s v="Q4-2023"/>
    <s v="Asia → Japan → Nagoya"/>
    <s v="High"/>
    <x v="10"/>
    <d v="2023-03-01T00:00:00"/>
    <n v="8"/>
    <n v="0"/>
    <n v="0"/>
    <m/>
    <m/>
    <n v="9.6"/>
    <n v="928.17649999999992"/>
    <n v="0.13900000000000001"/>
    <n v="15323.265215999998"/>
    <n v="8910.4943999999996"/>
    <n v="6412.7708159999984"/>
  </r>
  <r>
    <x v="336"/>
    <x v="273"/>
    <d v="2023-12-05T00:00:00"/>
    <n v="15"/>
    <x v="1"/>
    <x v="6"/>
    <s v="Tokyo"/>
    <s v="Enterprise"/>
    <x v="4"/>
    <x v="11"/>
    <x v="4"/>
    <x v="336"/>
    <n v="354.24"/>
    <n v="249.87"/>
    <n v="249.87"/>
    <n v="0"/>
    <n v="6"/>
    <n v="1499.22"/>
    <n v="2125.44"/>
    <n v="-626.22"/>
    <n v="-0.41769720254532355"/>
    <d v="2024-10-30T00:00:00"/>
    <s v="Q4-2023"/>
    <s v="Asia → Japan → Tokyo"/>
    <s v="Low"/>
    <x v="10"/>
    <d v="2023-03-01T00:00:00"/>
    <n v="8"/>
    <n v="0"/>
    <n v="0"/>
    <m/>
    <m/>
    <n v="7.1999999999999993"/>
    <n v="407.37599999999998"/>
    <n v="0"/>
    <n v="1799.0639999999999"/>
    <n v="2933.1071999999995"/>
    <n v="-1134.0431999999996"/>
  </r>
  <r>
    <x v="337"/>
    <x v="274"/>
    <d v="2023-12-18T00:00:00"/>
    <n v="17"/>
    <x v="1"/>
    <x v="6"/>
    <s v="Nagoya"/>
    <s v="Small Business"/>
    <x v="2"/>
    <x v="1"/>
    <x v="6"/>
    <x v="337"/>
    <n v="1495.79"/>
    <n v="2783.12"/>
    <n v="2783.12"/>
    <n v="0.02"/>
    <n v="5"/>
    <n v="13637.287999999999"/>
    <n v="7478.95"/>
    <n v="6158.3379999999988"/>
    <n v="0.45158084217331185"/>
    <d v="2024-11-02T00:00:00"/>
    <s v="Q4-2023"/>
    <s v="Asia → Japan → Nagoya"/>
    <s v="High"/>
    <x v="11"/>
    <d v="2023-03-01T00:00:00"/>
    <n v="9"/>
    <n v="0"/>
    <n v="0"/>
    <m/>
    <m/>
    <n v="6"/>
    <n v="1720.1584999999998"/>
    <n v="0.02"/>
    <n v="16364.7456"/>
    <n v="10320.950999999999"/>
    <n v="6043.7946000000011"/>
  </r>
  <r>
    <x v="338"/>
    <x v="20"/>
    <d v="2023-12-07T00:00:00"/>
    <n v="2"/>
    <x v="1"/>
    <x v="6"/>
    <s v="Tokyo"/>
    <s v="Non-Profit"/>
    <x v="0"/>
    <x v="15"/>
    <x v="3"/>
    <x v="338"/>
    <n v="1097.5899999999999"/>
    <n v="845.55"/>
    <n v="845.55"/>
    <n v="0.184"/>
    <n v="6"/>
    <n v="4139.8127999999997"/>
    <n v="6585.5399999999991"/>
    <n v="-2445.7271999999994"/>
    <n v="-0.59078207594314402"/>
    <d v="2024-10-11T00:00:00"/>
    <s v="Q4-2023"/>
    <s v="Asia → Japan → Tokyo"/>
    <s v="Medium"/>
    <x v="11"/>
    <d v="2023-03-01T00:00:00"/>
    <n v="9"/>
    <n v="1"/>
    <n v="0"/>
    <m/>
    <m/>
    <n v="7.1999999999999993"/>
    <n v="1262.2284999999997"/>
    <n v="0.184"/>
    <n v="4967.7753599999996"/>
    <n v="9088.0451999999968"/>
    <n v="-4120.2698399999972"/>
  </r>
  <r>
    <x v="339"/>
    <x v="275"/>
    <d v="2023-12-31T00:00:00"/>
    <n v="25"/>
    <x v="1"/>
    <x v="6"/>
    <s v="Osaka"/>
    <s v="Consumer"/>
    <x v="4"/>
    <x v="11"/>
    <x v="3"/>
    <x v="339"/>
    <n v="663.03"/>
    <n v="813.51"/>
    <n v="813.51"/>
    <n v="0.10199999999999999"/>
    <n v="15"/>
    <n v="10957.9797"/>
    <n v="9945.4499999999989"/>
    <n v="1012.529700000001"/>
    <n v="9.2401129379715952E-2"/>
    <d v="2024-11-08T00:00:00"/>
    <s v="Q4-2023"/>
    <s v="Asia → Japan → Osaka"/>
    <s v="Low"/>
    <x v="11"/>
    <d v="2023-03-01T00:00:00"/>
    <n v="9"/>
    <n v="0"/>
    <n v="0"/>
    <m/>
    <m/>
    <n v="18"/>
    <n v="762.48449999999991"/>
    <n v="0.10199999999999999"/>
    <n v="13149.575640000001"/>
    <n v="13724.720999999998"/>
    <n v="-575.1453599999968"/>
  </r>
  <r>
    <x v="340"/>
    <x v="22"/>
    <d v="2024-01-13T00:00:00"/>
    <n v="20"/>
    <x v="1"/>
    <x v="6"/>
    <s v="Nagoya"/>
    <s v="Education"/>
    <x v="2"/>
    <x v="7"/>
    <x v="6"/>
    <x v="340"/>
    <n v="625.37"/>
    <n v="1319.04"/>
    <n v="1319.04"/>
    <n v="7.3999999999999996E-2"/>
    <n v="8"/>
    <n v="9771.4483199999995"/>
    <n v="5002.96"/>
    <n v="4768.4883199999995"/>
    <n v="0.48800220436513547"/>
    <d v="2024-10-04T00:00:00"/>
    <s v="Q4-2023"/>
    <s v="Asia → Japan → Nagoya"/>
    <s v="Medium"/>
    <x v="11"/>
    <d v="2023-03-01T00:00:00"/>
    <n v="9"/>
    <n v="0"/>
    <n v="0"/>
    <m/>
    <m/>
    <n v="9.6"/>
    <n v="719.17549999999994"/>
    <n v="7.3999999999999996E-2"/>
    <n v="11725.737983999999"/>
    <n v="6904.0847999999996"/>
    <n v="4821.6531839999998"/>
  </r>
  <r>
    <x v="341"/>
    <x v="73"/>
    <d v="2024-01-15T00:00:00"/>
    <n v="13"/>
    <x v="1"/>
    <x v="6"/>
    <s v="Nagoya"/>
    <s v="Small Business"/>
    <x v="0"/>
    <x v="2"/>
    <x v="4"/>
    <x v="341"/>
    <n v="1219.06"/>
    <n v="2738.69"/>
    <n v="2738.69"/>
    <n v="7.5999999999999998E-2"/>
    <n v="16"/>
    <n v="40488.792960000006"/>
    <n v="19504.96"/>
    <n v="20983.832960000007"/>
    <n v="0.51826274447673737"/>
    <d v="2024-09-19T00:00:00"/>
    <s v="Q1-2024"/>
    <s v="Asia → Japan → Nagoya"/>
    <s v="High"/>
    <x v="12"/>
    <d v="2023-03-01T00:00:00"/>
    <n v="10"/>
    <n v="0"/>
    <n v="0"/>
    <m/>
    <m/>
    <n v="19.2"/>
    <n v="1401.9189999999999"/>
    <n v="7.5999999999999998E-2"/>
    <n v="48586.551551999997"/>
    <n v="26916.844799999995"/>
    <n v="21669.706752000002"/>
  </r>
  <r>
    <x v="342"/>
    <x v="276"/>
    <d v="2024-02-02T00:00:00"/>
    <n v="22"/>
    <x v="1"/>
    <x v="6"/>
    <s v="Nagoya"/>
    <s v="Small Business"/>
    <x v="1"/>
    <x v="10"/>
    <x v="3"/>
    <x v="342"/>
    <n v="1237.68"/>
    <n v="1432.8"/>
    <n v="1432.8"/>
    <n v="6.8000000000000005E-2"/>
    <n v="13"/>
    <n v="17359.804799999998"/>
    <n v="16089.84"/>
    <n v="1269.9647999999979"/>
    <n v="7.315547695559331E-2"/>
    <d v="2024-09-09T00:00:00"/>
    <s v="Q1-2024"/>
    <s v="Asia → Japan → Nagoya"/>
    <s v="Medium"/>
    <x v="12"/>
    <d v="2023-03-01T00:00:00"/>
    <n v="10"/>
    <n v="0"/>
    <n v="0"/>
    <m/>
    <m/>
    <n v="15.6"/>
    <n v="1423.3319999999999"/>
    <n v="6.8000000000000005E-2"/>
    <n v="20831.765759999998"/>
    <n v="22203.979199999998"/>
    <n v="-1372.2134399999995"/>
  </r>
  <r>
    <x v="343"/>
    <x v="23"/>
    <d v="2024-02-08T00:00:00"/>
    <n v="14"/>
    <x v="1"/>
    <x v="6"/>
    <s v="Osaka"/>
    <s v="Consumer"/>
    <x v="0"/>
    <x v="14"/>
    <x v="4"/>
    <x v="343"/>
    <n v="937.16"/>
    <n v="1069.77"/>
    <n v="1069.77"/>
    <n v="3.7999999999999999E-2"/>
    <n v="9"/>
    <n v="9262.0686600000008"/>
    <n v="8434.44"/>
    <n v="827.62866000000031"/>
    <n v="8.9356783066645962E-2"/>
    <d v="2024-08-27T00:00:00"/>
    <s v="Q1-2024"/>
    <s v="Asia → Japan → Osaka"/>
    <s v="Medium"/>
    <x v="12"/>
    <d v="2023-03-01T00:00:00"/>
    <n v="10"/>
    <n v="0"/>
    <n v="0"/>
    <m/>
    <m/>
    <n v="10.799999999999999"/>
    <n v="1077.7339999999999"/>
    <n v="3.7999999999999999E-2"/>
    <n v="11114.482391999998"/>
    <n v="11639.527199999999"/>
    <n v="-525.04480800000056"/>
  </r>
  <r>
    <x v="344"/>
    <x v="25"/>
    <d v="2024-03-30T00:00:00"/>
    <n v="30"/>
    <x v="1"/>
    <x v="6"/>
    <s v="Nagoya"/>
    <s v="Small Business"/>
    <x v="2"/>
    <x v="14"/>
    <x v="4"/>
    <x v="344"/>
    <n v="231.11"/>
    <n v="318.17"/>
    <n v="318.17"/>
    <n v="0.20100000000000001"/>
    <n v="60"/>
    <n v="15253.069799999999"/>
    <n v="13866.6"/>
    <n v="1386.4697999999989"/>
    <n v="9.0897754889969692E-2"/>
    <d v="2024-08-12T00:00:00"/>
    <s v="Q1-2024"/>
    <s v="Asia → Japan → Nagoya"/>
    <s v="Low"/>
    <x v="13"/>
    <d v="2023-03-01T00:00:00"/>
    <n v="11"/>
    <n v="0"/>
    <n v="1"/>
    <m/>
    <m/>
    <n v="72"/>
    <n v="265.7765"/>
    <n v="0.20100000000000001"/>
    <n v="18303.68376"/>
    <n v="19135.907999999999"/>
    <n v="-832.22423999999955"/>
  </r>
  <r>
    <x v="345"/>
    <x v="277"/>
    <d v="2024-06-06T00:00:00"/>
    <n v="15"/>
    <x v="1"/>
    <x v="6"/>
    <s v="Nagoya"/>
    <s v="Corporate"/>
    <x v="3"/>
    <x v="5"/>
    <x v="0"/>
    <x v="345"/>
    <n v="673.88"/>
    <n v="1228.01"/>
    <n v="1228.01"/>
    <n v="0.105"/>
    <n v="13"/>
    <n v="14287.896349999999"/>
    <n v="8760.44"/>
    <n v="5527.4563499999986"/>
    <n v="0.38686285332689996"/>
    <d v="2024-05-01T00:00:00"/>
    <s v="Q2-2024"/>
    <s v="Asia → Japan → Nagoya"/>
    <s v="Medium"/>
    <x v="15"/>
    <d v="2023-03-01T00:00:00"/>
    <n v="14"/>
    <n v="0"/>
    <n v="0"/>
    <m/>
    <m/>
    <n v="15.6"/>
    <n v="774.96199999999999"/>
    <n v="0.105"/>
    <n v="17145.475619999997"/>
    <n v="12089.4072"/>
    <n v="5056.0684199999978"/>
  </r>
  <r>
    <x v="346"/>
    <x v="278"/>
    <d v="2024-06-21T00:00:00"/>
    <n v="5"/>
    <x v="1"/>
    <x v="6"/>
    <s v="Tokyo"/>
    <s v="Small Business"/>
    <x v="3"/>
    <x v="8"/>
    <x v="2"/>
    <x v="346"/>
    <n v="1367.13"/>
    <n v="3062.01"/>
    <n v="3062.01"/>
    <n v="0.10299999999999999"/>
    <n v="25"/>
    <n v="68665.574250000005"/>
    <n v="34178.25"/>
    <n v="34487.324250000005"/>
    <n v="0.50225057645971705"/>
    <d v="2024-03-31T00:00:00"/>
    <s v="Q2-2024"/>
    <s v="Asia → Japan → Tokyo"/>
    <s v="High"/>
    <x v="16"/>
    <d v="2023-03-01T00:00:00"/>
    <n v="15"/>
    <n v="1"/>
    <n v="0"/>
    <m/>
    <m/>
    <n v="30"/>
    <n v="1572.1994999999999"/>
    <n v="0.10299999999999999"/>
    <n v="82398.689100000003"/>
    <n v="47165.985000000001"/>
    <n v="35232.704100000003"/>
  </r>
  <r>
    <x v="347"/>
    <x v="279"/>
    <d v="2024-07-13T00:00:00"/>
    <n v="1"/>
    <x v="1"/>
    <x v="6"/>
    <s v="Nagoya"/>
    <s v="Small Business"/>
    <x v="0"/>
    <x v="8"/>
    <x v="4"/>
    <x v="347"/>
    <n v="105.13"/>
    <n v="244.13"/>
    <n v="244.13"/>
    <n v="7.0999999999999994E-2"/>
    <n v="14"/>
    <n v="3175.1547799999998"/>
    <n v="1471.82"/>
    <n v="1703.3347799999999"/>
    <n v="0.53645724319618837"/>
    <d v="2024-03-11T00:00:00"/>
    <s v="Q3-2024"/>
    <s v="Asia → Japan → Nagoya"/>
    <s v="Low"/>
    <x v="17"/>
    <d v="2023-03-01T00:00:00"/>
    <n v="16"/>
    <n v="1"/>
    <n v="0"/>
    <m/>
    <m/>
    <n v="16.8"/>
    <n v="120.89949999999999"/>
    <n v="7.0999999999999994E-2"/>
    <n v="3810.1857360000004"/>
    <n v="2031.1116"/>
    <n v="1779.0741360000004"/>
  </r>
  <r>
    <x v="348"/>
    <x v="280"/>
    <d v="2024-07-15T00:00:00"/>
    <n v="0"/>
    <x v="1"/>
    <x v="6"/>
    <s v="Tokyo"/>
    <s v="Small Business"/>
    <x v="0"/>
    <x v="2"/>
    <x v="5"/>
    <x v="348"/>
    <n v="801.77"/>
    <n v="1218.92"/>
    <n v="1218.92"/>
    <n v="0.254"/>
    <n v="16"/>
    <n v="14549.029120000001"/>
    <n v="12828.32"/>
    <n v="1720.7091200000013"/>
    <n v="0.11826968698788344"/>
    <d v="2024-03-09T00:00:00"/>
    <s v="Q3-2024"/>
    <s v="Asia → Japan → Tokyo"/>
    <s v="Medium"/>
    <x v="17"/>
    <d v="2023-03-01T00:00:00"/>
    <n v="16"/>
    <n v="1"/>
    <n v="1"/>
    <m/>
    <m/>
    <n v="19.2"/>
    <n v="922.03549999999996"/>
    <n v="0.25"/>
    <n v="17552.448"/>
    <n v="17703.081599999998"/>
    <n v="-150.63359999999739"/>
  </r>
  <r>
    <x v="349"/>
    <x v="281"/>
    <d v="2024-08-15T00:00:00"/>
    <n v="15"/>
    <x v="1"/>
    <x v="6"/>
    <s v="Tokyo"/>
    <s v="Corporate"/>
    <x v="0"/>
    <x v="8"/>
    <x v="0"/>
    <x v="349"/>
    <n v="1252.52"/>
    <n v="1417.24"/>
    <n v="1417.24"/>
    <n v="0.192"/>
    <n v="5"/>
    <n v="5725.6496000000006"/>
    <n v="6262.6"/>
    <n v="-536.95039999999972"/>
    <n v="-9.3779821943696953E-2"/>
    <d v="2024-03-03T00:00:00"/>
    <s v="Q3-2024"/>
    <s v="Asia → Japan → Tokyo"/>
    <s v="Medium"/>
    <x v="17"/>
    <d v="2023-03-01T00:00:00"/>
    <n v="16"/>
    <n v="0"/>
    <n v="0"/>
    <m/>
    <m/>
    <n v="6"/>
    <n v="1440.3979999999999"/>
    <n v="0.192"/>
    <n v="6870.779520000001"/>
    <n v="8642.387999999999"/>
    <n v="-1771.6084799999981"/>
  </r>
  <r>
    <x v="350"/>
    <x v="282"/>
    <d v="2024-08-17T00:00:00"/>
    <n v="10"/>
    <x v="1"/>
    <x v="6"/>
    <s v="Osaka"/>
    <s v="Consumer"/>
    <x v="1"/>
    <x v="12"/>
    <x v="4"/>
    <x v="350"/>
    <n v="436.58"/>
    <n v="527.48"/>
    <n v="527.48"/>
    <n v="0.111"/>
    <n v="19"/>
    <n v="8909.6646800000017"/>
    <n v="8295.02"/>
    <n v="614.64468000000124"/>
    <n v="6.8986286473802644E-2"/>
    <d v="2024-02-18T00:00:00"/>
    <s v="Q3-2024"/>
    <s v="Asia → Japan → Osaka"/>
    <s v="Low"/>
    <x v="18"/>
    <d v="2023-03-01T00:00:00"/>
    <n v="17"/>
    <n v="0"/>
    <n v="0"/>
    <m/>
    <m/>
    <n v="22.8"/>
    <n v="502.06699999999995"/>
    <n v="0.111"/>
    <n v="10691.597616000001"/>
    <n v="11447.1276"/>
    <n v="-755.52998399999888"/>
  </r>
  <r>
    <x v="351"/>
    <x v="283"/>
    <d v="2024-08-20T00:00:00"/>
    <n v="12"/>
    <x v="1"/>
    <x v="6"/>
    <s v="Osaka"/>
    <s v="Small Business"/>
    <x v="4"/>
    <x v="15"/>
    <x v="4"/>
    <x v="351"/>
    <n v="1233.3599999999999"/>
    <n v="2120.4"/>
    <n v="2120.4"/>
    <n v="0.17899999999999999"/>
    <n v="20"/>
    <n v="34816.968000000001"/>
    <n v="24667.199999999997"/>
    <n v="10149.768000000004"/>
    <n v="0.29151785991244278"/>
    <d v="2024-02-25T00:00:00"/>
    <s v="Q3-2024"/>
    <s v="Asia → Japan → Osaka"/>
    <s v="High"/>
    <x v="18"/>
    <d v="2023-03-01T00:00:00"/>
    <n v="17"/>
    <n v="0"/>
    <n v="0"/>
    <m/>
    <m/>
    <n v="24"/>
    <n v="1418.3639999999998"/>
    <n v="0.17899999999999999"/>
    <n v="41780.361600000004"/>
    <n v="34040.735999999997"/>
    <n v="7739.6256000000067"/>
  </r>
  <r>
    <x v="352"/>
    <x v="284"/>
    <d v="2024-09-05T00:00:00"/>
    <n v="6"/>
    <x v="1"/>
    <x v="6"/>
    <s v="Nagoya"/>
    <s v="Education"/>
    <x v="1"/>
    <x v="1"/>
    <x v="6"/>
    <x v="352"/>
    <n v="466.16"/>
    <n v="876.81"/>
    <n v="876.81"/>
    <n v="0.24099999999999999"/>
    <n v="8"/>
    <n v="5323.9903199999999"/>
    <n v="3729.28"/>
    <n v="1594.7103199999997"/>
    <n v="0.29953291124691594"/>
    <d v="2024-01-16T00:00:00"/>
    <s v="Q3-2024"/>
    <s v="Asia → Japan → Nagoya"/>
    <s v="Medium"/>
    <x v="18"/>
    <d v="2023-03-01T00:00:00"/>
    <n v="17"/>
    <n v="1"/>
    <n v="1"/>
    <m/>
    <m/>
    <n v="9.6"/>
    <n v="536.08399999999995"/>
    <n v="0.24099999999999999"/>
    <n v="6388.7883839999986"/>
    <n v="5146.4063999999989"/>
    <n v="1242.3819839999996"/>
  </r>
  <r>
    <x v="353"/>
    <x v="285"/>
    <d v="2024-09-26T00:00:00"/>
    <n v="26"/>
    <x v="1"/>
    <x v="6"/>
    <s v="Tokyo"/>
    <s v="Education"/>
    <x v="1"/>
    <x v="14"/>
    <x v="2"/>
    <x v="353"/>
    <n v="1189.03"/>
    <n v="2949.62"/>
    <n v="2949.62"/>
    <n v="0.125"/>
    <n v="13"/>
    <n v="33551.927499999998"/>
    <n v="15457.39"/>
    <n v="18094.537499999999"/>
    <n v="0.53929949330034765"/>
    <d v="2024-02-08T00:00:00"/>
    <s v="Q3-2024"/>
    <s v="Asia → Japan → Tokyo"/>
    <s v="High"/>
    <x v="18"/>
    <d v="2023-03-01T00:00:00"/>
    <n v="17"/>
    <n v="0"/>
    <n v="0"/>
    <m/>
    <m/>
    <n v="15.6"/>
    <n v="1367.3844999999999"/>
    <n v="0.125"/>
    <n v="40262.313000000002"/>
    <n v="21331.198199999999"/>
    <n v="18931.114800000003"/>
  </r>
  <r>
    <x v="354"/>
    <x v="286"/>
    <d v="2024-09-07T00:00:00"/>
    <n v="4"/>
    <x v="1"/>
    <x v="6"/>
    <s v="Tokyo"/>
    <s v="Small Business"/>
    <x v="3"/>
    <x v="1"/>
    <x v="3"/>
    <x v="354"/>
    <n v="43.23"/>
    <n v="94.78"/>
    <n v="94.78"/>
    <n v="9.0999999999999998E-2"/>
    <n v="55"/>
    <n v="4738.5261"/>
    <n v="2377.6499999999996"/>
    <n v="2360.8761000000004"/>
    <n v="0.49823005090127082"/>
    <d v="2024-01-13T00:00:00"/>
    <s v="Q3-2024"/>
    <s v="Asia → Japan → Tokyo"/>
    <s v="Low"/>
    <x v="19"/>
    <d v="2023-03-01T00:00:00"/>
    <n v="18"/>
    <n v="1"/>
    <n v="0"/>
    <m/>
    <m/>
    <n v="66"/>
    <n v="49.714499999999994"/>
    <n v="9.0999999999999998E-2"/>
    <n v="5686.2313200000008"/>
    <n v="3281.1569999999997"/>
    <n v="2405.0743200000011"/>
  </r>
  <r>
    <x v="355"/>
    <x v="287"/>
    <d v="2024-09-06T00:00:00"/>
    <n v="2"/>
    <x v="1"/>
    <x v="6"/>
    <s v="Osaka"/>
    <s v="Corporate"/>
    <x v="2"/>
    <x v="4"/>
    <x v="6"/>
    <x v="355"/>
    <n v="1368.17"/>
    <n v="2307.75"/>
    <n v="2307.75"/>
    <n v="0.16300000000000001"/>
    <n v="21"/>
    <n v="40563.321749999996"/>
    <n v="28731.57"/>
    <n v="11831.751749999996"/>
    <n v="0.29168596750831921"/>
    <d v="2024-01-24T00:00:00"/>
    <s v="Q3-2024"/>
    <s v="Asia → Japan → Osaka"/>
    <s v="High"/>
    <x v="19"/>
    <d v="2023-03-01T00:00:00"/>
    <n v="18"/>
    <n v="1"/>
    <n v="0"/>
    <m/>
    <m/>
    <n v="25.2"/>
    <n v="1573.3954999999999"/>
    <n v="0.16300000000000001"/>
    <n v="48675.986099999995"/>
    <n v="39649.566599999998"/>
    <n v="9026.4194999999963"/>
  </r>
  <r>
    <x v="356"/>
    <x v="288"/>
    <d v="2024-09-25T00:00:00"/>
    <n v="20"/>
    <x v="1"/>
    <x v="6"/>
    <s v="Osaka"/>
    <s v="Enterprise"/>
    <x v="3"/>
    <x v="0"/>
    <x v="0"/>
    <x v="356"/>
    <n v="195.54"/>
    <n v="405.97"/>
    <n v="405.97"/>
    <n v="0.187"/>
    <n v="16"/>
    <n v="5280.8577599999999"/>
    <n v="3128.64"/>
    <n v="2152.21776"/>
    <n v="0.40755079152141377"/>
    <d v="2024-01-18T00:00:00"/>
    <s v="Q3-2024"/>
    <s v="Asia → Japan → Osaka"/>
    <s v="Low"/>
    <x v="19"/>
    <d v="2023-03-01T00:00:00"/>
    <n v="18"/>
    <n v="0"/>
    <n v="0"/>
    <m/>
    <m/>
    <n v="19.2"/>
    <n v="224.87099999999998"/>
    <n v="0.187"/>
    <n v="6337.0293119999997"/>
    <n v="4317.5231999999996"/>
    <n v="2019.506112"/>
  </r>
  <r>
    <x v="357"/>
    <x v="289"/>
    <d v="2024-11-08T00:00:00"/>
    <n v="23"/>
    <x v="1"/>
    <x v="6"/>
    <s v="Osaka"/>
    <s v="Small Business"/>
    <x v="4"/>
    <x v="9"/>
    <x v="4"/>
    <x v="357"/>
    <n v="82.14"/>
    <n v="166.04"/>
    <n v="166.04"/>
    <n v="0"/>
    <n v="10"/>
    <n v="1660.3999999999999"/>
    <n v="821.4"/>
    <n v="838.99999999999989"/>
    <n v="0.50529992772825827"/>
    <d v="2023-12-26T00:00:00"/>
    <s v="Q4-2024"/>
    <s v="Asia → Japan → Osaka"/>
    <s v="Low"/>
    <x v="32"/>
    <d v="2023-03-01T00:00:00"/>
    <n v="19"/>
    <n v="0"/>
    <n v="0"/>
    <m/>
    <m/>
    <n v="12"/>
    <n v="94.460999999999999"/>
    <n v="0"/>
    <n v="1992.48"/>
    <n v="1133.5319999999999"/>
    <n v="858.94800000000009"/>
  </r>
  <r>
    <x v="358"/>
    <x v="290"/>
    <d v="2024-11-14T00:00:00"/>
    <n v="22"/>
    <x v="1"/>
    <x v="6"/>
    <s v="Osaka"/>
    <s v="Non-Profit"/>
    <x v="2"/>
    <x v="7"/>
    <x v="2"/>
    <x v="358"/>
    <n v="1406.4"/>
    <n v="1564.76"/>
    <n v="1564.76"/>
    <n v="0.185"/>
    <n v="17"/>
    <n v="21679.749799999998"/>
    <n v="23908.800000000003"/>
    <n v="-2229.0502000000051"/>
    <n v="-0.10281715520536151"/>
    <d v="2023-12-24T00:00:00"/>
    <s v="Q4-2024"/>
    <s v="Asia → Japan → Osaka"/>
    <s v="Medium"/>
    <x v="32"/>
    <d v="2023-03-01T00:00:00"/>
    <n v="19"/>
    <n v="0"/>
    <n v="0"/>
    <m/>
    <m/>
    <n v="20.399999999999999"/>
    <n v="1617.36"/>
    <n v="0.185"/>
    <n v="26015.69976"/>
    <n v="32994.143999999993"/>
    <n v="-6978.4442399999934"/>
  </r>
  <r>
    <x v="359"/>
    <x v="291"/>
    <d v="2024-11-20T00:00:00"/>
    <n v="24"/>
    <x v="1"/>
    <x v="6"/>
    <s v="Nagoya"/>
    <s v="Non-Profit"/>
    <x v="1"/>
    <x v="15"/>
    <x v="0"/>
    <x v="359"/>
    <n v="317.25"/>
    <n v="758.92"/>
    <n v="758.92"/>
    <n v="5.2999999999999999E-2"/>
    <n v="9"/>
    <n v="6468.2751599999992"/>
    <n v="2855.25"/>
    <n v="3613.0251599999992"/>
    <n v="0.5585762928489888"/>
    <d v="2023-12-22T00:00:00"/>
    <s v="Q4-2024"/>
    <s v="Asia → Japan → Nagoya"/>
    <s v="Low"/>
    <x v="32"/>
    <d v="2023-03-01T00:00:00"/>
    <n v="19"/>
    <n v="0"/>
    <n v="0"/>
    <m/>
    <m/>
    <n v="10.799999999999999"/>
    <n v="364.83749999999998"/>
    <n v="5.2999999999999999E-2"/>
    <n v="7761.9301919999989"/>
    <n v="3940.2449999999994"/>
    <n v="3821.6851919999995"/>
  </r>
  <r>
    <x v="360"/>
    <x v="292"/>
    <d v="2024-12-20T00:00:00"/>
    <n v="8"/>
    <x v="1"/>
    <x v="6"/>
    <s v="Tokyo"/>
    <s v="Corporate"/>
    <x v="4"/>
    <x v="7"/>
    <x v="6"/>
    <x v="360"/>
    <n v="1202.47"/>
    <n v="1444.72"/>
    <n v="1444.72"/>
    <n v="0.24099999999999999"/>
    <n v="17"/>
    <n v="18641.222160000001"/>
    <n v="20441.990000000002"/>
    <n v="-1800.7678400000004"/>
    <n v="-9.6601382921343834E-2"/>
    <d v="2023-10-09T00:00:00"/>
    <s v="Q4-2024"/>
    <s v="Asia → Japan → Tokyo"/>
    <s v="Medium"/>
    <x v="30"/>
    <d v="2023-03-01T00:00:00"/>
    <n v="21"/>
    <n v="0"/>
    <n v="1"/>
    <m/>
    <m/>
    <n v="20.399999999999999"/>
    <n v="1382.8405"/>
    <n v="0.24099999999999999"/>
    <n v="22369.466591999997"/>
    <n v="28209.946199999998"/>
    <n v="-5840.4796080000015"/>
  </r>
  <r>
    <x v="361"/>
    <x v="293"/>
    <d v="2025-01-23T00:00:00"/>
    <n v="20"/>
    <x v="1"/>
    <x v="6"/>
    <s v="Osaka"/>
    <s v="Corporate"/>
    <x v="3"/>
    <x v="8"/>
    <x v="2"/>
    <x v="361"/>
    <n v="908.6"/>
    <n v="691.37"/>
    <n v="691.37"/>
    <n v="0.25"/>
    <n v="20"/>
    <n v="10370.549999999999"/>
    <n v="18172"/>
    <n v="-7801.4500000000007"/>
    <n v="-0.75226964818645115"/>
    <d v="2023-09-20T00:00:00"/>
    <s v="Q1-2025"/>
    <s v="Asia → Japan → Osaka"/>
    <s v="Low"/>
    <x v="21"/>
    <d v="2023-03-01T00:00:00"/>
    <n v="22"/>
    <n v="0"/>
    <n v="1"/>
    <m/>
    <m/>
    <n v="24"/>
    <n v="1044.8899999999999"/>
    <n v="0.25"/>
    <n v="12444.66"/>
    <n v="25077.359999999997"/>
    <n v="-12632.699999999997"/>
  </r>
  <r>
    <x v="362"/>
    <x v="179"/>
    <d v="2025-02-04T00:00:00"/>
    <n v="13"/>
    <x v="1"/>
    <x v="6"/>
    <s v="Tokyo"/>
    <s v="Small Business"/>
    <x v="3"/>
    <x v="11"/>
    <x v="3"/>
    <x v="362"/>
    <n v="122.29"/>
    <n v="224.95"/>
    <n v="224.95"/>
    <n v="0.153"/>
    <n v="28"/>
    <n v="5334.9141999999993"/>
    <n v="3424.1200000000003"/>
    <n v="1910.7941999999989"/>
    <n v="0.3581677471026618"/>
    <d v="2023-08-19T00:00:00"/>
    <s v="Q1-2025"/>
    <s v="Asia → Japan → Tokyo"/>
    <s v="Low"/>
    <x v="21"/>
    <d v="2023-03-01T00:00:00"/>
    <n v="22"/>
    <n v="0"/>
    <n v="0"/>
    <m/>
    <m/>
    <n v="33.6"/>
    <n v="140.6335"/>
    <n v="0.153"/>
    <n v="6401.8970399999998"/>
    <n v="4725.2856000000002"/>
    <n v="1676.6114399999997"/>
  </r>
  <r>
    <x v="363"/>
    <x v="294"/>
    <d v="2025-03-04T00:00:00"/>
    <n v="30"/>
    <x v="1"/>
    <x v="6"/>
    <s v="Osaka"/>
    <s v="Education"/>
    <x v="3"/>
    <x v="11"/>
    <x v="5"/>
    <x v="363"/>
    <n v="766.59"/>
    <n v="1912.8"/>
    <n v="1912.8"/>
    <n v="0.19600000000000001"/>
    <n v="5"/>
    <n v="7689.4560000000001"/>
    <n v="3832.9500000000003"/>
    <n v="3856.5059999999999"/>
    <n v="0.50153170783472845"/>
    <d v="2023-08-17T00:00:00"/>
    <s v="Q1-2025"/>
    <s v="Asia → Japan → Osaka"/>
    <s v="High"/>
    <x v="22"/>
    <d v="2023-03-01T00:00:00"/>
    <n v="23"/>
    <n v="0"/>
    <n v="0"/>
    <m/>
    <m/>
    <n v="6"/>
    <n v="881.57849999999996"/>
    <n v="0.19600000000000001"/>
    <n v="9227.3472000000002"/>
    <n v="5289.4709999999995"/>
    <n v="3937.8762000000006"/>
  </r>
  <r>
    <x v="364"/>
    <x v="295"/>
    <d v="2025-03-10T00:00:00"/>
    <n v="10"/>
    <x v="1"/>
    <x v="6"/>
    <s v="Osaka"/>
    <s v="Education"/>
    <x v="3"/>
    <x v="1"/>
    <x v="6"/>
    <x v="364"/>
    <n v="51.86"/>
    <n v="45.98"/>
    <n v="45.98"/>
    <n v="0.17299999999999999"/>
    <n v="7"/>
    <n v="266.17821999999995"/>
    <n v="363.02"/>
    <n v="-96.841780000000028"/>
    <n v="-0.3638230806412337"/>
    <d v="2023-07-25T00:00:00"/>
    <s v="Q1-2025"/>
    <s v="Asia → Japan → Osaka"/>
    <s v="Low"/>
    <x v="22"/>
    <d v="2023-03-01T00:00:00"/>
    <n v="23"/>
    <n v="0"/>
    <n v="0"/>
    <m/>
    <m/>
    <n v="8.4"/>
    <n v="59.638999999999996"/>
    <n v="0.17299999999999999"/>
    <n v="319.41386399999993"/>
    <n v="500.9676"/>
    <n v="-181.55373600000007"/>
  </r>
  <r>
    <x v="365"/>
    <x v="45"/>
    <d v="2025-04-04T00:00:00"/>
    <n v="25"/>
    <x v="1"/>
    <x v="6"/>
    <s v="Osaka"/>
    <s v="Corporate"/>
    <x v="2"/>
    <x v="15"/>
    <x v="3"/>
    <x v="365"/>
    <n v="783.72"/>
    <n v="1355.94"/>
    <n v="1355.94"/>
    <n v="0.187"/>
    <n v="4"/>
    <n v="4409.5168800000001"/>
    <n v="3134.88"/>
    <n v="1274.63688"/>
    <n v="0.28906497348525856"/>
    <d v="2023-07-10T00:00:00"/>
    <s v="Q1-2025"/>
    <s v="Asia → Japan → Osaka"/>
    <s v="Medium"/>
    <x v="23"/>
    <d v="2023-03-01T00:00:00"/>
    <n v="24"/>
    <n v="0"/>
    <n v="0"/>
    <m/>
    <m/>
    <n v="4.8"/>
    <n v="901.27799999999991"/>
    <n v="0.187"/>
    <n v="5291.4202559999994"/>
    <n v="4326.134399999999"/>
    <n v="965.28585600000042"/>
  </r>
  <r>
    <x v="366"/>
    <x v="222"/>
    <d v="2025-03-27T00:00:00"/>
    <n v="16"/>
    <x v="1"/>
    <x v="6"/>
    <s v="Tokyo"/>
    <s v="Enterprise"/>
    <x v="3"/>
    <x v="7"/>
    <x v="3"/>
    <x v="366"/>
    <n v="1317.58"/>
    <n v="1897.74"/>
    <n v="1897.74"/>
    <n v="8.1000000000000003E-2"/>
    <n v="6"/>
    <n v="10464.138360000001"/>
    <n v="7905.48"/>
    <n v="2558.6583600000013"/>
    <n v="0.24451687009230266"/>
    <d v="2023-07-19T00:00:00"/>
    <s v="Q1-2025"/>
    <s v="Asia → Japan → Tokyo"/>
    <s v="High"/>
    <x v="23"/>
    <d v="2023-03-01T00:00:00"/>
    <n v="24"/>
    <n v="0"/>
    <n v="0"/>
    <m/>
    <m/>
    <n v="7.1999999999999993"/>
    <n v="1515.2169999999999"/>
    <n v="8.1000000000000003E-2"/>
    <n v="12556.966032"/>
    <n v="10909.562399999999"/>
    <n v="1647.4036320000014"/>
  </r>
  <r>
    <x v="367"/>
    <x v="138"/>
    <d v="2025-03-29T00:00:00"/>
    <n v="15"/>
    <x v="1"/>
    <x v="6"/>
    <s v="Tokyo"/>
    <s v="Non-Profit"/>
    <x v="2"/>
    <x v="15"/>
    <x v="4"/>
    <x v="367"/>
    <n v="1106.96"/>
    <n v="2726.62"/>
    <n v="2726.62"/>
    <n v="0.317"/>
    <n v="7"/>
    <n v="13035.970220000001"/>
    <n v="7748.72"/>
    <n v="5287.2502200000008"/>
    <n v="0.40558931408789306"/>
    <d v="2023-07-21T00:00:00"/>
    <s v="Q1-2025"/>
    <s v="Asia → Japan → Tokyo"/>
    <s v="High"/>
    <x v="23"/>
    <d v="2023-03-01T00:00:00"/>
    <n v="24"/>
    <n v="0"/>
    <n v="1"/>
    <m/>
    <m/>
    <n v="8.4"/>
    <n v="1273.0039999999999"/>
    <n v="0.25"/>
    <n v="17177.705999999998"/>
    <n v="10693.2336"/>
    <n v="6484.4723999999987"/>
  </r>
  <r>
    <x v="368"/>
    <x v="296"/>
    <d v="2025-04-09T00:00:00"/>
    <n v="19"/>
    <x v="1"/>
    <x v="6"/>
    <s v="Tokyo"/>
    <s v="Small Business"/>
    <x v="3"/>
    <x v="6"/>
    <x v="1"/>
    <x v="368"/>
    <n v="1055.45"/>
    <n v="1210.04"/>
    <n v="1210.04"/>
    <n v="8.9999999999999993E-3"/>
    <n v="18"/>
    <n v="21584.693520000001"/>
    <n v="18998.100000000002"/>
    <n v="2586.5935199999985"/>
    <n v="0.1198346188053727"/>
    <d v="2023-06-24T00:00:00"/>
    <s v="Q1-2025"/>
    <s v="Asia → Japan → Tokyo"/>
    <s v="Medium"/>
    <x v="23"/>
    <d v="2023-03-01T00:00:00"/>
    <n v="24"/>
    <n v="0"/>
    <n v="0"/>
    <m/>
    <m/>
    <n v="21.599999999999998"/>
    <n v="1213.7674999999999"/>
    <n v="8.9999999999999993E-3"/>
    <n v="25901.632223999997"/>
    <n v="26217.377999999997"/>
    <n v="-315.74577599999975"/>
  </r>
  <r>
    <x v="369"/>
    <x v="297"/>
    <d v="2025-05-04T00:00:00"/>
    <n v="23"/>
    <x v="1"/>
    <x v="6"/>
    <s v="Osaka"/>
    <s v="Small Business"/>
    <x v="1"/>
    <x v="3"/>
    <x v="1"/>
    <x v="369"/>
    <n v="786.2"/>
    <n v="1075.3"/>
    <n v="1075.3"/>
    <n v="0.08"/>
    <n v="9"/>
    <n v="8903.4839999999986"/>
    <n v="7075.8"/>
    <n v="1827.6839999999984"/>
    <n v="0.20527739478163815"/>
    <d v="2023-06-05T00:00:00"/>
    <s v="Q2-2025"/>
    <s v="Asia → Japan → Osaka"/>
    <s v="Medium"/>
    <x v="24"/>
    <d v="2023-03-01T00:00:00"/>
    <n v="25"/>
    <n v="0"/>
    <n v="0"/>
    <m/>
    <m/>
    <n v="10.799999999999999"/>
    <n v="904.13"/>
    <n v="0.08"/>
    <n v="10684.180799999998"/>
    <n v="9764.6039999999994"/>
    <n v="919.57679999999891"/>
  </r>
  <r>
    <x v="370"/>
    <x v="298"/>
    <d v="2025-04-14T00:00:00"/>
    <n v="1"/>
    <x v="1"/>
    <x v="6"/>
    <s v="Osaka"/>
    <s v="Enterprise"/>
    <x v="1"/>
    <x v="2"/>
    <x v="1"/>
    <x v="370"/>
    <n v="138.9"/>
    <n v="289.92"/>
    <n v="289.92"/>
    <n v="2.9000000000000001E-2"/>
    <n v="12"/>
    <n v="3378.1478400000001"/>
    <n v="1666.8000000000002"/>
    <n v="1711.3478399999999"/>
    <n v="0.50659353025828491"/>
    <d v="2023-06-13T00:00:00"/>
    <s v="Q2-2025"/>
    <s v="Asia → Japan → Osaka"/>
    <s v="Low"/>
    <x v="24"/>
    <d v="2023-03-01T00:00:00"/>
    <n v="25"/>
    <n v="1"/>
    <n v="0"/>
    <m/>
    <m/>
    <n v="14.399999999999999"/>
    <n v="159.73499999999999"/>
    <n v="2.9000000000000001E-2"/>
    <n v="4053.7774079999999"/>
    <n v="2300.1839999999997"/>
    <n v="1753.5934080000002"/>
  </r>
  <r>
    <x v="371"/>
    <x v="225"/>
    <d v="2025-05-15T00:00:00"/>
    <n v="17"/>
    <x v="1"/>
    <x v="6"/>
    <s v="Nagoya"/>
    <s v="Education"/>
    <x v="2"/>
    <x v="1"/>
    <x v="4"/>
    <x v="371"/>
    <n v="691.19"/>
    <n v="1284.3"/>
    <n v="1284.3"/>
    <n v="7.3999999999999996E-2"/>
    <n v="7"/>
    <n v="8324.8326000000015"/>
    <n v="4838.33"/>
    <n v="3486.5026000000016"/>
    <n v="0.41880753253825198"/>
    <d v="2023-05-20T00:00:00"/>
    <s v="Q2-2025"/>
    <s v="Asia → Japan → Nagoya"/>
    <s v="Medium"/>
    <x v="24"/>
    <d v="2023-03-01T00:00:00"/>
    <n v="25"/>
    <n v="0"/>
    <n v="0"/>
    <m/>
    <m/>
    <n v="8.4"/>
    <n v="794.86850000000004"/>
    <n v="7.3999999999999996E-2"/>
    <n v="9989.7991200000015"/>
    <n v="6676.8954000000003"/>
    <n v="3312.9037200000012"/>
  </r>
  <r>
    <x v="372"/>
    <x v="299"/>
    <d v="2025-06-05T00:00:00"/>
    <n v="21"/>
    <x v="1"/>
    <x v="6"/>
    <s v="Osaka"/>
    <s v="Enterprise"/>
    <x v="2"/>
    <x v="15"/>
    <x v="2"/>
    <x v="372"/>
    <n v="1466.5"/>
    <n v="2778.74"/>
    <n v="2778.74"/>
    <n v="0.13500000000000001"/>
    <n v="4"/>
    <n v="9614.4403999999995"/>
    <n v="5866"/>
    <n v="3748.4403999999995"/>
    <n v="0.38987608680792279"/>
    <d v="2023-05-04T00:00:00"/>
    <s v="Q2-2025"/>
    <s v="Asia → Japan → Osaka"/>
    <s v="High"/>
    <x v="25"/>
    <d v="2023-03-01T00:00:00"/>
    <n v="26"/>
    <n v="0"/>
    <n v="0"/>
    <m/>
    <m/>
    <n v="4.8"/>
    <n v="1686.4749999999999"/>
    <n v="0.13500000000000001"/>
    <n v="11537.32848"/>
    <n v="8095.079999999999"/>
    <n v="3442.2484800000011"/>
  </r>
  <r>
    <x v="373"/>
    <x v="140"/>
    <d v="2025-05-18T00:00:00"/>
    <n v="2"/>
    <x v="1"/>
    <x v="6"/>
    <s v="Tokyo"/>
    <s v="Enterprise"/>
    <x v="4"/>
    <x v="9"/>
    <x v="3"/>
    <x v="373"/>
    <n v="1144.3800000000001"/>
    <n v="2755.04"/>
    <n v="2755.04"/>
    <n v="0.15"/>
    <n v="17"/>
    <n v="39810.328000000001"/>
    <n v="19454.460000000003"/>
    <n v="20355.867999999999"/>
    <n v="0.51132128326096682"/>
    <d v="2023-05-14T00:00:00"/>
    <s v="Q2-2025"/>
    <s v="Asia → Japan → Tokyo"/>
    <s v="High"/>
    <x v="25"/>
    <d v="2023-03-01T00:00:00"/>
    <n v="26"/>
    <n v="1"/>
    <n v="0"/>
    <m/>
    <m/>
    <n v="20.399999999999999"/>
    <n v="1316.037"/>
    <n v="0.15"/>
    <n v="47772.393599999996"/>
    <n v="26847.1548"/>
    <n v="20925.238799999996"/>
  </r>
  <r>
    <x v="374"/>
    <x v="300"/>
    <d v="2025-06-08T00:00:00"/>
    <n v="12"/>
    <x v="1"/>
    <x v="6"/>
    <s v="Osaka"/>
    <s v="Corporate"/>
    <x v="4"/>
    <x v="15"/>
    <x v="5"/>
    <x v="374"/>
    <n v="653.6"/>
    <n v="842.09"/>
    <n v="842.09"/>
    <n v="9.8000000000000004E-2"/>
    <n v="19"/>
    <n v="14431.738420000001"/>
    <n v="12418.4"/>
    <n v="2013.3384200000019"/>
    <n v="0.13950768517324622"/>
    <d v="2023-05-03T00:00:00"/>
    <s v="Q2-2025"/>
    <s v="Asia → Japan → Osaka"/>
    <s v="Medium"/>
    <x v="25"/>
    <d v="2023-03-01T00:00:00"/>
    <n v="26"/>
    <n v="0"/>
    <n v="0"/>
    <m/>
    <m/>
    <n v="22.8"/>
    <n v="751.64"/>
    <n v="9.8000000000000004E-2"/>
    <n v="17318.086104000002"/>
    <n v="17137.392"/>
    <n v="180.69410400000197"/>
  </r>
  <r>
    <x v="375"/>
    <x v="185"/>
    <d v="2025-06-24T00:00:00"/>
    <n v="15"/>
    <x v="1"/>
    <x v="6"/>
    <s v="Nagoya"/>
    <s v="Corporate"/>
    <x v="2"/>
    <x v="7"/>
    <x v="2"/>
    <x v="375"/>
    <n v="400.39"/>
    <n v="712.75"/>
    <n v="712.75"/>
    <n v="0.115"/>
    <n v="19"/>
    <n v="11984.891250000001"/>
    <n v="7607.41"/>
    <n v="4377.4812500000007"/>
    <n v="0.36524997671547504"/>
    <d v="2023-04-19T00:00:00"/>
    <s v="Q2-2025"/>
    <s v="Asia → Japan → Nagoya"/>
    <s v="Low"/>
    <x v="31"/>
    <d v="2023-03-01T00:00:00"/>
    <n v="27"/>
    <n v="0"/>
    <n v="0"/>
    <m/>
    <m/>
    <n v="22.8"/>
    <n v="460.44849999999997"/>
    <n v="0.115"/>
    <n v="14381.869500000001"/>
    <n v="10498.2258"/>
    <n v="3883.6437000000005"/>
  </r>
  <r>
    <x v="376"/>
    <x v="301"/>
    <d v="2025-08-19T00:00:00"/>
    <n v="27"/>
    <x v="1"/>
    <x v="6"/>
    <s v="Nagoya"/>
    <s v="Consumer"/>
    <x v="0"/>
    <x v="7"/>
    <x v="5"/>
    <x v="376"/>
    <n v="896.09"/>
    <n v="744.27"/>
    <n v="744.27"/>
    <n v="8.3000000000000004E-2"/>
    <n v="11"/>
    <n v="7507.4514899999995"/>
    <n v="9856.99"/>
    <n v="-2349.5385100000003"/>
    <n v="-0.31296086469950679"/>
    <d v="2023-03-25T00:00:00"/>
    <s v="Q3-2025"/>
    <s v="Asia → Japan → Nagoya"/>
    <s v="Low"/>
    <x v="26"/>
    <d v="2023-03-01T00:00:00"/>
    <n v="28"/>
    <n v="0"/>
    <n v="0"/>
    <m/>
    <m/>
    <n v="13.2"/>
    <n v="1030.5035"/>
    <n v="8.3000000000000004E-2"/>
    <n v="9008.9417880000001"/>
    <n v="13602.646199999999"/>
    <n v="-4593.7044119999991"/>
  </r>
  <r>
    <x v="377"/>
    <x v="302"/>
    <d v="2025-08-15T00:00:00"/>
    <n v="19"/>
    <x v="1"/>
    <x v="6"/>
    <s v="Tokyo"/>
    <s v="Small Business"/>
    <x v="0"/>
    <x v="9"/>
    <x v="1"/>
    <x v="377"/>
    <n v="275.43"/>
    <n v="608.36"/>
    <n v="608.36"/>
    <n v="0.25700000000000001"/>
    <n v="4"/>
    <n v="1808.04592"/>
    <n v="1101.72"/>
    <n v="706.32592"/>
    <n v="0.39065706915231446"/>
    <d v="2023-03-04T00:00:00"/>
    <s v="Q3-2025"/>
    <s v="Asia → Japan → Tokyo"/>
    <s v="Low"/>
    <x v="26"/>
    <d v="2023-03-01T00:00:00"/>
    <n v="28"/>
    <n v="0"/>
    <n v="1"/>
    <m/>
    <m/>
    <n v="4.8"/>
    <n v="316.74449999999996"/>
    <n v="0.25"/>
    <n v="2190.096"/>
    <n v="1520.3735999999997"/>
    <n v="669.72240000000033"/>
  </r>
  <r>
    <x v="378"/>
    <x v="303"/>
    <d v="2025-08-08T00:00:00"/>
    <n v="6"/>
    <x v="1"/>
    <x v="6"/>
    <s v="Osaka"/>
    <s v="Consumer"/>
    <x v="2"/>
    <x v="1"/>
    <x v="6"/>
    <x v="378"/>
    <n v="1225.94"/>
    <n v="1793.08"/>
    <n v="1793.08"/>
    <n v="0.13600000000000001"/>
    <n v="22"/>
    <n v="34082.864639999993"/>
    <n v="26970.68"/>
    <n v="7112.1846399999922"/>
    <n v="0.20867332353434462"/>
    <d v="2023-03-14T00:00:00"/>
    <s v="Q3-2025"/>
    <s v="Asia → Japan → Osaka"/>
    <s v="High"/>
    <x v="27"/>
    <d v="2023-03-01T00:00:00"/>
    <n v="29"/>
    <n v="1"/>
    <n v="0"/>
    <m/>
    <m/>
    <n v="26.4"/>
    <n v="1409.8309999999999"/>
    <n v="0.13600000000000001"/>
    <n v="40899.437568000001"/>
    <n v="37219.538399999998"/>
    <n v="3679.8991680000036"/>
  </r>
  <r>
    <x v="379"/>
    <x v="57"/>
    <d v="2025-09-16T00:00:00"/>
    <n v="8"/>
    <x v="1"/>
    <x v="6"/>
    <s v="Osaka"/>
    <s v="Corporate"/>
    <x v="3"/>
    <x v="5"/>
    <x v="2"/>
    <x v="379"/>
    <n v="1225.57"/>
    <n v="2705.57"/>
    <n v="2705.57"/>
    <n v="0.183"/>
    <n v="16"/>
    <n v="35367.211040000002"/>
    <n v="19609.12"/>
    <n v="15758.091040000003"/>
    <n v="0.44555650775453404"/>
    <d v="2023-01-19T00:00:00"/>
    <s v="Q3-2025"/>
    <s v="Asia → Japan → Osaka"/>
    <s v="High"/>
    <x v="28"/>
    <d v="2023-03-01T00:00:00"/>
    <n v="30"/>
    <n v="0"/>
    <n v="0"/>
    <m/>
    <m/>
    <n v="19.2"/>
    <n v="1409.4054999999998"/>
    <n v="0.183"/>
    <n v="42440.653248000002"/>
    <n v="27060.585599999995"/>
    <n v="15380.067648000007"/>
  </r>
  <r>
    <x v="380"/>
    <x v="304"/>
    <d v="2025-09-12T00:00:00"/>
    <n v="2"/>
    <x v="1"/>
    <x v="6"/>
    <s v="Tokyo"/>
    <s v="Consumer"/>
    <x v="1"/>
    <x v="13"/>
    <x v="1"/>
    <x v="380"/>
    <n v="1470.15"/>
    <n v="2593.7800000000002"/>
    <n v="2593.7800000000002"/>
    <n v="0.11"/>
    <n v="12"/>
    <n v="27701.570400000001"/>
    <n v="17641.800000000003"/>
    <n v="10059.770399999998"/>
    <n v="0.36314801849645306"/>
    <d v="2023-01-07T00:00:00"/>
    <s v="Q3-2025"/>
    <s v="Asia → Japan → Tokyo"/>
    <s v="High"/>
    <x v="28"/>
    <d v="2023-03-01T00:00:00"/>
    <n v="30"/>
    <n v="1"/>
    <n v="0"/>
    <m/>
    <m/>
    <n v="14.399999999999999"/>
    <n v="1690.6724999999999"/>
    <n v="0.11"/>
    <n v="33241.884480000001"/>
    <n v="24345.683999999997"/>
    <n v="8896.2004800000032"/>
  </r>
  <r>
    <x v="381"/>
    <x v="305"/>
    <d v="2025-09-30T00:00:00"/>
    <n v="18"/>
    <x v="1"/>
    <x v="6"/>
    <s v="Nagoya"/>
    <s v="Non-Profit"/>
    <x v="0"/>
    <x v="8"/>
    <x v="0"/>
    <x v="381"/>
    <n v="1212.99"/>
    <n v="1653.64"/>
    <n v="1653.64"/>
    <n v="0.107"/>
    <n v="8"/>
    <n v="11813.604160000001"/>
    <n v="9703.92"/>
    <n v="2109.6841600000007"/>
    <n v="0.17858090819931455"/>
    <d v="2023-01-12T00:00:00"/>
    <s v="Q3-2025"/>
    <s v="Asia → Japan → Nagoya"/>
    <s v="High"/>
    <x v="28"/>
    <d v="2023-03-01T00:00:00"/>
    <n v="30"/>
    <n v="0"/>
    <n v="0"/>
    <m/>
    <m/>
    <n v="9.6"/>
    <n v="1394.9385"/>
    <n v="0.107"/>
    <n v="14176.324992"/>
    <n v="13391.409599999999"/>
    <n v="784.91539200000079"/>
  </r>
  <r>
    <x v="382"/>
    <x v="306"/>
    <d v="2023-02-03T00:00:00"/>
    <n v="14"/>
    <x v="3"/>
    <x v="7"/>
    <s v="Kisumu"/>
    <s v="Corporate"/>
    <x v="4"/>
    <x v="3"/>
    <x v="4"/>
    <x v="382"/>
    <n v="884.36"/>
    <n v="1545.34"/>
    <n v="1545.34"/>
    <n v="0.24299999999999999"/>
    <n v="41"/>
    <n v="47962.717579999997"/>
    <n v="36258.76"/>
    <n v="11703.957579999995"/>
    <n v="0.24402198562827965"/>
    <d v="2025-08-25T00:00:00"/>
    <s v="Q1-2023"/>
    <s v="Africa → Kenya → Kisumu"/>
    <s v="Medium"/>
    <x v="0"/>
    <d v="2023-01-01T00:00:00"/>
    <n v="0"/>
    <n v="0"/>
    <n v="1"/>
    <m/>
    <m/>
    <n v="49.199999999999996"/>
    <n v="1017.0139999999999"/>
    <n v="0.24299999999999999"/>
    <n v="57555.261095999995"/>
    <n v="50037.08879999999"/>
    <n v="7518.1722960000043"/>
  </r>
  <r>
    <x v="383"/>
    <x v="307"/>
    <d v="2023-03-12T00:00:00"/>
    <n v="19"/>
    <x v="3"/>
    <x v="7"/>
    <s v="Nakuru"/>
    <s v="Corporate"/>
    <x v="1"/>
    <x v="8"/>
    <x v="4"/>
    <x v="383"/>
    <n v="352.65"/>
    <n v="485.86"/>
    <n v="485.86"/>
    <n v="4.1000000000000002E-2"/>
    <n v="6"/>
    <n v="2795.6384399999997"/>
    <n v="2115.8999999999996"/>
    <n v="679.73844000000008"/>
    <n v="0.24314247159943908"/>
    <d v="2025-08-11T00:00:00"/>
    <s v="Q1-2023"/>
    <s v="Africa → Kenya → Nakuru"/>
    <s v="Low"/>
    <x v="1"/>
    <d v="2023-01-01T00:00:00"/>
    <n v="1"/>
    <n v="0"/>
    <n v="0"/>
    <m/>
    <m/>
    <n v="7.1999999999999993"/>
    <n v="405.54749999999996"/>
    <n v="4.1000000000000002E-2"/>
    <n v="3354.7661279999993"/>
    <n v="2919.9419999999996"/>
    <n v="434.82412799999975"/>
  </r>
  <r>
    <x v="384"/>
    <x v="194"/>
    <d v="2023-03-25T00:00:00"/>
    <n v="25"/>
    <x v="3"/>
    <x v="7"/>
    <s v="Nairobi"/>
    <s v="Corporate"/>
    <x v="4"/>
    <x v="14"/>
    <x v="4"/>
    <x v="384"/>
    <n v="1460.76"/>
    <n v="-30.66"/>
    <n v="30.66"/>
    <n v="0.13100000000000001"/>
    <n v="12"/>
    <n v="319.72248000000002"/>
    <n v="17529.12"/>
    <n v="-17209.397519999999"/>
    <n v="-53.826047890032626"/>
    <d v="2025-07-23T00:00:00"/>
    <s v="Q1-2023"/>
    <s v="Africa → Kenya → Nairobi"/>
    <s v="Low"/>
    <x v="1"/>
    <d v="2023-01-01T00:00:00"/>
    <n v="1"/>
    <n v="0"/>
    <n v="0"/>
    <m/>
    <m/>
    <n v="14.399999999999999"/>
    <n v="1679.8739999999998"/>
    <n v="0.13100000000000001"/>
    <n v="383.66697599999998"/>
    <n v="24190.185599999993"/>
    <n v="-23806.518623999993"/>
  </r>
  <r>
    <x v="385"/>
    <x v="308"/>
    <d v="2023-04-01T00:00:00"/>
    <n v="25"/>
    <x v="3"/>
    <x v="7"/>
    <s v="Nairobi"/>
    <s v="Consumer"/>
    <x v="0"/>
    <x v="0"/>
    <x v="3"/>
    <x v="385"/>
    <n v="1024.0999999999999"/>
    <n v="918.19"/>
    <n v="918.19"/>
    <n v="0.189"/>
    <n v="10"/>
    <n v="7446.5209000000004"/>
    <n v="10241"/>
    <n v="-2794.4790999999996"/>
    <n v="-0.37527311579827827"/>
    <d v="2025-08-02T00:00:00"/>
    <s v="Q1-2023"/>
    <s v="Africa → Kenya → Nairobi"/>
    <s v="Medium"/>
    <x v="2"/>
    <d v="2023-01-01T00:00:00"/>
    <n v="2"/>
    <n v="0"/>
    <n v="0"/>
    <m/>
    <m/>
    <n v="12"/>
    <n v="1177.7149999999997"/>
    <n v="0.189"/>
    <n v="8935.8250800000005"/>
    <n v="14132.579999999996"/>
    <n v="-5196.7549199999958"/>
  </r>
  <r>
    <x v="386"/>
    <x v="309"/>
    <d v="2023-04-15T00:00:00"/>
    <n v="23"/>
    <x v="3"/>
    <x v="7"/>
    <s v="Mombasa"/>
    <s v="Small Business"/>
    <x v="4"/>
    <x v="5"/>
    <x v="5"/>
    <x v="386"/>
    <n v="875.36"/>
    <n v="1178.6199999999999"/>
    <n v="1178.6199999999999"/>
    <n v="0.151"/>
    <n v="53"/>
    <n v="53034.364139999991"/>
    <n v="46394.080000000002"/>
    <n v="6640.2841399999888"/>
    <n v="0.12520719815685888"/>
    <d v="2025-07-19T00:00:00"/>
    <s v="Q1-2023"/>
    <s v="Africa → Kenya → Mombasa"/>
    <s v="Medium"/>
    <x v="2"/>
    <d v="2023-01-01T00:00:00"/>
    <n v="2"/>
    <n v="0"/>
    <n v="0"/>
    <m/>
    <m/>
    <n v="63.599999999999994"/>
    <n v="1006.664"/>
    <n v="0.151"/>
    <n v="63641.23696799999"/>
    <n v="64023.830399999992"/>
    <n v="-382.59343200000148"/>
  </r>
  <r>
    <x v="387"/>
    <x v="310"/>
    <d v="2023-04-12T00:00:00"/>
    <n v="12"/>
    <x v="3"/>
    <x v="7"/>
    <s v="Mombasa"/>
    <s v="Small Business"/>
    <x v="1"/>
    <x v="5"/>
    <x v="2"/>
    <x v="387"/>
    <n v="304.22000000000003"/>
    <n v="393.31"/>
    <n v="393.31"/>
    <n v="0.26500000000000001"/>
    <n v="15"/>
    <n v="4336.2427499999994"/>
    <n v="4563.3"/>
    <n v="-227.05725000000075"/>
    <n v="-5.2362670424759034E-2"/>
    <d v="2025-06-24T00:00:00"/>
    <s v="Q1-2023"/>
    <s v="Africa → Kenya → Mombasa"/>
    <s v="Low"/>
    <x v="2"/>
    <d v="2023-01-01T00:00:00"/>
    <n v="2"/>
    <n v="0"/>
    <n v="1"/>
    <m/>
    <m/>
    <n v="18"/>
    <n v="349.85300000000001"/>
    <n v="0.25"/>
    <n v="5309.6849999999995"/>
    <n v="6297.3540000000003"/>
    <n v="-987.66900000000078"/>
  </r>
  <r>
    <x v="388"/>
    <x v="310"/>
    <d v="2023-04-05T00:00:00"/>
    <n v="5"/>
    <x v="3"/>
    <x v="7"/>
    <s v="Nakuru"/>
    <s v="Education"/>
    <x v="0"/>
    <x v="7"/>
    <x v="6"/>
    <x v="388"/>
    <n v="533.26"/>
    <n v="385.72"/>
    <n v="385.72"/>
    <n v="0"/>
    <n v="15"/>
    <n v="5785.8"/>
    <n v="7998.9"/>
    <n v="-2213.0999999999995"/>
    <n v="-0.38250544436378708"/>
    <d v="2025-07-09T00:00:00"/>
    <s v="Q1-2023"/>
    <s v="Africa → Kenya → Nakuru"/>
    <s v="Low"/>
    <x v="2"/>
    <d v="2023-01-01T00:00:00"/>
    <n v="2"/>
    <n v="1"/>
    <n v="0"/>
    <m/>
    <m/>
    <n v="18"/>
    <n v="613.24899999999991"/>
    <n v="0"/>
    <n v="6942.9600000000009"/>
    <n v="11038.481999999998"/>
    <n v="-4095.5219999999972"/>
  </r>
  <r>
    <x v="389"/>
    <x v="197"/>
    <d v="2023-05-14T00:00:00"/>
    <n v="30"/>
    <x v="3"/>
    <x v="7"/>
    <s v="Nakuru"/>
    <s v="Consumer"/>
    <x v="0"/>
    <x v="3"/>
    <x v="2"/>
    <x v="389"/>
    <n v="209.25"/>
    <n v="434.8"/>
    <n v="434.8"/>
    <n v="0"/>
    <n v="9"/>
    <n v="3913.2000000000003"/>
    <n v="1883.25"/>
    <n v="2029.9500000000003"/>
    <n v="0.51874425022999082"/>
    <d v="2025-06-24T00:00:00"/>
    <s v="Q2-2023"/>
    <s v="Africa → Kenya → Nakuru"/>
    <s v="Low"/>
    <x v="3"/>
    <d v="2023-01-01T00:00:00"/>
    <n v="3"/>
    <n v="0"/>
    <n v="0"/>
    <m/>
    <m/>
    <n v="10.799999999999999"/>
    <n v="240.63749999999999"/>
    <n v="0"/>
    <n v="4695.8399999999992"/>
    <n v="2598.8849999999998"/>
    <n v="2096.9549999999995"/>
  </r>
  <r>
    <x v="390"/>
    <x v="266"/>
    <d v="2023-04-23T00:00:00"/>
    <n v="1"/>
    <x v="3"/>
    <x v="7"/>
    <s v="Nairobi"/>
    <s v="Small Business"/>
    <x v="2"/>
    <x v="6"/>
    <x v="6"/>
    <x v="390"/>
    <n v="756.51"/>
    <n v="850.8"/>
    <n v="850.8"/>
    <n v="7.3999999999999996E-2"/>
    <n v="9"/>
    <n v="7090.5672000000004"/>
    <n v="6808.59"/>
    <n v="281.97720000000027"/>
    <n v="3.9767932810791252E-2"/>
    <d v="2025-06-09T00:00:00"/>
    <s v="Q2-2023"/>
    <s v="Africa → Kenya → Nairobi"/>
    <s v="Medium"/>
    <x v="3"/>
    <d v="2023-01-01T00:00:00"/>
    <n v="3"/>
    <n v="1"/>
    <n v="0"/>
    <m/>
    <m/>
    <n v="10.799999999999999"/>
    <n v="869.98649999999998"/>
    <n v="7.3999999999999996E-2"/>
    <n v="8508.6806400000005"/>
    <n v="9395.8541999999979"/>
    <n v="-887.17355999999745"/>
  </r>
  <r>
    <x v="391"/>
    <x v="106"/>
    <d v="2023-06-07T00:00:00"/>
    <n v="27"/>
    <x v="3"/>
    <x v="7"/>
    <s v="Mombasa"/>
    <s v="Corporate"/>
    <x v="1"/>
    <x v="9"/>
    <x v="2"/>
    <x v="391"/>
    <n v="12.85"/>
    <n v="15.41"/>
    <n v="15.41"/>
    <n v="0.13700000000000001"/>
    <n v="39"/>
    <n v="518.65436999999997"/>
    <n v="501.15"/>
    <n v="17.504369999999994"/>
    <n v="3.3749585489851353E-2"/>
    <d v="2025-04-27T00:00:00"/>
    <s v="Q2-2023"/>
    <s v="Africa → Kenya → Mombasa"/>
    <s v="Low"/>
    <x v="4"/>
    <d v="2023-01-01T00:00:00"/>
    <n v="4"/>
    <n v="0"/>
    <n v="0"/>
    <m/>
    <m/>
    <n v="46.8"/>
    <n v="14.777499999999998"/>
    <n v="0.13700000000000001"/>
    <n v="622.38524399999994"/>
    <n v="691.58699999999988"/>
    <n v="-69.201755999999932"/>
  </r>
  <r>
    <x v="392"/>
    <x v="311"/>
    <d v="2023-05-22T00:00:00"/>
    <n v="8"/>
    <x v="3"/>
    <x v="7"/>
    <s v="Mombasa"/>
    <s v="Small Business"/>
    <x v="3"/>
    <x v="8"/>
    <x v="3"/>
    <x v="392"/>
    <n v="432.01"/>
    <n v="913.78"/>
    <n v="913.78"/>
    <n v="4.9000000000000002E-2"/>
    <n v="12"/>
    <n v="10428.057360000001"/>
    <n v="5184.12"/>
    <n v="5243.9373600000008"/>
    <n v="0.50286809699711899"/>
    <d v="2025-05-19T00:00:00"/>
    <s v="Q2-2023"/>
    <s v="Africa → Kenya → Mombasa"/>
    <s v="Medium"/>
    <x v="4"/>
    <d v="2023-01-01T00:00:00"/>
    <n v="4"/>
    <n v="0"/>
    <n v="0"/>
    <m/>
    <m/>
    <n v="14.399999999999999"/>
    <n v="496.81149999999997"/>
    <n v="4.9000000000000002E-2"/>
    <n v="12513.668831999998"/>
    <n v="7154.0855999999985"/>
    <n v="5359.583231999999"/>
  </r>
  <r>
    <x v="393"/>
    <x v="312"/>
    <d v="2023-06-18T00:00:00"/>
    <n v="8"/>
    <x v="3"/>
    <x v="7"/>
    <s v="Nakuru"/>
    <s v="Enterprise"/>
    <x v="2"/>
    <x v="15"/>
    <x v="2"/>
    <x v="393"/>
    <n v="894.23"/>
    <n v="1421.55"/>
    <n v="1421.55"/>
    <n v="0.109"/>
    <n v="3"/>
    <n v="3799.8031499999997"/>
    <n v="2682.69"/>
    <n v="1117.1131499999997"/>
    <n v="0.29399237431549574"/>
    <d v="2025-04-17T00:00:00"/>
    <s v="Q2-2023"/>
    <s v="Africa → Kenya → Nakuru"/>
    <s v="Medium"/>
    <x v="5"/>
    <d v="2023-01-01T00:00:00"/>
    <n v="5"/>
    <n v="0"/>
    <n v="0"/>
    <m/>
    <m/>
    <n v="3.5999999999999996"/>
    <n v="1028.3644999999999"/>
    <n v="0.109"/>
    <n v="4559.7637799999993"/>
    <n v="3702.1121999999991"/>
    <n v="857.65158000000019"/>
  </r>
  <r>
    <x v="394"/>
    <x v="313"/>
    <d v="2023-07-09T00:00:00"/>
    <n v="1"/>
    <x v="3"/>
    <x v="7"/>
    <s v="Nairobi"/>
    <s v="Consumer"/>
    <x v="1"/>
    <x v="0"/>
    <x v="6"/>
    <x v="394"/>
    <n v="1258.72"/>
    <n v="2797.41"/>
    <n v="2797.41"/>
    <n v="0"/>
    <n v="7"/>
    <n v="19581.87"/>
    <n v="8811.0400000000009"/>
    <n v="10770.829999999998"/>
    <n v="0.55004093071805704"/>
    <d v="2025-03-23T00:00:00"/>
    <s v="Q3-2023"/>
    <s v="Africa → Kenya → Nairobi"/>
    <s v="High"/>
    <x v="6"/>
    <d v="2023-01-01T00:00:00"/>
    <n v="6"/>
    <n v="1"/>
    <n v="0"/>
    <m/>
    <m/>
    <n v="8.4"/>
    <n v="1447.528"/>
    <n v="0"/>
    <n v="23498.243999999999"/>
    <n v="12159.235200000001"/>
    <n v="11339.008799999998"/>
  </r>
  <r>
    <x v="395"/>
    <x v="66"/>
    <d v="2023-08-19T00:00:00"/>
    <n v="26"/>
    <x v="3"/>
    <x v="7"/>
    <s v="Nairobi"/>
    <s v="Enterprise"/>
    <x v="3"/>
    <x v="3"/>
    <x v="5"/>
    <x v="395"/>
    <n v="661.45"/>
    <n v="1634.86"/>
    <n v="1634.86"/>
    <n v="0.56499999999999995"/>
    <n v="24"/>
    <n v="17067.938400000003"/>
    <n v="15874.800000000001"/>
    <n v="1193.1384000000016"/>
    <n v="6.9905244092045793E-2"/>
    <d v="2025-02-21T00:00:00"/>
    <s v="Q3-2023"/>
    <s v="Africa → Kenya → Nairobi"/>
    <s v="Medium"/>
    <x v="6"/>
    <d v="2023-01-01T00:00:00"/>
    <n v="6"/>
    <n v="0"/>
    <n v="1"/>
    <m/>
    <m/>
    <n v="28.799999999999997"/>
    <n v="760.66750000000002"/>
    <n v="0.25"/>
    <n v="35312.975999999995"/>
    <n v="21907.223999999998"/>
    <n v="13405.751999999997"/>
  </r>
  <r>
    <x v="396"/>
    <x v="314"/>
    <d v="2023-08-25T00:00:00"/>
    <n v="10"/>
    <x v="3"/>
    <x v="7"/>
    <s v="Nairobi"/>
    <s v="Small Business"/>
    <x v="4"/>
    <x v="1"/>
    <x v="2"/>
    <x v="396"/>
    <n v="91.85"/>
    <n v="111.29"/>
    <n v="111.29"/>
    <n v="0"/>
    <n v="6"/>
    <n v="667.74"/>
    <n v="551.09999999999991"/>
    <n v="116.6400000000001"/>
    <n v="0.17467876718483258"/>
    <d v="2025-02-15T00:00:00"/>
    <s v="Q3-2023"/>
    <s v="Africa → Kenya → Nairobi"/>
    <s v="Low"/>
    <x v="7"/>
    <d v="2023-01-01T00:00:00"/>
    <n v="7"/>
    <n v="0"/>
    <n v="0"/>
    <m/>
    <m/>
    <n v="7.1999999999999993"/>
    <n v="105.62749999999998"/>
    <n v="0"/>
    <n v="801.28800000000001"/>
    <n v="760.5179999999998"/>
    <n v="40.770000000000209"/>
  </r>
  <r>
    <x v="397"/>
    <x v="71"/>
    <d v="2023-09-14T00:00:00"/>
    <n v="6"/>
    <x v="3"/>
    <x v="7"/>
    <s v="Nakuru"/>
    <s v="Education"/>
    <x v="2"/>
    <x v="14"/>
    <x v="5"/>
    <x v="397"/>
    <n v="251.03"/>
    <n v="411.48"/>
    <n v="411.48"/>
    <n v="0.16500000000000001"/>
    <n v="3"/>
    <n v="1030.7574"/>
    <n v="753.09"/>
    <n v="277.66739999999993"/>
    <n v="0.26938191275658069"/>
    <d v="2024-12-17T00:00:00"/>
    <s v="Q3-2023"/>
    <s v="Africa → Kenya → Nakuru"/>
    <s v="Low"/>
    <x v="8"/>
    <d v="2023-01-01T00:00:00"/>
    <n v="8"/>
    <n v="1"/>
    <n v="0"/>
    <m/>
    <m/>
    <n v="3.5999999999999996"/>
    <n v="288.68449999999996"/>
    <n v="0.16500000000000001"/>
    <n v="1236.90888"/>
    <n v="1039.2641999999998"/>
    <n v="197.64468000000011"/>
  </r>
  <r>
    <x v="398"/>
    <x v="315"/>
    <d v="2023-10-20T00:00:00"/>
    <n v="2"/>
    <x v="3"/>
    <x v="7"/>
    <s v="Kisumu"/>
    <s v="Consumer"/>
    <x v="4"/>
    <x v="9"/>
    <x v="2"/>
    <x v="398"/>
    <n v="774.12"/>
    <n v="908.3"/>
    <n v="908.3"/>
    <n v="0"/>
    <n v="30"/>
    <n v="27249"/>
    <n v="23223.599999999999"/>
    <n v="4025.4000000000015"/>
    <n v="0.14772652207420461"/>
    <d v="2024-12-15T00:00:00"/>
    <s v="Q4-2023"/>
    <s v="Africa → Kenya → Kisumu"/>
    <s v="Medium"/>
    <x v="9"/>
    <d v="2023-01-01T00:00:00"/>
    <n v="9"/>
    <n v="1"/>
    <n v="0"/>
    <m/>
    <m/>
    <n v="36"/>
    <n v="890.23799999999994"/>
    <n v="0"/>
    <n v="32698.799999999999"/>
    <n v="32048.567999999999"/>
    <n v="650.23199999999997"/>
  </r>
  <r>
    <x v="399"/>
    <x v="316"/>
    <d v="2023-11-02T00:00:00"/>
    <n v="2"/>
    <x v="3"/>
    <x v="7"/>
    <s v="Kisumu"/>
    <s v="Education"/>
    <x v="4"/>
    <x v="13"/>
    <x v="5"/>
    <x v="399"/>
    <n v="867.89"/>
    <n v="1349.94"/>
    <n v="1349.94"/>
    <n v="0.184"/>
    <n v="10"/>
    <n v="11015.510400000003"/>
    <n v="8678.9"/>
    <n v="2336.6104000000032"/>
    <n v="0.21212003031652557"/>
    <d v="2024-11-30T00:00:00"/>
    <s v="Q4-2023"/>
    <s v="Africa → Kenya → Kisumu"/>
    <s v="Medium"/>
    <x v="9"/>
    <d v="2023-01-01T00:00:00"/>
    <n v="9"/>
    <n v="1"/>
    <n v="0"/>
    <m/>
    <m/>
    <n v="12"/>
    <n v="998.07349999999985"/>
    <n v="0.184"/>
    <n v="13218.612480000002"/>
    <n v="11976.881999999998"/>
    <n v="1241.7304800000038"/>
  </r>
  <r>
    <x v="400"/>
    <x v="317"/>
    <d v="2024-01-20T00:00:00"/>
    <n v="22"/>
    <x v="3"/>
    <x v="7"/>
    <s v="Kisumu"/>
    <s v="Corporate"/>
    <x v="2"/>
    <x v="11"/>
    <x v="2"/>
    <x v="400"/>
    <n v="1395.49"/>
    <n v="1679.42"/>
    <n v="1679.42"/>
    <n v="0.20300000000000001"/>
    <n v="12"/>
    <n v="16061.972879999999"/>
    <n v="16745.88"/>
    <n v="-683.90712000000167"/>
    <n v="-4.2579272490964493E-2"/>
    <d v="2024-10-13T00:00:00"/>
    <s v="Q4-2023"/>
    <s v="Africa → Kenya → Kisumu"/>
    <s v="High"/>
    <x v="11"/>
    <d v="2023-01-01T00:00:00"/>
    <n v="11"/>
    <n v="0"/>
    <n v="1"/>
    <m/>
    <m/>
    <n v="14.399999999999999"/>
    <n v="1604.8135"/>
    <n v="0.20300000000000001"/>
    <n v="19274.367455999996"/>
    <n v="23109.314399999996"/>
    <n v="-3834.9469439999993"/>
  </r>
  <r>
    <x v="401"/>
    <x v="318"/>
    <d v="2024-02-28T00:00:00"/>
    <n v="22"/>
    <x v="3"/>
    <x v="7"/>
    <s v="Kisumu"/>
    <s v="Non-Profit"/>
    <x v="1"/>
    <x v="12"/>
    <x v="0"/>
    <x v="401"/>
    <n v="834.93"/>
    <n v="1588.53"/>
    <n v="1588.53"/>
    <n v="0.126"/>
    <n v="6"/>
    <n v="8330.2513199999994"/>
    <n v="5009.58"/>
    <n v="3320.6713199999995"/>
    <n v="0.39862798761274343"/>
    <d v="2024-08-10T00:00:00"/>
    <s v="Q1-2024"/>
    <s v="Africa → Kenya → Kisumu"/>
    <s v="Medium"/>
    <x v="13"/>
    <d v="2023-01-01T00:00:00"/>
    <n v="13"/>
    <n v="0"/>
    <n v="0"/>
    <m/>
    <m/>
    <n v="7.1999999999999993"/>
    <n v="960.16949999999986"/>
    <n v="0.126"/>
    <n v="9996.3015839999989"/>
    <n v="6913.2203999999983"/>
    <n v="3083.0811840000006"/>
  </r>
  <r>
    <x v="402"/>
    <x v="319"/>
    <d v="2024-02-09T00:00:00"/>
    <n v="1"/>
    <x v="3"/>
    <x v="7"/>
    <s v="Mombasa"/>
    <s v="Corporate"/>
    <x v="2"/>
    <x v="8"/>
    <x v="1"/>
    <x v="402"/>
    <n v="1233.52"/>
    <n v="1543.76"/>
    <n v="1543.76"/>
    <n v="0.126"/>
    <n v="13"/>
    <n v="17540.201120000002"/>
    <n v="16035.76"/>
    <n v="1504.4411200000013"/>
    <n v="8.5771030201277493E-2"/>
    <d v="2024-08-30T00:00:00"/>
    <s v="Q1-2024"/>
    <s v="Africa → Kenya → Mombasa"/>
    <s v="Medium"/>
    <x v="13"/>
    <d v="2023-01-01T00:00:00"/>
    <n v="13"/>
    <n v="1"/>
    <n v="0"/>
    <m/>
    <m/>
    <n v="15.6"/>
    <n v="1418.5479999999998"/>
    <n v="0.126"/>
    <n v="21048.241343999998"/>
    <n v="22129.348799999996"/>
    <n v="-1081.1074559999979"/>
  </r>
  <r>
    <x v="403"/>
    <x v="320"/>
    <d v="2024-03-03T00:00:00"/>
    <n v="21"/>
    <x v="3"/>
    <x v="7"/>
    <s v="Kisumu"/>
    <s v="Enterprise"/>
    <x v="1"/>
    <x v="7"/>
    <x v="2"/>
    <x v="403"/>
    <n v="516.86"/>
    <n v="852.54"/>
    <n v="852.54"/>
    <n v="5.0999999999999997E-2"/>
    <n v="14"/>
    <n v="11326.846439999999"/>
    <n v="7236.04"/>
    <n v="4090.8064399999994"/>
    <n v="0.36116022775355994"/>
    <d v="2024-09-04T00:00:00"/>
    <s v="Q1-2024"/>
    <s v="Africa → Kenya → Kisumu"/>
    <s v="Medium"/>
    <x v="13"/>
    <d v="2023-01-01T00:00:00"/>
    <n v="13"/>
    <n v="0"/>
    <n v="0"/>
    <m/>
    <m/>
    <n v="16.8"/>
    <n v="594.38900000000001"/>
    <n v="5.0999999999999997E-2"/>
    <n v="13592.215727999999"/>
    <n v="9985.735200000001"/>
    <n v="3606.4805279999982"/>
  </r>
  <r>
    <x v="404"/>
    <x v="24"/>
    <d v="2024-03-04T00:00:00"/>
    <n v="15"/>
    <x v="3"/>
    <x v="7"/>
    <s v="Kisumu"/>
    <s v="Education"/>
    <x v="2"/>
    <x v="12"/>
    <x v="3"/>
    <x v="404"/>
    <n v="928.68"/>
    <n v="2145.17"/>
    <n v="2145.17"/>
    <n v="0.13600000000000001"/>
    <n v="16"/>
    <n v="29654.83008"/>
    <n v="14858.88"/>
    <n v="14795.950080000001"/>
    <n v="0.49893896003062177"/>
    <d v="2024-07-28T00:00:00"/>
    <s v="Q1-2024"/>
    <s v="Africa → Kenya → Kisumu"/>
    <s v="High"/>
    <x v="13"/>
    <d v="2023-01-01T00:00:00"/>
    <n v="13"/>
    <n v="0"/>
    <n v="0"/>
    <m/>
    <m/>
    <n v="19.2"/>
    <n v="1067.982"/>
    <n v="0.13600000000000001"/>
    <n v="35585.796096000005"/>
    <n v="20505.254399999998"/>
    <n v="15080.541696000008"/>
  </r>
  <r>
    <x v="405"/>
    <x v="321"/>
    <d v="2024-04-06T00:00:00"/>
    <n v="26"/>
    <x v="3"/>
    <x v="7"/>
    <s v="Kisumu"/>
    <s v="Corporate"/>
    <x v="4"/>
    <x v="5"/>
    <x v="1"/>
    <x v="405"/>
    <n v="279.24"/>
    <n v="608.9"/>
    <n v="608.9"/>
    <n v="0.112"/>
    <n v="9"/>
    <n v="4866.3287999999993"/>
    <n v="2513.16"/>
    <n v="2353.1687999999995"/>
    <n v="0.48356140670149533"/>
    <d v="2024-06-30T00:00:00"/>
    <s v="Q1-2024"/>
    <s v="Africa → Kenya → Kisumu"/>
    <s v="Low"/>
    <x v="29"/>
    <d v="2023-01-01T00:00:00"/>
    <n v="14"/>
    <n v="0"/>
    <n v="0"/>
    <m/>
    <m/>
    <n v="10.799999999999999"/>
    <n v="321.12599999999998"/>
    <n v="0.112"/>
    <n v="5839.5945599999995"/>
    <n v="3468.1607999999992"/>
    <n v="2371.4337600000003"/>
  </r>
  <r>
    <x v="406"/>
    <x v="322"/>
    <d v="2024-04-27T00:00:00"/>
    <n v="11"/>
    <x v="3"/>
    <x v="7"/>
    <s v="Nakuru"/>
    <s v="Enterprise"/>
    <x v="1"/>
    <x v="0"/>
    <x v="3"/>
    <x v="406"/>
    <n v="401.3"/>
    <n v="826.47"/>
    <n v="826.47"/>
    <n v="0.22500000000000001"/>
    <n v="13"/>
    <n v="8326.6852500000005"/>
    <n v="5216.9000000000005"/>
    <n v="3109.7852499999999"/>
    <n v="0.37347217489696755"/>
    <d v="2024-06-05T00:00:00"/>
    <s v="Q2-2024"/>
    <s v="Africa → Kenya → Nakuru"/>
    <s v="Medium"/>
    <x v="14"/>
    <d v="2023-01-01T00:00:00"/>
    <n v="15"/>
    <n v="0"/>
    <n v="1"/>
    <m/>
    <m/>
    <n v="15.6"/>
    <n v="461.495"/>
    <n v="0.22500000000000001"/>
    <n v="9992.0223000000005"/>
    <n v="7199.3220000000001"/>
    <n v="2792.7003000000004"/>
  </r>
  <r>
    <x v="407"/>
    <x v="323"/>
    <d v="2024-05-10T00:00:00"/>
    <n v="16"/>
    <x v="3"/>
    <x v="7"/>
    <s v="Kisumu"/>
    <s v="Non-Profit"/>
    <x v="1"/>
    <x v="1"/>
    <x v="0"/>
    <x v="407"/>
    <n v="513.30999999999995"/>
    <n v="1186.26"/>
    <n v="1186.26"/>
    <n v="9.4E-2"/>
    <n v="15"/>
    <n v="16121.273400000002"/>
    <n v="7699.65"/>
    <n v="8421.6234000000022"/>
    <n v="0.52239194702820446"/>
    <d v="2024-05-27T00:00:00"/>
    <s v="Q2-2024"/>
    <s v="Africa → Kenya → Kisumu"/>
    <s v="Medium"/>
    <x v="14"/>
    <d v="2023-01-01T00:00:00"/>
    <n v="15"/>
    <n v="0"/>
    <n v="0"/>
    <m/>
    <m/>
    <n v="18"/>
    <n v="590.30649999999991"/>
    <n v="9.4E-2"/>
    <n v="19345.52808"/>
    <n v="10625.516999999998"/>
    <n v="8720.011080000002"/>
  </r>
  <r>
    <x v="408"/>
    <x v="166"/>
    <d v="2024-05-22T00:00:00"/>
    <n v="4"/>
    <x v="3"/>
    <x v="7"/>
    <s v="Nairobi"/>
    <s v="Corporate"/>
    <x v="2"/>
    <x v="15"/>
    <x v="5"/>
    <x v="408"/>
    <n v="857.42"/>
    <n v="1658.92"/>
    <n v="1658.92"/>
    <n v="0.122"/>
    <n v="9"/>
    <n v="13108.78584"/>
    <n v="7716.78"/>
    <n v="5392.0058400000007"/>
    <n v="0.41132763215544305"/>
    <d v="2024-05-04T00:00:00"/>
    <s v="Q2-2024"/>
    <s v="Africa → Kenya → Nairobi"/>
    <s v="High"/>
    <x v="15"/>
    <d v="2023-01-01T00:00:00"/>
    <n v="16"/>
    <n v="1"/>
    <n v="0"/>
    <m/>
    <m/>
    <n v="10.799999999999999"/>
    <n v="986.0329999999999"/>
    <n v="0.122"/>
    <n v="15730.543007999999"/>
    <n v="10649.156399999998"/>
    <n v="5081.3866080000007"/>
  </r>
  <r>
    <x v="409"/>
    <x v="324"/>
    <d v="2024-06-15T00:00:00"/>
    <n v="13"/>
    <x v="3"/>
    <x v="7"/>
    <s v="Mombasa"/>
    <s v="Education"/>
    <x v="1"/>
    <x v="13"/>
    <x v="2"/>
    <x v="409"/>
    <n v="1295.18"/>
    <n v="3024.03"/>
    <n v="3024.03"/>
    <n v="0.192"/>
    <n v="8"/>
    <n v="19547.329920000004"/>
    <n v="10361.44"/>
    <n v="9185.8899200000033"/>
    <n v="0.46993067378483178"/>
    <d v="2024-05-10T00:00:00"/>
    <s v="Q2-2024"/>
    <s v="Africa → Kenya → Mombasa"/>
    <s v="High"/>
    <x v="16"/>
    <d v="2023-01-01T00:00:00"/>
    <n v="17"/>
    <n v="0"/>
    <n v="0"/>
    <m/>
    <m/>
    <n v="9.6"/>
    <n v="1489.4569999999999"/>
    <n v="0.192"/>
    <n v="23456.795904000002"/>
    <n v="14298.787199999999"/>
    <n v="9158.0087040000035"/>
  </r>
  <r>
    <x v="410"/>
    <x v="324"/>
    <d v="2024-06-08T00:00:00"/>
    <n v="6"/>
    <x v="3"/>
    <x v="7"/>
    <s v="Kisumu"/>
    <s v="Consumer"/>
    <x v="0"/>
    <x v="4"/>
    <x v="5"/>
    <x v="410"/>
    <n v="292.94"/>
    <n v="356.55"/>
    <n v="356.55"/>
    <n v="0.22900000000000001"/>
    <n v="2"/>
    <n v="549.80010000000004"/>
    <n v="585.88"/>
    <n v="-36.079899999999952"/>
    <n v="-6.5623669402751925E-2"/>
    <d v="2024-05-01T00:00:00"/>
    <s v="Q2-2024"/>
    <s v="Africa → Kenya → Kisumu"/>
    <s v="Low"/>
    <x v="16"/>
    <d v="2023-01-01T00:00:00"/>
    <n v="17"/>
    <n v="1"/>
    <n v="1"/>
    <m/>
    <m/>
    <n v="2.4"/>
    <n v="336.88099999999997"/>
    <n v="0.22900000000000001"/>
    <n v="659.76012000000003"/>
    <n v="808.51439999999991"/>
    <n v="-148.75427999999988"/>
  </r>
  <r>
    <x v="411"/>
    <x v="325"/>
    <d v="2024-06-23T00:00:00"/>
    <n v="18"/>
    <x v="3"/>
    <x v="7"/>
    <s v="Nairobi"/>
    <s v="Consumer"/>
    <x v="3"/>
    <x v="0"/>
    <x v="6"/>
    <x v="411"/>
    <n v="1208.74"/>
    <n v="1594.78"/>
    <n v="1594.78"/>
    <n v="5.8999999999999997E-2"/>
    <n v="39"/>
    <n v="58526.83122"/>
    <n v="47140.86"/>
    <n v="11385.971219999999"/>
    <n v="0.1945427589817838"/>
    <d v="2024-04-18T00:00:00"/>
    <s v="Q2-2024"/>
    <s v="Africa → Kenya → Nairobi"/>
    <s v="Medium"/>
    <x v="16"/>
    <d v="2023-01-01T00:00:00"/>
    <n v="17"/>
    <n v="0"/>
    <n v="0"/>
    <m/>
    <m/>
    <n v="46.8"/>
    <n v="1390.0509999999999"/>
    <n v="5.8999999999999997E-2"/>
    <n v="70232.197463999997"/>
    <n v="65054.386799999993"/>
    <n v="5177.8106640000042"/>
  </r>
  <r>
    <x v="412"/>
    <x v="326"/>
    <d v="2024-06-20T00:00:00"/>
    <n v="1"/>
    <x v="3"/>
    <x v="7"/>
    <s v="Kisumu"/>
    <s v="Small Business"/>
    <x v="2"/>
    <x v="9"/>
    <x v="6"/>
    <x v="412"/>
    <n v="231.63"/>
    <n v="537.39"/>
    <n v="537.39"/>
    <n v="0.08"/>
    <n v="12"/>
    <n v="5932.7856000000002"/>
    <n v="2779.56"/>
    <n v="3153.2256000000002"/>
    <n v="0.53149158129024587"/>
    <d v="2024-03-16T00:00:00"/>
    <s v="Q2-2024"/>
    <s v="Africa → Kenya → Kisumu"/>
    <s v="Low"/>
    <x v="16"/>
    <d v="2023-01-01T00:00:00"/>
    <n v="17"/>
    <n v="1"/>
    <n v="0"/>
    <m/>
    <m/>
    <n v="14.399999999999999"/>
    <n v="266.37449999999995"/>
    <n v="0.08"/>
    <n v="7119.3427199999996"/>
    <n v="3835.7927999999988"/>
    <n v="3283.5499200000008"/>
  </r>
  <r>
    <x v="413"/>
    <x v="327"/>
    <d v="2024-06-30T00:00:00"/>
    <n v="5"/>
    <x v="3"/>
    <x v="7"/>
    <s v="Kisumu"/>
    <s v="Education"/>
    <x v="2"/>
    <x v="3"/>
    <x v="4"/>
    <x v="413"/>
    <n v="1323.55"/>
    <n v="3230.35"/>
    <n v="3230.35"/>
    <n v="2.1999999999999999E-2"/>
    <n v="26"/>
    <n v="82141.339799999987"/>
    <n v="34412.299999999996"/>
    <n v="47729.039799999991"/>
    <n v="0.58105991351263542"/>
    <d v="2024-03-15T00:00:00"/>
    <s v="Q2-2024"/>
    <s v="Africa → Kenya → Kisumu"/>
    <s v="High"/>
    <x v="16"/>
    <d v="2023-01-01T00:00:00"/>
    <n v="17"/>
    <n v="1"/>
    <n v="0"/>
    <m/>
    <m/>
    <n v="31.2"/>
    <n v="1522.0824999999998"/>
    <n v="2.1999999999999999E-2"/>
    <n v="98569.607759999999"/>
    <n v="47488.973999999995"/>
    <n v="51080.633760000004"/>
  </r>
  <r>
    <x v="414"/>
    <x v="30"/>
    <d v="2024-07-21T00:00:00"/>
    <n v="21"/>
    <x v="3"/>
    <x v="7"/>
    <s v="Kisumu"/>
    <s v="Small Business"/>
    <x v="4"/>
    <x v="12"/>
    <x v="6"/>
    <x v="414"/>
    <n v="753.43"/>
    <n v="1787.2"/>
    <n v="1787.2"/>
    <n v="7.2999999999999995E-2"/>
    <n v="9"/>
    <n v="14910.609600000002"/>
    <n v="6780.87"/>
    <n v="8129.7396000000017"/>
    <n v="0.54523187301476939"/>
    <d v="2024-03-13T00:00:00"/>
    <s v="Q2-2024"/>
    <s v="Africa → Kenya → Kisumu"/>
    <s v="High"/>
    <x v="16"/>
    <d v="2023-01-01T00:00:00"/>
    <n v="17"/>
    <n v="0"/>
    <n v="0"/>
    <m/>
    <m/>
    <n v="10.799999999999999"/>
    <n v="866.44449999999983"/>
    <n v="7.2999999999999995E-2"/>
    <n v="17892.731520000001"/>
    <n v="9357.6005999999979"/>
    <n v="8535.1309200000032"/>
  </r>
  <r>
    <x v="415"/>
    <x v="328"/>
    <d v="2024-07-19T00:00:00"/>
    <n v="0"/>
    <x v="3"/>
    <x v="7"/>
    <s v="Kisumu"/>
    <s v="Small Business"/>
    <x v="4"/>
    <x v="4"/>
    <x v="2"/>
    <x v="415"/>
    <n v="857.24"/>
    <n v="758.23"/>
    <n v="758.23"/>
    <n v="0.125"/>
    <n v="6"/>
    <n v="3980.7075"/>
    <n v="5143.4400000000005"/>
    <n v="-1162.7325000000005"/>
    <n v="-0.29209192084572921"/>
    <d v="2024-03-06T00:00:00"/>
    <s v="Q3-2024"/>
    <s v="Africa → Kenya → Kisumu"/>
    <s v="Low"/>
    <x v="17"/>
    <d v="2023-01-01T00:00:00"/>
    <n v="18"/>
    <n v="1"/>
    <n v="0"/>
    <m/>
    <m/>
    <n v="7.1999999999999993"/>
    <n v="985.82599999999991"/>
    <n v="0.125"/>
    <n v="4776.8489999999993"/>
    <n v="7097.9471999999987"/>
    <n v="-2321.0981999999995"/>
  </r>
  <r>
    <x v="416"/>
    <x v="168"/>
    <d v="2024-07-25T00:00:00"/>
    <n v="1"/>
    <x v="3"/>
    <x v="7"/>
    <s v="Mombasa"/>
    <s v="Non-Profit"/>
    <x v="2"/>
    <x v="9"/>
    <x v="6"/>
    <x v="416"/>
    <n v="1494.4"/>
    <n v="3661.07"/>
    <n v="3661.07"/>
    <n v="7.1999999999999995E-2"/>
    <n v="7"/>
    <n v="23782.310720000001"/>
    <n v="10460.800000000001"/>
    <n v="13321.51072"/>
    <n v="0.56014366630897339"/>
    <d v="2024-03-07T00:00:00"/>
    <s v="Q3-2024"/>
    <s v="Africa → Kenya → Mombasa"/>
    <s v="High"/>
    <x v="17"/>
    <d v="2023-01-01T00:00:00"/>
    <n v="18"/>
    <n v="1"/>
    <n v="0"/>
    <m/>
    <m/>
    <n v="8.4"/>
    <n v="1718.56"/>
    <n v="7.1999999999999995E-2"/>
    <n v="28538.772864000002"/>
    <n v="14435.904"/>
    <n v="14102.868864000002"/>
  </r>
  <r>
    <x v="417"/>
    <x v="329"/>
    <d v="2024-08-09T00:00:00"/>
    <n v="6"/>
    <x v="3"/>
    <x v="7"/>
    <s v="Mombasa"/>
    <s v="Consumer"/>
    <x v="0"/>
    <x v="15"/>
    <x v="6"/>
    <x v="417"/>
    <n v="643.21"/>
    <n v="1112.81"/>
    <n v="1112.81"/>
    <n v="0.14099999999999999"/>
    <n v="4"/>
    <n v="3823.6151599999998"/>
    <n v="2572.84"/>
    <n v="1250.7751599999997"/>
    <n v="0.32711847496702562"/>
    <d v="2024-03-04T00:00:00"/>
    <s v="Q3-2024"/>
    <s v="Africa → Kenya → Mombasa"/>
    <s v="Medium"/>
    <x v="18"/>
    <d v="2023-01-01T00:00:00"/>
    <n v="19"/>
    <n v="1"/>
    <n v="0"/>
    <m/>
    <m/>
    <n v="4.8"/>
    <n v="739.69150000000002"/>
    <n v="0.14099999999999999"/>
    <n v="4588.3381919999993"/>
    <n v="3550.5192000000002"/>
    <n v="1037.8189919999991"/>
  </r>
  <r>
    <x v="418"/>
    <x v="330"/>
    <d v="2024-10-07T00:00:00"/>
    <n v="27"/>
    <x v="3"/>
    <x v="7"/>
    <s v="Kisumu"/>
    <s v="Consumer"/>
    <x v="4"/>
    <x v="11"/>
    <x v="3"/>
    <x v="418"/>
    <n v="1248.3900000000001"/>
    <n v="1805.11"/>
    <n v="1805.11"/>
    <n v="0.20300000000000001"/>
    <n v="11"/>
    <n v="15825.399369999997"/>
    <n v="13732.29"/>
    <n v="2093.1093699999965"/>
    <n v="0.13226265707820786"/>
    <d v="2024-01-27T00:00:00"/>
    <s v="Q3-2024"/>
    <s v="Africa → Kenya → Kisumu"/>
    <s v="High"/>
    <x v="19"/>
    <d v="2023-01-01T00:00:00"/>
    <n v="20"/>
    <n v="0"/>
    <n v="1"/>
    <m/>
    <m/>
    <n v="13.2"/>
    <n v="1435.6485"/>
    <n v="0.20300000000000001"/>
    <n v="18990.479243999995"/>
    <n v="18950.5602"/>
    <n v="39.919043999994756"/>
  </r>
  <r>
    <x v="419"/>
    <x v="331"/>
    <d v="2024-10-02T00:00:00"/>
    <n v="19"/>
    <x v="3"/>
    <x v="7"/>
    <s v="Mombasa"/>
    <s v="Small Business"/>
    <x v="4"/>
    <x v="3"/>
    <x v="2"/>
    <x v="419"/>
    <n v="1338.99"/>
    <n v="1765.76"/>
    <n v="1765.76"/>
    <n v="0.126"/>
    <n v="24"/>
    <n v="37038.581760000001"/>
    <n v="32135.760000000002"/>
    <n v="4902.8217599999989"/>
    <n v="0.1323706666677725"/>
    <d v="2024-01-25T00:00:00"/>
    <s v="Q3-2024"/>
    <s v="Africa → Kenya → Mombasa"/>
    <s v="High"/>
    <x v="19"/>
    <d v="2023-01-01T00:00:00"/>
    <n v="20"/>
    <n v="0"/>
    <n v="0"/>
    <m/>
    <m/>
    <n v="28.799999999999997"/>
    <n v="1539.8384999999998"/>
    <n v="0.126"/>
    <n v="44446.298111999989"/>
    <n v="44347.348799999992"/>
    <n v="98.949311999997008"/>
  </r>
  <r>
    <x v="420"/>
    <x v="332"/>
    <d v="2024-11-14T00:00:00"/>
    <n v="20"/>
    <x v="3"/>
    <x v="7"/>
    <s v="Mombasa"/>
    <s v="Corporate"/>
    <x v="2"/>
    <x v="15"/>
    <x v="3"/>
    <x v="420"/>
    <n v="1396.48"/>
    <n v="3204.5"/>
    <n v="3204.5"/>
    <n v="0.318"/>
    <n v="14"/>
    <n v="30596.565999999999"/>
    <n v="19550.72"/>
    <n v="11045.845999999998"/>
    <n v="0.36101587348070363"/>
    <d v="2023-12-06T00:00:00"/>
    <s v="Q4-2024"/>
    <s v="Africa → Kenya → Mombasa"/>
    <s v="High"/>
    <x v="32"/>
    <d v="2023-01-01T00:00:00"/>
    <n v="21"/>
    <n v="0"/>
    <n v="1"/>
    <m/>
    <m/>
    <n v="16.8"/>
    <n v="1605.952"/>
    <n v="0.25"/>
    <n v="40376.700000000004"/>
    <n v="26979.993600000002"/>
    <n v="13396.706400000003"/>
  </r>
  <r>
    <x v="421"/>
    <x v="333"/>
    <d v="2024-11-04T00:00:00"/>
    <n v="6"/>
    <x v="3"/>
    <x v="7"/>
    <s v="Nairobi"/>
    <s v="Corporate"/>
    <x v="3"/>
    <x v="3"/>
    <x v="3"/>
    <x v="421"/>
    <n v="805.81"/>
    <n v="1823.04"/>
    <n v="1823.04"/>
    <n v="0"/>
    <n v="11"/>
    <n v="20053.439999999999"/>
    <n v="8863.91"/>
    <n v="11189.529999999999"/>
    <n v="0.55798556257679477"/>
    <d v="2023-12-19T00:00:00"/>
    <s v="Q4-2024"/>
    <s v="Africa → Kenya → Nairobi"/>
    <s v="High"/>
    <x v="32"/>
    <d v="2023-01-01T00:00:00"/>
    <n v="21"/>
    <n v="1"/>
    <n v="0"/>
    <m/>
    <m/>
    <n v="13.2"/>
    <n v="926.68149999999991"/>
    <n v="0"/>
    <n v="24064.127999999997"/>
    <n v="12232.195799999998"/>
    <n v="11831.932199999999"/>
  </r>
  <r>
    <x v="422"/>
    <x v="334"/>
    <d v="2024-11-08T00:00:00"/>
    <n v="0"/>
    <x v="3"/>
    <x v="7"/>
    <s v="Nakuru"/>
    <s v="Enterprise"/>
    <x v="0"/>
    <x v="3"/>
    <x v="4"/>
    <x v="422"/>
    <n v="803.28"/>
    <n v="1009"/>
    <n v="1009"/>
    <n v="0.11"/>
    <n v="4"/>
    <n v="3592.04"/>
    <n v="3213.12"/>
    <n v="378.92000000000007"/>
    <n v="0.10548880302001093"/>
    <d v="2023-11-15T00:00:00"/>
    <s v="Q4-2024"/>
    <s v="Africa → Kenya → Nakuru"/>
    <s v="Medium"/>
    <x v="20"/>
    <d v="2023-01-01T00:00:00"/>
    <n v="22"/>
    <n v="1"/>
    <n v="0"/>
    <m/>
    <m/>
    <n v="4.8"/>
    <n v="923.77199999999993"/>
    <n v="0.11"/>
    <n v="4310.4480000000003"/>
    <n v="4434.1055999999999"/>
    <n v="-123.65759999999955"/>
  </r>
  <r>
    <x v="423"/>
    <x v="335"/>
    <d v="2024-12-15T00:00:00"/>
    <n v="23"/>
    <x v="3"/>
    <x v="7"/>
    <s v="Mombasa"/>
    <s v="Non-Profit"/>
    <x v="3"/>
    <x v="5"/>
    <x v="1"/>
    <x v="423"/>
    <n v="1335.76"/>
    <n v="2665.91"/>
    <n v="2665.91"/>
    <n v="0.21099999999999999"/>
    <n v="40"/>
    <n v="84136.119600000005"/>
    <n v="53430.400000000001"/>
    <n v="30705.719600000004"/>
    <n v="0.36495288522909253"/>
    <d v="2023-10-25T00:00:00"/>
    <s v="Q4-2024"/>
    <s v="Africa → Kenya → Mombasa"/>
    <s v="High"/>
    <x v="20"/>
    <d v="2023-01-01T00:00:00"/>
    <n v="22"/>
    <n v="0"/>
    <n v="1"/>
    <m/>
    <m/>
    <n v="48"/>
    <n v="1536.1239999999998"/>
    <n v="0.21099999999999999"/>
    <n v="100963.34351999999"/>
    <n v="73733.95199999999"/>
    <n v="27229.391520000005"/>
  </r>
  <r>
    <x v="424"/>
    <x v="336"/>
    <d v="2024-12-24T00:00:00"/>
    <n v="27"/>
    <x v="3"/>
    <x v="7"/>
    <s v="Mombasa"/>
    <s v="Corporate"/>
    <x v="3"/>
    <x v="7"/>
    <x v="3"/>
    <x v="424"/>
    <n v="143.33000000000001"/>
    <n v="233.51"/>
    <n v="233.51"/>
    <n v="0.16300000000000001"/>
    <n v="14"/>
    <n v="2736.27018"/>
    <n v="2006.6200000000001"/>
    <n v="729.65017999999986"/>
    <n v="0.26665867476580835"/>
    <d v="2023-10-30T00:00:00"/>
    <s v="Q4-2024"/>
    <s v="Africa → Kenya → Mombasa"/>
    <s v="Low"/>
    <x v="20"/>
    <d v="2023-01-01T00:00:00"/>
    <n v="22"/>
    <n v="0"/>
    <n v="0"/>
    <m/>
    <m/>
    <n v="16.8"/>
    <n v="164.8295"/>
    <n v="0.16300000000000001"/>
    <n v="3283.5242159999998"/>
    <n v="2769.1356000000001"/>
    <n v="514.38861599999973"/>
  </r>
  <r>
    <x v="425"/>
    <x v="174"/>
    <d v="2024-12-19T00:00:00"/>
    <n v="19"/>
    <x v="3"/>
    <x v="7"/>
    <s v="Kisumu"/>
    <s v="Corporate"/>
    <x v="1"/>
    <x v="11"/>
    <x v="2"/>
    <x v="425"/>
    <n v="1195.98"/>
    <n v="1841.9"/>
    <n v="1841.9"/>
    <n v="5.5E-2"/>
    <n v="19"/>
    <n v="33071.3145"/>
    <n v="22723.62"/>
    <n v="10347.694500000001"/>
    <n v="0.31289032977506842"/>
    <d v="2023-10-21T00:00:00"/>
    <s v="Q4-2024"/>
    <s v="Africa → Kenya → Kisumu"/>
    <s v="High"/>
    <x v="20"/>
    <d v="2023-01-01T00:00:00"/>
    <n v="22"/>
    <n v="0"/>
    <n v="0"/>
    <m/>
    <m/>
    <n v="22.8"/>
    <n v="1375.377"/>
    <n v="5.5E-2"/>
    <n v="39685.577400000002"/>
    <n v="31358.595600000001"/>
    <n v="8326.9818000000014"/>
  </r>
  <r>
    <x v="426"/>
    <x v="178"/>
    <d v="2025-02-14T00:00:00"/>
    <n v="24"/>
    <x v="3"/>
    <x v="7"/>
    <s v="Nairobi"/>
    <s v="Small Business"/>
    <x v="4"/>
    <x v="9"/>
    <x v="5"/>
    <x v="426"/>
    <n v="1030.44"/>
    <n v="2562.84"/>
    <n v="2562.84"/>
    <n v="0.14799999999999999"/>
    <n v="13"/>
    <n v="28386.015839999996"/>
    <n v="13395.720000000001"/>
    <n v="14990.295839999995"/>
    <n v="0.52808734852027039"/>
    <d v="2023-08-26T00:00:00"/>
    <s v="Q1-2025"/>
    <s v="Africa → Kenya → Nairobi"/>
    <s v="High"/>
    <x v="21"/>
    <d v="2023-01-01T00:00:00"/>
    <n v="24"/>
    <n v="0"/>
    <n v="0"/>
    <m/>
    <m/>
    <n v="15.6"/>
    <n v="1185.0059999999999"/>
    <n v="0.14799999999999999"/>
    <n v="34063.219008"/>
    <n v="18486.093599999997"/>
    <n v="15577.125408000004"/>
  </r>
  <r>
    <x v="427"/>
    <x v="337"/>
    <d v="2025-02-06T00:00:00"/>
    <n v="8"/>
    <x v="3"/>
    <x v="7"/>
    <s v="Kisumu"/>
    <s v="Education"/>
    <x v="4"/>
    <x v="7"/>
    <x v="2"/>
    <x v="427"/>
    <n v="1445.27"/>
    <n v="2691.45"/>
    <n v="2691.45"/>
    <n v="0"/>
    <n v="9"/>
    <n v="24223.05"/>
    <n v="13007.43"/>
    <n v="11215.619999999999"/>
    <n v="0.46301436028906351"/>
    <d v="2023-08-21T00:00:00"/>
    <s v="Q1-2025"/>
    <s v="Africa → Kenya → Kisumu"/>
    <s v="High"/>
    <x v="21"/>
    <d v="2023-01-01T00:00:00"/>
    <n v="24"/>
    <n v="0"/>
    <n v="0"/>
    <m/>
    <m/>
    <n v="10.799999999999999"/>
    <n v="1662.0604999999998"/>
    <n v="0"/>
    <n v="29067.659999999996"/>
    <n v="17950.253399999998"/>
    <n v="11117.406599999998"/>
  </r>
  <r>
    <x v="428"/>
    <x v="89"/>
    <d v="2025-03-01T00:00:00"/>
    <n v="14"/>
    <x v="3"/>
    <x v="7"/>
    <s v="Mombasa"/>
    <s v="Education"/>
    <x v="2"/>
    <x v="11"/>
    <x v="5"/>
    <x v="428"/>
    <n v="1162.8599999999999"/>
    <n v="1447.68"/>
    <n v="1447.68"/>
    <n v="8.6999999999999994E-2"/>
    <n v="12"/>
    <n v="15860.782080000001"/>
    <n v="13954.32"/>
    <n v="1906.4620800000012"/>
    <n v="0.12019975247021369"/>
    <d v="2023-08-08T00:00:00"/>
    <s v="Q1-2025"/>
    <s v="Africa → Kenya → Mombasa"/>
    <s v="Medium"/>
    <x v="22"/>
    <d v="2023-01-01T00:00:00"/>
    <n v="25"/>
    <n v="0"/>
    <n v="0"/>
    <m/>
    <m/>
    <n v="14.399999999999999"/>
    <n v="1337.2889999999998"/>
    <n v="8.6999999999999994E-2"/>
    <n v="19032.938496000002"/>
    <n v="19256.961599999995"/>
    <n v="-224.0231039999926"/>
  </r>
  <r>
    <x v="429"/>
    <x v="338"/>
    <d v="2025-04-04T00:00:00"/>
    <n v="4"/>
    <x v="3"/>
    <x v="7"/>
    <s v="Nakuru"/>
    <s v="Corporate"/>
    <x v="2"/>
    <x v="5"/>
    <x v="6"/>
    <x v="429"/>
    <n v="862.08"/>
    <n v="1952.83"/>
    <n v="1952.83"/>
    <n v="0"/>
    <n v="7"/>
    <n v="13669.81"/>
    <n v="6034.56"/>
    <n v="7635.2499999999991"/>
    <n v="0.5585483631447693"/>
    <d v="2023-07-08T00:00:00"/>
    <s v="Q1-2025"/>
    <s v="Africa → Kenya → Nakuru"/>
    <s v="High"/>
    <x v="23"/>
    <d v="2023-01-01T00:00:00"/>
    <n v="26"/>
    <n v="1"/>
    <n v="0"/>
    <m/>
    <m/>
    <n v="8.4"/>
    <n v="991.39199999999994"/>
    <n v="0"/>
    <n v="16403.772000000001"/>
    <n v="8327.6928000000007"/>
    <n v="8076.0792000000001"/>
  </r>
  <r>
    <x v="430"/>
    <x v="339"/>
    <d v="2025-04-30T00:00:00"/>
    <n v="18"/>
    <x v="3"/>
    <x v="7"/>
    <s v="Kisumu"/>
    <s v="Corporate"/>
    <x v="0"/>
    <x v="8"/>
    <x v="4"/>
    <x v="430"/>
    <n v="1119.04"/>
    <n v="1299.02"/>
    <n v="1299.02"/>
    <n v="2.5000000000000001E-2"/>
    <n v="14"/>
    <n v="17731.623"/>
    <n v="15666.56"/>
    <n v="2065.0630000000001"/>
    <n v="0.11646215352085933"/>
    <d v="2023-06-17T00:00:00"/>
    <s v="Q2-2025"/>
    <s v="Africa → Kenya → Kisumu"/>
    <s v="Medium"/>
    <x v="24"/>
    <d v="2023-01-01T00:00:00"/>
    <n v="27"/>
    <n v="0"/>
    <n v="0"/>
    <m/>
    <m/>
    <n v="16.8"/>
    <n v="1286.896"/>
    <n v="2.5000000000000001E-2"/>
    <n v="21277.9476"/>
    <n v="21619.852800000001"/>
    <n v="-341.90520000000106"/>
  </r>
  <r>
    <x v="431"/>
    <x v="340"/>
    <d v="2025-05-13T00:00:00"/>
    <n v="11"/>
    <x v="3"/>
    <x v="7"/>
    <s v="Nakuru"/>
    <s v="Small Business"/>
    <x v="1"/>
    <x v="4"/>
    <x v="5"/>
    <x v="431"/>
    <n v="1057.5999999999999"/>
    <n v="1437.06"/>
    <n v="1437.06"/>
    <n v="0.20499999999999999"/>
    <n v="4"/>
    <n v="4569.8508000000002"/>
    <n v="4230.3999999999996"/>
    <n v="339.45080000000053"/>
    <n v="7.4280499485891424E-2"/>
    <d v="2023-05-11T00:00:00"/>
    <s v="Q2-2025"/>
    <s v="Africa → Kenya → Nakuru"/>
    <s v="Medium"/>
    <x v="25"/>
    <d v="2023-01-01T00:00:00"/>
    <n v="28"/>
    <n v="0"/>
    <n v="1"/>
    <m/>
    <m/>
    <n v="4.8"/>
    <n v="1216.2399999999998"/>
    <n v="0.20499999999999999"/>
    <n v="5483.82096"/>
    <n v="5837.9519999999984"/>
    <n v="-354.13103999999839"/>
  </r>
  <r>
    <x v="432"/>
    <x v="341"/>
    <d v="2025-08-03T00:00:00"/>
    <n v="23"/>
    <x v="3"/>
    <x v="7"/>
    <s v="Nakuru"/>
    <s v="Small Business"/>
    <x v="4"/>
    <x v="5"/>
    <x v="2"/>
    <x v="432"/>
    <n v="389.93"/>
    <n v="486.13"/>
    <n v="486.13"/>
    <n v="0.13200000000000001"/>
    <n v="17"/>
    <n v="7173.3342799999991"/>
    <n v="6628.81"/>
    <n v="544.52427999999873"/>
    <n v="7.5909508569562828E-2"/>
    <d v="2023-04-11T00:00:00"/>
    <s v="Q3-2025"/>
    <s v="Africa → Kenya → Nakuru"/>
    <s v="Low"/>
    <x v="26"/>
    <d v="2023-01-01T00:00:00"/>
    <n v="30"/>
    <n v="0"/>
    <n v="0"/>
    <m/>
    <m/>
    <n v="20.399999999999999"/>
    <n v="448.41949999999997"/>
    <n v="0.13200000000000001"/>
    <n v="8608.001135999999"/>
    <n v="9147.7577999999994"/>
    <n v="-539.75666400000046"/>
  </r>
  <r>
    <x v="433"/>
    <x v="342"/>
    <d v="2025-07-31T00:00:00"/>
    <n v="12"/>
    <x v="3"/>
    <x v="7"/>
    <s v="Nairobi"/>
    <s v="Small Business"/>
    <x v="0"/>
    <x v="13"/>
    <x v="5"/>
    <x v="433"/>
    <n v="619.64"/>
    <n v="861.16"/>
    <n v="861.16"/>
    <n v="0.113"/>
    <n v="14"/>
    <n v="10693.88488"/>
    <n v="8674.9599999999991"/>
    <n v="2018.9248800000005"/>
    <n v="0.18879246435276761"/>
    <d v="2023-03-13T00:00:00"/>
    <s v="Q3-2025"/>
    <s v="Africa → Kenya → Nairobi"/>
    <s v="Medium"/>
    <x v="26"/>
    <d v="2023-01-01T00:00:00"/>
    <n v="30"/>
    <n v="0"/>
    <n v="0"/>
    <m/>
    <m/>
    <n v="16.8"/>
    <n v="712.5859999999999"/>
    <n v="0.113"/>
    <n v="12832.661855999999"/>
    <n v="11971.444799999999"/>
    <n v="861.2170559999995"/>
  </r>
  <r>
    <x v="434"/>
    <x v="99"/>
    <d v="2025-08-19T00:00:00"/>
    <n v="12"/>
    <x v="3"/>
    <x v="7"/>
    <s v="Nakuru"/>
    <s v="Corporate"/>
    <x v="0"/>
    <x v="3"/>
    <x v="1"/>
    <x v="434"/>
    <n v="601.51"/>
    <n v="679.35"/>
    <n v="679.35"/>
    <n v="0.188"/>
    <n v="3"/>
    <n v="1654.8966000000003"/>
    <n v="1804.53"/>
    <n v="-149.63339999999971"/>
    <n v="-9.0418579626062243E-2"/>
    <d v="2023-02-28T00:00:00"/>
    <s v="Q3-2025"/>
    <s v="Africa → Kenya → Nakuru"/>
    <s v="Low"/>
    <x v="27"/>
    <d v="2023-01-01T00:00:00"/>
    <n v="31"/>
    <n v="0"/>
    <n v="0"/>
    <m/>
    <m/>
    <n v="3.5999999999999996"/>
    <n v="691.73649999999998"/>
    <n v="0.188"/>
    <n v="1985.87592"/>
    <n v="2490.2513999999996"/>
    <n v="-504.3754799999997"/>
  </r>
  <r>
    <x v="435"/>
    <x v="343"/>
    <d v="2025-09-24T00:00:00"/>
    <n v="30"/>
    <x v="3"/>
    <x v="7"/>
    <s v="Nairobi"/>
    <s v="Consumer"/>
    <x v="2"/>
    <x v="7"/>
    <x v="1"/>
    <x v="435"/>
    <n v="589.14"/>
    <n v="1300.58"/>
    <n v="1300.58"/>
    <n v="5.5E-2"/>
    <n v="11"/>
    <n v="13519.529099999998"/>
    <n v="6480.54"/>
    <n v="7038.989099999998"/>
    <n v="0.52065342275863724"/>
    <d v="2023-01-30T00:00:00"/>
    <s v="Q3-2025"/>
    <s v="Africa → Kenya → Nairobi"/>
    <s v="Medium"/>
    <x v="27"/>
    <d v="2023-01-01T00:00:00"/>
    <n v="31"/>
    <n v="0"/>
    <n v="0"/>
    <m/>
    <m/>
    <n v="13.2"/>
    <n v="677.51099999999997"/>
    <n v="5.5E-2"/>
    <n v="16223.434919999998"/>
    <n v="8943.145199999999"/>
    <n v="7280.2897199999989"/>
  </r>
  <r>
    <x v="436"/>
    <x v="304"/>
    <d v="2025-09-30T00:00:00"/>
    <n v="20"/>
    <x v="3"/>
    <x v="7"/>
    <s v="Mombasa"/>
    <s v="Corporate"/>
    <x v="2"/>
    <x v="11"/>
    <x v="2"/>
    <x v="436"/>
    <n v="1009.48"/>
    <n v="1088.81"/>
    <n v="1088.81"/>
    <n v="0.16"/>
    <n v="6"/>
    <n v="5487.6023999999998"/>
    <n v="6056.88"/>
    <n v="-569.27760000000035"/>
    <n v="-0.10373885688219693"/>
    <d v="2023-01-22T00:00:00"/>
    <s v="Q3-2025"/>
    <s v="Africa → Kenya → Mombasa"/>
    <s v="Medium"/>
    <x v="28"/>
    <d v="2023-01-01T00:00:00"/>
    <n v="32"/>
    <n v="0"/>
    <n v="0"/>
    <m/>
    <m/>
    <n v="7.1999999999999993"/>
    <n v="1160.902"/>
    <n v="0.16"/>
    <n v="6585.122879999999"/>
    <n v="8358.4943999999996"/>
    <n v="-1773.3715200000006"/>
  </r>
  <r>
    <x v="437"/>
    <x v="344"/>
    <d v="2025-09-28T00:00:00"/>
    <n v="17"/>
    <x v="3"/>
    <x v="7"/>
    <s v="Nairobi"/>
    <s v="Non-Profit"/>
    <x v="3"/>
    <x v="9"/>
    <x v="6"/>
    <x v="437"/>
    <n v="891.46"/>
    <n v="728.61"/>
    <n v="728.61"/>
    <n v="0.185"/>
    <n v="6"/>
    <n v="3562.9028999999996"/>
    <n v="5348.76"/>
    <n v="-1785.8571000000006"/>
    <n v="-0.50123653383874167"/>
    <d v="2023-01-10T00:00:00"/>
    <s v="Q3-2025"/>
    <s v="Africa → Kenya → Nairobi"/>
    <s v="Low"/>
    <x v="28"/>
    <d v="2023-01-01T00:00:00"/>
    <n v="32"/>
    <n v="0"/>
    <n v="0"/>
    <m/>
    <m/>
    <n v="7.1999999999999993"/>
    <n v="1025.1789999999999"/>
    <n v="0.185"/>
    <n v="4275.483479999999"/>
    <n v="7381.2887999999984"/>
    <n v="-3105.8053199999995"/>
  </r>
  <r>
    <x v="438"/>
    <x v="345"/>
    <d v="2023-01-15T00:00:00"/>
    <n v="2"/>
    <x v="3"/>
    <x v="8"/>
    <s v="Abuja"/>
    <s v="Education"/>
    <x v="1"/>
    <x v="13"/>
    <x v="3"/>
    <x v="438"/>
    <n v="28.38"/>
    <n v="47.22"/>
    <n v="47.22"/>
    <n v="0.19400000000000001"/>
    <n v="18"/>
    <n v="685.06776000000002"/>
    <n v="510.84"/>
    <n v="174.22776000000005"/>
    <n v="0.25432193743871417"/>
    <d v="2025-09-14T00:00:00"/>
    <s v="Q1-2023"/>
    <s v="Africa → Nigeria → Abuja"/>
    <s v="Low"/>
    <x v="0"/>
    <d v="2023-01-01T00:00:00"/>
    <n v="0"/>
    <n v="1"/>
    <n v="0"/>
    <m/>
    <m/>
    <n v="21.599999999999998"/>
    <n v="32.636999999999993"/>
    <n v="0.19400000000000001"/>
    <n v="822.08131199999991"/>
    <n v="704.95919999999978"/>
    <n v="117.12211200000013"/>
  </r>
  <r>
    <x v="439"/>
    <x v="346"/>
    <d v="2023-02-12T00:00:00"/>
    <n v="1"/>
    <x v="3"/>
    <x v="8"/>
    <s v="Port Harcourt"/>
    <s v="Non-Profit"/>
    <x v="2"/>
    <x v="0"/>
    <x v="5"/>
    <x v="439"/>
    <n v="944.61"/>
    <n v="839.04"/>
    <n v="839.04"/>
    <n v="5.8999999999999997E-2"/>
    <n v="6"/>
    <n v="4737.2198399999997"/>
    <n v="5667.66"/>
    <n v="-930.44016000000011"/>
    <n v="-0.19641059343363726"/>
    <d v="2025-08-28T00:00:00"/>
    <s v="Q1-2023"/>
    <s v="Africa → Nigeria → Port Harcourt"/>
    <s v="Medium"/>
    <x v="1"/>
    <d v="2023-01-01T00:00:00"/>
    <n v="1"/>
    <n v="1"/>
    <n v="0"/>
    <m/>
    <m/>
    <n v="7.1999999999999993"/>
    <n v="1086.3015"/>
    <n v="5.8999999999999997E-2"/>
    <n v="5684.6638079999993"/>
    <n v="7821.3707999999997"/>
    <n v="-2136.7069920000004"/>
  </r>
  <r>
    <x v="440"/>
    <x v="347"/>
    <d v="2023-04-08T00:00:00"/>
    <n v="2"/>
    <x v="3"/>
    <x v="8"/>
    <s v="Abuja"/>
    <s v="Small Business"/>
    <x v="0"/>
    <x v="12"/>
    <x v="0"/>
    <x v="440"/>
    <n v="720.35"/>
    <n v="1571.66"/>
    <n v="1571.66"/>
    <n v="0.107"/>
    <n v="23"/>
    <n v="32280.32474"/>
    <n v="16568.05"/>
    <n v="15712.274740000001"/>
    <n v="0.4867446305622265"/>
    <d v="2025-06-24T00:00:00"/>
    <s v="Q2-2023"/>
    <s v="Africa → Nigeria → Abuja"/>
    <s v="Medium"/>
    <x v="3"/>
    <d v="2023-01-01T00:00:00"/>
    <n v="3"/>
    <n v="1"/>
    <n v="0"/>
    <m/>
    <m/>
    <n v="27.599999999999998"/>
    <n v="828.40249999999992"/>
    <n v="0.107"/>
    <n v="38736.389688000003"/>
    <n v="22863.908999999996"/>
    <n v="15872.480688000007"/>
  </r>
  <r>
    <x v="441"/>
    <x v="348"/>
    <d v="2023-05-18T00:00:00"/>
    <n v="17"/>
    <x v="3"/>
    <x v="8"/>
    <s v="Port Harcourt"/>
    <s v="Corporate"/>
    <x v="2"/>
    <x v="8"/>
    <x v="1"/>
    <x v="441"/>
    <n v="327.97"/>
    <n v="299.94"/>
    <n v="299.94"/>
    <n v="4.9000000000000002E-2"/>
    <n v="3"/>
    <n v="855.72881999999993"/>
    <n v="983.91000000000008"/>
    <n v="-128.18118000000015"/>
    <n v="-0.14979182306843442"/>
    <d v="2025-06-03T00:00:00"/>
    <s v="Q2-2023"/>
    <s v="Africa → Nigeria → Port Harcourt"/>
    <s v="Low"/>
    <x v="4"/>
    <d v="2023-01-01T00:00:00"/>
    <n v="4"/>
    <n v="0"/>
    <n v="0"/>
    <m/>
    <m/>
    <n v="3.5999999999999996"/>
    <n v="377.16550000000001"/>
    <n v="4.9000000000000002E-2"/>
    <n v="1026.8745839999999"/>
    <n v="1357.7957999999999"/>
    <n v="-330.92121599999996"/>
  </r>
  <r>
    <x v="442"/>
    <x v="349"/>
    <d v="2023-05-16T00:00:00"/>
    <n v="12"/>
    <x v="3"/>
    <x v="8"/>
    <s v="Abuja"/>
    <s v="Small Business"/>
    <x v="0"/>
    <x v="9"/>
    <x v="2"/>
    <x v="442"/>
    <n v="77.739999999999995"/>
    <n v="147.12"/>
    <n v="147.12"/>
    <n v="0"/>
    <n v="15"/>
    <n v="2206.8000000000002"/>
    <n v="1166.0999999999999"/>
    <n v="1040.7000000000003"/>
    <n v="0.47158781946710177"/>
    <d v="2025-05-15T00:00:00"/>
    <s v="Q2-2023"/>
    <s v="Africa → Nigeria → Abuja"/>
    <s v="Low"/>
    <x v="4"/>
    <d v="2023-01-01T00:00:00"/>
    <n v="4"/>
    <n v="0"/>
    <n v="0"/>
    <m/>
    <m/>
    <n v="18"/>
    <n v="89.400999999999982"/>
    <n v="0"/>
    <n v="2648.16"/>
    <n v="1609.2179999999996"/>
    <n v="1038.9420000000002"/>
  </r>
  <r>
    <x v="443"/>
    <x v="350"/>
    <d v="2023-05-07T00:00:00"/>
    <n v="2"/>
    <x v="3"/>
    <x v="8"/>
    <s v="Port Harcourt"/>
    <s v="Non-Profit"/>
    <x v="0"/>
    <x v="4"/>
    <x v="1"/>
    <x v="443"/>
    <n v="1269.6500000000001"/>
    <n v="2462.77"/>
    <n v="2462.77"/>
    <n v="0.107"/>
    <n v="8"/>
    <n v="17594.028880000002"/>
    <n v="10157.200000000001"/>
    <n v="7436.8288800000009"/>
    <n v="0.42269050089225502"/>
    <d v="2025-05-17T00:00:00"/>
    <s v="Q2-2023"/>
    <s v="Africa → Nigeria → Port Harcourt"/>
    <s v="High"/>
    <x v="4"/>
    <d v="2023-01-01T00:00:00"/>
    <n v="4"/>
    <n v="1"/>
    <n v="0"/>
    <m/>
    <m/>
    <n v="9.6"/>
    <n v="1460.0975000000001"/>
    <n v="0.107"/>
    <n v="21112.834655999999"/>
    <n v="14016.936"/>
    <n v="7095.8986559999994"/>
  </r>
  <r>
    <x v="444"/>
    <x v="231"/>
    <d v="2023-06-07T00:00:00"/>
    <n v="18"/>
    <x v="3"/>
    <x v="8"/>
    <s v="Port Harcourt"/>
    <s v="Enterprise"/>
    <x v="3"/>
    <x v="6"/>
    <x v="1"/>
    <x v="444"/>
    <n v="1120.06"/>
    <n v="2068.21"/>
    <n v="2068.21"/>
    <n v="7.8E-2"/>
    <n v="12"/>
    <n v="22882.675440000003"/>
    <n v="13440.72"/>
    <n v="9441.9554400000034"/>
    <n v="0.41262462795303284"/>
    <d v="2025-04-27T00:00:00"/>
    <s v="Q2-2023"/>
    <s v="Africa → Nigeria → Port Harcourt"/>
    <s v="High"/>
    <x v="4"/>
    <d v="2023-01-01T00:00:00"/>
    <n v="4"/>
    <n v="0"/>
    <n v="0"/>
    <m/>
    <m/>
    <n v="14.399999999999999"/>
    <n v="1288.0689999999997"/>
    <n v="7.8E-2"/>
    <n v="27459.210528"/>
    <n v="18548.193599999995"/>
    <n v="8911.0169280000046"/>
  </r>
  <r>
    <x v="445"/>
    <x v="7"/>
    <d v="2023-07-03T00:00:00"/>
    <n v="10"/>
    <x v="3"/>
    <x v="8"/>
    <s v="Abuja"/>
    <s v="Consumer"/>
    <x v="1"/>
    <x v="9"/>
    <x v="3"/>
    <x v="445"/>
    <n v="337.75"/>
    <n v="548.89"/>
    <n v="548.89"/>
    <n v="0"/>
    <n v="13"/>
    <n v="7135.57"/>
    <n v="4390.75"/>
    <n v="2744.8199999999997"/>
    <n v="0.38466723751571352"/>
    <d v="2025-04-09T00:00:00"/>
    <s v="Q2-2023"/>
    <s v="Africa → Nigeria → Abuja"/>
    <s v="Low"/>
    <x v="5"/>
    <d v="2023-01-01T00:00:00"/>
    <n v="5"/>
    <n v="0"/>
    <n v="0"/>
    <m/>
    <m/>
    <n v="15.6"/>
    <n v="388.41249999999997"/>
    <n v="0"/>
    <n v="8562.6839999999993"/>
    <n v="6059.2349999999997"/>
    <n v="2503.4489999999996"/>
  </r>
  <r>
    <x v="446"/>
    <x v="151"/>
    <d v="2023-07-08T00:00:00"/>
    <n v="7"/>
    <x v="3"/>
    <x v="8"/>
    <s v="Port Harcourt"/>
    <s v="Corporate"/>
    <x v="4"/>
    <x v="4"/>
    <x v="6"/>
    <x v="446"/>
    <n v="834.26"/>
    <n v="1780.56"/>
    <n v="1780.56"/>
    <n v="1.4E-2"/>
    <n v="47"/>
    <n v="82514.711519999997"/>
    <n v="39210.22"/>
    <n v="43304.491519999996"/>
    <n v="0.5248093427497933"/>
    <d v="2025-03-30T00:00:00"/>
    <s v="Q3-2023"/>
    <s v="Africa → Nigeria → Port Harcourt"/>
    <s v="High"/>
    <x v="6"/>
    <d v="2023-01-01T00:00:00"/>
    <n v="6"/>
    <n v="1"/>
    <n v="0"/>
    <m/>
    <m/>
    <n v="56.4"/>
    <n v="959.39899999999989"/>
    <n v="1.4E-2"/>
    <n v="99017.653823999994"/>
    <n v="54110.103599999995"/>
    <n v="44907.550223999999"/>
  </r>
  <r>
    <x v="447"/>
    <x v="351"/>
    <d v="2023-07-14T00:00:00"/>
    <n v="0"/>
    <x v="3"/>
    <x v="8"/>
    <s v="Lagos"/>
    <s v="Education"/>
    <x v="4"/>
    <x v="14"/>
    <x v="5"/>
    <x v="447"/>
    <n v="956.38"/>
    <n v="1454.22"/>
    <n v="1454.22"/>
    <n v="3.9E-2"/>
    <n v="19"/>
    <n v="26552.60298"/>
    <n v="18171.22"/>
    <n v="8381.3829799999985"/>
    <n v="0.31565202802576603"/>
    <d v="2025-03-11T00:00:00"/>
    <s v="Q3-2023"/>
    <s v="Africa → Nigeria → Lagos"/>
    <s v="Medium"/>
    <x v="6"/>
    <d v="2023-01-01T00:00:00"/>
    <n v="6"/>
    <n v="1"/>
    <n v="0"/>
    <m/>
    <m/>
    <n v="22.8"/>
    <n v="1099.837"/>
    <n v="3.9E-2"/>
    <n v="31863.123575999998"/>
    <n v="25076.283599999999"/>
    <n v="6786.8399759999993"/>
  </r>
  <r>
    <x v="448"/>
    <x v="352"/>
    <d v="2023-08-10T00:00:00"/>
    <n v="16"/>
    <x v="3"/>
    <x v="8"/>
    <s v="Port Harcourt"/>
    <s v="Corporate"/>
    <x v="3"/>
    <x v="14"/>
    <x v="5"/>
    <x v="448"/>
    <n v="506.83"/>
    <n v="441.74"/>
    <n v="441.74"/>
    <n v="0.24"/>
    <n v="9"/>
    <n v="3021.5016000000001"/>
    <n v="4561.47"/>
    <n v="-1539.9684000000002"/>
    <n v="-0.50966989393618067"/>
    <d v="2025-02-16T00:00:00"/>
    <s v="Q3-2023"/>
    <s v="Africa → Nigeria → Port Harcourt"/>
    <s v="Low"/>
    <x v="6"/>
    <d v="2023-01-01T00:00:00"/>
    <n v="6"/>
    <n v="0"/>
    <n v="1"/>
    <m/>
    <m/>
    <n v="10.799999999999999"/>
    <n v="582.85449999999992"/>
    <n v="0.24"/>
    <n v="3625.8019199999994"/>
    <n v="6294.8285999999989"/>
    <n v="-2669.0266799999995"/>
  </r>
  <r>
    <x v="449"/>
    <x v="68"/>
    <d v="2023-08-23T00:00:00"/>
    <n v="4"/>
    <x v="3"/>
    <x v="8"/>
    <s v="Abuja"/>
    <s v="Small Business"/>
    <x v="1"/>
    <x v="9"/>
    <x v="0"/>
    <x v="449"/>
    <n v="790.63"/>
    <n v="1382.31"/>
    <n v="1382.31"/>
    <n v="0.10100000000000001"/>
    <n v="7"/>
    <n v="8698.8768300000011"/>
    <n v="5534.41"/>
    <n v="3164.4668300000012"/>
    <n v="0.36377878338116448"/>
    <d v="2025-01-21T00:00:00"/>
    <s v="Q3-2023"/>
    <s v="Africa → Nigeria → Abuja"/>
    <s v="Medium"/>
    <x v="7"/>
    <d v="2023-01-01T00:00:00"/>
    <n v="7"/>
    <n v="1"/>
    <n v="0"/>
    <m/>
    <m/>
    <n v="8.4"/>
    <n v="909.22449999999992"/>
    <n v="0.10100000000000001"/>
    <n v="10438.652196000001"/>
    <n v="7637.4857999999995"/>
    <n v="2801.1663960000014"/>
  </r>
  <r>
    <x v="450"/>
    <x v="353"/>
    <d v="2023-09-16T00:00:00"/>
    <n v="22"/>
    <x v="3"/>
    <x v="8"/>
    <s v="Abuja"/>
    <s v="Corporate"/>
    <x v="0"/>
    <x v="11"/>
    <x v="2"/>
    <x v="450"/>
    <n v="1196.83"/>
    <n v="2513.5100000000002"/>
    <n v="2513.5100000000002"/>
    <n v="8.3000000000000004E-2"/>
    <n v="7"/>
    <n v="16134.22069"/>
    <n v="8377.81"/>
    <n v="7756.4106900000006"/>
    <n v="0.48074281609445374"/>
    <d v="2025-01-10T00:00:00"/>
    <s v="Q3-2023"/>
    <s v="Africa → Nigeria → Abuja"/>
    <s v="High"/>
    <x v="7"/>
    <d v="2023-01-01T00:00:00"/>
    <n v="7"/>
    <n v="0"/>
    <n v="0"/>
    <m/>
    <m/>
    <n v="8.4"/>
    <n v="1376.3544999999999"/>
    <n v="8.3000000000000004E-2"/>
    <n v="19361.064828000006"/>
    <n v="11561.3778"/>
    <n v="7799.6870280000057"/>
  </r>
  <r>
    <x v="451"/>
    <x v="112"/>
    <d v="2023-10-11T00:00:00"/>
    <n v="2"/>
    <x v="3"/>
    <x v="8"/>
    <s v="Port Harcourt"/>
    <s v="Education"/>
    <x v="0"/>
    <x v="12"/>
    <x v="4"/>
    <x v="451"/>
    <n v="391.16"/>
    <n v="902.47"/>
    <n v="902.47"/>
    <n v="4.0000000000000001E-3"/>
    <n v="12"/>
    <n v="10786.32144"/>
    <n v="4693.92"/>
    <n v="6092.4014399999996"/>
    <n v="0.56482661618139207"/>
    <d v="2024-12-21T00:00:00"/>
    <s v="Q4-2023"/>
    <s v="Africa → Nigeria → Port Harcourt"/>
    <s v="Medium"/>
    <x v="9"/>
    <d v="2023-01-01T00:00:00"/>
    <n v="9"/>
    <n v="1"/>
    <n v="0"/>
    <m/>
    <m/>
    <n v="14.399999999999999"/>
    <n v="449.834"/>
    <n v="4.0000000000000001E-3"/>
    <n v="12943.585728"/>
    <n v="6477.6095999999998"/>
    <n v="6465.9761280000002"/>
  </r>
  <r>
    <x v="452"/>
    <x v="354"/>
    <d v="2024-01-06T00:00:00"/>
    <n v="16"/>
    <x v="3"/>
    <x v="8"/>
    <s v="Port Harcourt"/>
    <s v="Corporate"/>
    <x v="0"/>
    <x v="12"/>
    <x v="1"/>
    <x v="452"/>
    <n v="932.61"/>
    <n v="1982.98"/>
    <n v="1982.98"/>
    <n v="0.14399999999999999"/>
    <n v="16"/>
    <n v="27158.894079999998"/>
    <n v="14921.76"/>
    <n v="12237.134079999998"/>
    <n v="0.45057556629345635"/>
    <d v="2024-10-17T00:00:00"/>
    <s v="Q4-2023"/>
    <s v="Africa → Nigeria → Port Harcourt"/>
    <s v="High"/>
    <x v="11"/>
    <d v="2023-01-01T00:00:00"/>
    <n v="11"/>
    <n v="0"/>
    <n v="0"/>
    <m/>
    <m/>
    <n v="19.2"/>
    <n v="1072.5014999999999"/>
    <n v="0.14399999999999999"/>
    <n v="32590.672896"/>
    <n v="20592.028799999996"/>
    <n v="11998.644096000004"/>
  </r>
  <r>
    <x v="453"/>
    <x v="355"/>
    <d v="2024-03-26T00:00:00"/>
    <n v="20"/>
    <x v="3"/>
    <x v="8"/>
    <s v="Port Harcourt"/>
    <s v="Consumer"/>
    <x v="0"/>
    <x v="14"/>
    <x v="2"/>
    <x v="453"/>
    <n v="65.64"/>
    <n v="151.88"/>
    <n v="151.88"/>
    <n v="0.16700000000000001"/>
    <n v="23"/>
    <n v="2909.8689199999999"/>
    <n v="1509.72"/>
    <n v="1400.1489199999999"/>
    <n v="0.48117250587356353"/>
    <d v="2024-07-18T00:00:00"/>
    <s v="Q1-2024"/>
    <s v="Africa → Nigeria → Port Harcourt"/>
    <s v="Low"/>
    <x v="29"/>
    <d v="2023-01-01T00:00:00"/>
    <n v="14"/>
    <n v="0"/>
    <n v="0"/>
    <m/>
    <m/>
    <n v="27.599999999999998"/>
    <n v="75.48599999999999"/>
    <n v="0.16700000000000001"/>
    <n v="3491.8427039999997"/>
    <n v="2083.4135999999994"/>
    <n v="1408.4291040000003"/>
  </r>
  <r>
    <x v="454"/>
    <x v="356"/>
    <d v="2024-04-06T00:00:00"/>
    <n v="24"/>
    <x v="3"/>
    <x v="8"/>
    <s v="Abuja"/>
    <s v="Consumer"/>
    <x v="3"/>
    <x v="11"/>
    <x v="1"/>
    <x v="454"/>
    <n v="1232.78"/>
    <n v="1731.75"/>
    <n v="1731.75"/>
    <n v="9.2999999999999999E-2"/>
    <n v="16"/>
    <n v="25131.155999999999"/>
    <n v="19724.48"/>
    <n v="5406.6759999999995"/>
    <n v="0.21513837246484005"/>
    <d v="2024-07-15T00:00:00"/>
    <s v="Q1-2024"/>
    <s v="Africa → Nigeria → Abuja"/>
    <s v="High"/>
    <x v="29"/>
    <d v="2023-01-01T00:00:00"/>
    <n v="14"/>
    <n v="0"/>
    <n v="0"/>
    <m/>
    <m/>
    <n v="19.2"/>
    <n v="1417.6969999999999"/>
    <n v="9.2999999999999999E-2"/>
    <n v="30157.387200000001"/>
    <n v="27219.782399999996"/>
    <n v="2937.6048000000046"/>
  </r>
  <r>
    <x v="455"/>
    <x v="357"/>
    <d v="2024-04-09T00:00:00"/>
    <n v="4"/>
    <x v="3"/>
    <x v="8"/>
    <s v="Lagos"/>
    <s v="Non-Profit"/>
    <x v="2"/>
    <x v="12"/>
    <x v="1"/>
    <x v="455"/>
    <n v="395.07"/>
    <n v="970.27"/>
    <n v="970.27"/>
    <n v="0.123"/>
    <n v="38"/>
    <n v="32335.21802"/>
    <n v="15012.66"/>
    <n v="17322.55802"/>
    <n v="0.53571799049833657"/>
    <d v="2024-06-23T00:00:00"/>
    <s v="Q2-2024"/>
    <s v="Africa → Nigeria → Lagos"/>
    <s v="Medium"/>
    <x v="14"/>
    <d v="2023-01-01T00:00:00"/>
    <n v="15"/>
    <n v="1"/>
    <n v="0"/>
    <m/>
    <m/>
    <n v="45.6"/>
    <n v="454.33049999999997"/>
    <n v="0.123"/>
    <n v="38802.261623999999"/>
    <n v="20717.470799999999"/>
    <n v="18084.790824"/>
  </r>
  <r>
    <x v="456"/>
    <x v="358"/>
    <d v="2024-05-06T00:00:00"/>
    <n v="17"/>
    <x v="3"/>
    <x v="8"/>
    <s v="Port Harcourt"/>
    <s v="Non-Profit"/>
    <x v="1"/>
    <x v="4"/>
    <x v="3"/>
    <x v="456"/>
    <n v="865.33"/>
    <n v="1395.64"/>
    <n v="1395.64"/>
    <n v="0.17499999999999999"/>
    <n v="13"/>
    <n v="14968.239"/>
    <n v="11249.29"/>
    <n v="3718.9489999999987"/>
    <n v="0.24845601409758347"/>
    <d v="2024-06-19T00:00:00"/>
    <s v="Q2-2024"/>
    <s v="Africa → Nigeria → Port Harcourt"/>
    <s v="Medium"/>
    <x v="14"/>
    <d v="2023-01-01T00:00:00"/>
    <n v="15"/>
    <n v="0"/>
    <n v="0"/>
    <m/>
    <m/>
    <n v="15.6"/>
    <n v="995.12950000000001"/>
    <n v="0.17499999999999999"/>
    <n v="17961.8868"/>
    <n v="15524.020199999999"/>
    <n v="2437.8666000000012"/>
  </r>
  <r>
    <x v="457"/>
    <x v="359"/>
    <d v="2024-05-19T00:00:00"/>
    <n v="28"/>
    <x v="3"/>
    <x v="8"/>
    <s v="Lagos"/>
    <s v="Corporate"/>
    <x v="3"/>
    <x v="4"/>
    <x v="5"/>
    <x v="457"/>
    <n v="187.22"/>
    <n v="309.47000000000003"/>
    <n v="309.47000000000003"/>
    <n v="0"/>
    <n v="5"/>
    <n v="1547.3500000000001"/>
    <n v="936.1"/>
    <n v="611.25000000000011"/>
    <n v="0.39503021294471197"/>
    <d v="2024-05-28T00:00:00"/>
    <s v="Q2-2024"/>
    <s v="Africa → Nigeria → Lagos"/>
    <s v="Low"/>
    <x v="14"/>
    <d v="2023-01-01T00:00:00"/>
    <n v="15"/>
    <n v="0"/>
    <n v="0"/>
    <m/>
    <m/>
    <n v="6"/>
    <n v="215.30299999999997"/>
    <n v="0"/>
    <n v="1856.8200000000002"/>
    <n v="1291.8179999999998"/>
    <n v="565.00200000000041"/>
  </r>
  <r>
    <x v="458"/>
    <x v="360"/>
    <d v="2024-05-29T00:00:00"/>
    <n v="25"/>
    <x v="3"/>
    <x v="8"/>
    <s v="Abuja"/>
    <s v="Non-Profit"/>
    <x v="0"/>
    <x v="13"/>
    <x v="0"/>
    <x v="458"/>
    <n v="1295.3399999999999"/>
    <n v="2530.81"/>
    <n v="2530.81"/>
    <n v="3.1E-2"/>
    <n v="6"/>
    <n v="14714.12934"/>
    <n v="7772.0399999999991"/>
    <n v="6942.0893400000004"/>
    <n v="0.4717974933880798"/>
    <d v="2024-06-10T00:00:00"/>
    <s v="Q2-2024"/>
    <s v="Africa → Nigeria → Abuja"/>
    <s v="High"/>
    <x v="15"/>
    <d v="2023-01-01T00:00:00"/>
    <n v="16"/>
    <n v="0"/>
    <n v="0"/>
    <m/>
    <m/>
    <n v="7.1999999999999993"/>
    <n v="1489.6409999999998"/>
    <n v="3.1E-2"/>
    <n v="17656.955207999999"/>
    <n v="10725.415199999998"/>
    <n v="6931.5400080000018"/>
  </r>
  <r>
    <x v="459"/>
    <x v="361"/>
    <d v="2024-05-12T00:00:00"/>
    <n v="5"/>
    <x v="3"/>
    <x v="8"/>
    <s v="Abuja"/>
    <s v="Non-Profit"/>
    <x v="3"/>
    <x v="11"/>
    <x v="6"/>
    <x v="459"/>
    <n v="1163.99"/>
    <n v="1617.85"/>
    <n v="1617.85"/>
    <n v="0.127"/>
    <n v="14"/>
    <n v="19773.362699999998"/>
    <n v="16295.86"/>
    <n v="3477.5026999999973"/>
    <n v="0.17586804797749436"/>
    <d v="2024-06-02T00:00:00"/>
    <s v="Q2-2024"/>
    <s v="Africa → Nigeria → Abuja"/>
    <s v="Medium"/>
    <x v="15"/>
    <d v="2023-01-01T00:00:00"/>
    <n v="16"/>
    <n v="1"/>
    <n v="0"/>
    <m/>
    <m/>
    <n v="16.8"/>
    <n v="1338.5884999999998"/>
    <n v="0.127"/>
    <n v="23728.035240000001"/>
    <n v="22488.286799999998"/>
    <n v="1239.748440000003"/>
  </r>
  <r>
    <x v="460"/>
    <x v="362"/>
    <d v="2024-05-28T00:00:00"/>
    <n v="2"/>
    <x v="3"/>
    <x v="8"/>
    <s v="Abuja"/>
    <s v="Enterprise"/>
    <x v="1"/>
    <x v="8"/>
    <x v="5"/>
    <x v="460"/>
    <n v="1227.08"/>
    <n v="1896.62"/>
    <n v="1896.62"/>
    <n v="0"/>
    <n v="18"/>
    <n v="34139.159999999996"/>
    <n v="22087.439999999999"/>
    <n v="12051.719999999998"/>
    <n v="0.353017473189147"/>
    <d v="2024-05-18T00:00:00"/>
    <s v="Q2-2024"/>
    <s v="Africa → Nigeria → Abuja"/>
    <s v="High"/>
    <x v="15"/>
    <d v="2023-01-01T00:00:00"/>
    <n v="16"/>
    <n v="1"/>
    <n v="0"/>
    <m/>
    <m/>
    <n v="21.599999999999998"/>
    <n v="1411.1419999999998"/>
    <n v="0"/>
    <n v="40966.991999999991"/>
    <n v="30480.667199999993"/>
    <n v="10486.324799999999"/>
  </r>
  <r>
    <x v="461"/>
    <x v="363"/>
    <d v="2024-07-09T00:00:00"/>
    <n v="28"/>
    <x v="3"/>
    <x v="8"/>
    <s v="Port Harcourt"/>
    <s v="Corporate"/>
    <x v="0"/>
    <x v="14"/>
    <x v="2"/>
    <x v="461"/>
    <n v="895.54"/>
    <n v="1045"/>
    <n v="1045"/>
    <n v="0.216"/>
    <n v="15"/>
    <n v="12289.2"/>
    <n v="13433.099999999999"/>
    <n v="-1143.8999999999978"/>
    <n v="-9.3081730299775234E-2"/>
    <d v="2024-03-30T00:00:00"/>
    <s v="Q2-2024"/>
    <s v="Africa → Nigeria → Port Harcourt"/>
    <s v="Medium"/>
    <x v="16"/>
    <d v="2023-01-01T00:00:00"/>
    <n v="17"/>
    <n v="0"/>
    <n v="1"/>
    <m/>
    <m/>
    <n v="18"/>
    <n v="1029.8709999999999"/>
    <n v="0.216"/>
    <n v="14747.04"/>
    <n v="18537.677999999996"/>
    <n v="-3790.6379999999954"/>
  </r>
  <r>
    <x v="462"/>
    <x v="364"/>
    <d v="2024-06-28T00:00:00"/>
    <n v="5"/>
    <x v="3"/>
    <x v="8"/>
    <s v="Port Harcourt"/>
    <s v="Non-Profit"/>
    <x v="2"/>
    <x v="3"/>
    <x v="5"/>
    <x v="462"/>
    <n v="242.31"/>
    <n v="587.95000000000005"/>
    <n v="587.95000000000005"/>
    <n v="0.22900000000000001"/>
    <n v="6"/>
    <n v="2719.8567000000003"/>
    <n v="1453.8600000000001"/>
    <n v="1265.9967000000001"/>
    <n v="0.46546448568411714"/>
    <d v="2024-03-27T00:00:00"/>
    <s v="Q2-2024"/>
    <s v="Africa → Nigeria → Port Harcourt"/>
    <s v="Low"/>
    <x v="16"/>
    <d v="2023-01-01T00:00:00"/>
    <n v="17"/>
    <n v="1"/>
    <n v="1"/>
    <m/>
    <m/>
    <n v="7.1999999999999993"/>
    <n v="278.65649999999999"/>
    <n v="0.22900000000000001"/>
    <n v="3263.8280399999999"/>
    <n v="2006.3267999999998"/>
    <n v="1257.5012400000001"/>
  </r>
  <r>
    <x v="463"/>
    <x v="286"/>
    <d v="2024-09-08T00:00:00"/>
    <n v="5"/>
    <x v="3"/>
    <x v="8"/>
    <s v="Lagos"/>
    <s v="Small Business"/>
    <x v="2"/>
    <x v="12"/>
    <x v="3"/>
    <x v="463"/>
    <n v="197.63"/>
    <n v="325.79000000000002"/>
    <n v="325.79000000000002"/>
    <n v="0.11600000000000001"/>
    <n v="10"/>
    <n v="2879.9836"/>
    <n v="1976.3"/>
    <n v="903.68360000000007"/>
    <n v="0.31378081458519419"/>
    <d v="2024-01-25T00:00:00"/>
    <s v="Q3-2024"/>
    <s v="Africa → Nigeria → Lagos"/>
    <s v="Low"/>
    <x v="19"/>
    <d v="2023-01-01T00:00:00"/>
    <n v="20"/>
    <n v="1"/>
    <n v="0"/>
    <m/>
    <m/>
    <n v="12"/>
    <n v="227.27449999999999"/>
    <n v="0.11600000000000001"/>
    <n v="3455.9803200000006"/>
    <n v="2727.2939999999999"/>
    <n v="728.68632000000071"/>
  </r>
  <r>
    <x v="464"/>
    <x v="365"/>
    <d v="2024-11-02T00:00:00"/>
    <n v="29"/>
    <x v="3"/>
    <x v="8"/>
    <s v="Abuja"/>
    <s v="Corporate"/>
    <x v="3"/>
    <x v="8"/>
    <x v="5"/>
    <x v="464"/>
    <n v="412.09"/>
    <n v="968.94"/>
    <n v="968.94"/>
    <n v="9.9000000000000005E-2"/>
    <n v="23"/>
    <n v="20079.343620000003"/>
    <n v="9478.07"/>
    <n v="10601.273620000004"/>
    <n v="0.52796913189137418"/>
    <d v="2024-01-02T00:00:00"/>
    <s v="Q4-2024"/>
    <s v="Africa → Nigeria → Abuja"/>
    <s v="Medium"/>
    <x v="32"/>
    <d v="2023-01-01T00:00:00"/>
    <n v="21"/>
    <n v="0"/>
    <n v="0"/>
    <m/>
    <m/>
    <n v="27.599999999999998"/>
    <n v="473.90349999999995"/>
    <n v="9.9000000000000005E-2"/>
    <n v="24095.212344"/>
    <n v="13079.736599999998"/>
    <n v="11015.475744000001"/>
  </r>
  <r>
    <x v="465"/>
    <x v="366"/>
    <d v="2024-11-08T00:00:00"/>
    <n v="25"/>
    <x v="3"/>
    <x v="8"/>
    <s v="Lagos"/>
    <s v="Enterprise"/>
    <x v="1"/>
    <x v="13"/>
    <x v="4"/>
    <x v="465"/>
    <n v="859.35"/>
    <n v="1825.61"/>
    <n v="1825.61"/>
    <n v="0.187"/>
    <n v="24"/>
    <n v="35621.302319999995"/>
    <n v="20624.400000000001"/>
    <n v="14996.902319999994"/>
    <n v="0.42100937762681989"/>
    <d v="2023-12-21T00:00:00"/>
    <s v="Q4-2024"/>
    <s v="Africa → Nigeria → Lagos"/>
    <s v="High"/>
    <x v="32"/>
    <d v="2023-01-01T00:00:00"/>
    <n v="21"/>
    <n v="0"/>
    <n v="0"/>
    <m/>
    <m/>
    <n v="28.799999999999997"/>
    <n v="988.25249999999994"/>
    <n v="0.187"/>
    <n v="42745.562783999987"/>
    <n v="28461.671999999995"/>
    <n v="14283.890783999992"/>
  </r>
  <r>
    <x v="466"/>
    <x v="367"/>
    <d v="2024-10-29T00:00:00"/>
    <n v="7"/>
    <x v="3"/>
    <x v="8"/>
    <s v="Port Harcourt"/>
    <s v="Enterprise"/>
    <x v="3"/>
    <x v="3"/>
    <x v="0"/>
    <x v="466"/>
    <n v="1023.06"/>
    <n v="1355.61"/>
    <n v="1355.61"/>
    <n v="0.153"/>
    <n v="23"/>
    <n v="26408.63841"/>
    <n v="23530.379999999997"/>
    <n v="2878.2584100000022"/>
    <n v="0.10898927711888809"/>
    <d v="2024-01-01T00:00:00"/>
    <s v="Q4-2024"/>
    <s v="Africa → Nigeria → Port Harcourt"/>
    <s v="Medium"/>
    <x v="32"/>
    <d v="2023-01-01T00:00:00"/>
    <n v="21"/>
    <n v="1"/>
    <n v="0"/>
    <m/>
    <m/>
    <n v="27.599999999999998"/>
    <n v="1176.5189999999998"/>
    <n v="0.153"/>
    <n v="31690.366091999997"/>
    <n v="32471.924399999993"/>
    <n v="-781.55830799999603"/>
  </r>
  <r>
    <x v="467"/>
    <x v="367"/>
    <d v="2024-10-23T00:00:00"/>
    <n v="1"/>
    <x v="3"/>
    <x v="8"/>
    <s v="Port Harcourt"/>
    <s v="Education"/>
    <x v="1"/>
    <x v="9"/>
    <x v="3"/>
    <x v="467"/>
    <n v="1084.3900000000001"/>
    <n v="759.33"/>
    <n v="759.33"/>
    <n v="0.23699999999999999"/>
    <n v="31"/>
    <n v="17960.432489999999"/>
    <n v="33616.090000000004"/>
    <n v="-15655.657510000005"/>
    <n v="-0.87167486187856302"/>
    <d v="2023-12-28T00:00:00"/>
    <s v="Q4-2024"/>
    <s v="Africa → Nigeria → Port Harcourt"/>
    <s v="Low"/>
    <x v="32"/>
    <d v="2023-01-01T00:00:00"/>
    <n v="21"/>
    <n v="1"/>
    <n v="1"/>
    <m/>
    <m/>
    <n v="37.199999999999996"/>
    <n v="1247.0485000000001"/>
    <n v="0.23699999999999999"/>
    <n v="21552.518988"/>
    <n v="46390.2042"/>
    <n v="-24837.685212"/>
  </r>
  <r>
    <x v="468"/>
    <x v="176"/>
    <d v="2024-12-19T00:00:00"/>
    <n v="9"/>
    <x v="3"/>
    <x v="8"/>
    <s v="Lagos"/>
    <s v="Corporate"/>
    <x v="4"/>
    <x v="13"/>
    <x v="0"/>
    <x v="468"/>
    <n v="488.68"/>
    <n v="984.36"/>
    <n v="984.36"/>
    <n v="5.8999999999999997E-2"/>
    <n v="14"/>
    <n v="12967.958640000001"/>
    <n v="6841.52"/>
    <n v="6126.4386400000003"/>
    <n v="0.47242891576649876"/>
    <d v="2023-10-25T00:00:00"/>
    <s v="Q4-2024"/>
    <s v="Africa → Nigeria → Lagos"/>
    <s v="Medium"/>
    <x v="30"/>
    <d v="2023-01-01T00:00:00"/>
    <n v="23"/>
    <n v="0"/>
    <n v="0"/>
    <m/>
    <m/>
    <n v="16.8"/>
    <n v="561.98199999999997"/>
    <n v="5.8999999999999997E-2"/>
    <n v="15561.550368"/>
    <n v="9441.2975999999999"/>
    <n v="6120.2527680000003"/>
  </r>
  <r>
    <x v="469"/>
    <x v="368"/>
    <d v="2025-02-16T00:00:00"/>
    <n v="9"/>
    <x v="3"/>
    <x v="8"/>
    <s v="Lagos"/>
    <s v="Small Business"/>
    <x v="3"/>
    <x v="5"/>
    <x v="3"/>
    <x v="469"/>
    <n v="90.68"/>
    <n v="118.17"/>
    <n v="118.17"/>
    <n v="0.13500000000000001"/>
    <n v="21"/>
    <n v="2146.5580500000001"/>
    <n v="1904.2800000000002"/>
    <n v="242.27804999999989"/>
    <n v="0.11286815653552899"/>
    <d v="2023-07-26T00:00:00"/>
    <s v="Q1-2025"/>
    <s v="Africa → Nigeria → Lagos"/>
    <s v="Low"/>
    <x v="22"/>
    <d v="2023-01-01T00:00:00"/>
    <n v="25"/>
    <n v="0"/>
    <n v="0"/>
    <m/>
    <m/>
    <n v="25.2"/>
    <n v="104.282"/>
    <n v="0.13500000000000001"/>
    <n v="2575.8696599999998"/>
    <n v="2627.9063999999998"/>
    <n v="-52.036740000000009"/>
  </r>
  <r>
    <x v="470"/>
    <x v="369"/>
    <d v="2025-03-21T00:00:00"/>
    <n v="28"/>
    <x v="3"/>
    <x v="8"/>
    <s v="Abuja"/>
    <s v="Enterprise"/>
    <x v="0"/>
    <x v="14"/>
    <x v="2"/>
    <x v="470"/>
    <n v="1437.39"/>
    <n v="1388.31"/>
    <n v="1388.31"/>
    <n v="0.13800000000000001"/>
    <n v="18"/>
    <n v="21541.017959999997"/>
    <n v="25873.02"/>
    <n v="-4332.002040000003"/>
    <n v="-0.20110479681341872"/>
    <d v="2023-07-24T00:00:00"/>
    <s v="Q1-2025"/>
    <s v="Africa → Nigeria → Abuja"/>
    <s v="Medium"/>
    <x v="22"/>
    <d v="2023-01-01T00:00:00"/>
    <n v="25"/>
    <n v="0"/>
    <n v="0"/>
    <m/>
    <m/>
    <n v="21.599999999999998"/>
    <n v="1652.9984999999999"/>
    <n v="0.13800000000000001"/>
    <n v="25849.221551999995"/>
    <n v="35704.767599999992"/>
    <n v="-9855.5460479999965"/>
  </r>
  <r>
    <x v="471"/>
    <x v="370"/>
    <d v="2025-03-24T00:00:00"/>
    <n v="21"/>
    <x v="3"/>
    <x v="8"/>
    <s v="Abuja"/>
    <s v="Enterprise"/>
    <x v="2"/>
    <x v="15"/>
    <x v="5"/>
    <x v="471"/>
    <n v="555.95000000000005"/>
    <n v="468.09"/>
    <n v="468.09"/>
    <n v="0.14199999999999999"/>
    <n v="11"/>
    <n v="4417.8334199999999"/>
    <n v="6115.4500000000007"/>
    <n v="-1697.6165800000008"/>
    <n v="-0.38426450674095375"/>
    <d v="2023-07-18T00:00:00"/>
    <s v="Q1-2025"/>
    <s v="Africa → Nigeria → Abuja"/>
    <s v="Low"/>
    <x v="23"/>
    <d v="2023-01-01T00:00:00"/>
    <n v="26"/>
    <n v="0"/>
    <n v="0"/>
    <m/>
    <m/>
    <n v="13.2"/>
    <n v="639.34249999999997"/>
    <n v="0.14199999999999999"/>
    <n v="5301.4001039999994"/>
    <n v="8439.3209999999999"/>
    <n v="-3137.9208960000005"/>
  </r>
  <r>
    <x v="472"/>
    <x v="371"/>
    <d v="2025-03-26T00:00:00"/>
    <n v="1"/>
    <x v="3"/>
    <x v="8"/>
    <s v="Lagos"/>
    <s v="Education"/>
    <x v="3"/>
    <x v="2"/>
    <x v="5"/>
    <x v="472"/>
    <n v="1450.43"/>
    <n v="1994.67"/>
    <n v="1994.67"/>
    <n v="0.1"/>
    <n v="24"/>
    <n v="43084.872000000003"/>
    <n v="34810.32"/>
    <n v="8274.5520000000033"/>
    <n v="0.19205237513529116"/>
    <d v="2023-07-05T00:00:00"/>
    <s v="Q1-2025"/>
    <s v="Africa → Nigeria → Lagos"/>
    <s v="High"/>
    <x v="23"/>
    <d v="2023-01-01T00:00:00"/>
    <n v="26"/>
    <n v="1"/>
    <n v="0"/>
    <m/>
    <m/>
    <n v="28.799999999999997"/>
    <n v="1667.9945"/>
    <n v="0.1"/>
    <n v="51701.846400000002"/>
    <n v="48038.241599999994"/>
    <n v="3663.6048000000083"/>
  </r>
  <r>
    <x v="473"/>
    <x v="372"/>
    <d v="2025-04-02T00:00:00"/>
    <n v="4"/>
    <x v="3"/>
    <x v="8"/>
    <s v="Lagos"/>
    <s v="Non-Profit"/>
    <x v="0"/>
    <x v="2"/>
    <x v="2"/>
    <x v="473"/>
    <n v="259.93"/>
    <n v="255.94"/>
    <n v="255.94"/>
    <n v="7.1999999999999995E-2"/>
    <n v="22"/>
    <n v="5225.2710400000005"/>
    <n v="5718.46"/>
    <n v="-493.1889599999995"/>
    <n v="-9.4385335463861311E-2"/>
    <d v="2023-07-07T00:00:00"/>
    <s v="Q1-2025"/>
    <s v="Africa → Nigeria → Lagos"/>
    <s v="Low"/>
    <x v="23"/>
    <d v="2023-01-01T00:00:00"/>
    <n v="26"/>
    <n v="1"/>
    <n v="0"/>
    <m/>
    <m/>
    <n v="26.4"/>
    <n v="298.91949999999997"/>
    <n v="7.1999999999999995E-2"/>
    <n v="6270.3252480000001"/>
    <n v="7891.474799999999"/>
    <n v="-1621.1495519999989"/>
  </r>
  <r>
    <x v="474"/>
    <x v="90"/>
    <d v="2025-04-26T00:00:00"/>
    <n v="10"/>
    <x v="3"/>
    <x v="8"/>
    <s v="Port Harcourt"/>
    <s v="Enterprise"/>
    <x v="0"/>
    <x v="8"/>
    <x v="6"/>
    <x v="474"/>
    <n v="1457.44"/>
    <n v="1996.81"/>
    <n v="1996.81"/>
    <n v="0.126"/>
    <n v="23"/>
    <n v="40139.874619999995"/>
    <n v="33521.120000000003"/>
    <n v="6618.7546199999924"/>
    <n v="0.16489225944672353"/>
    <d v="2023-06-22T00:00:00"/>
    <s v="Q2-2025"/>
    <s v="Africa → Nigeria → Port Harcourt"/>
    <s v="High"/>
    <x v="24"/>
    <d v="2023-01-01T00:00:00"/>
    <n v="27"/>
    <n v="0"/>
    <n v="0"/>
    <m/>
    <m/>
    <n v="27.599999999999998"/>
    <n v="1676.056"/>
    <n v="0.126"/>
    <n v="48167.84954399999"/>
    <n v="46259.145599999996"/>
    <n v="1908.7039439999935"/>
  </r>
  <r>
    <x v="475"/>
    <x v="51"/>
    <d v="2025-05-30T00:00:00"/>
    <n v="13"/>
    <x v="3"/>
    <x v="8"/>
    <s v="Lagos"/>
    <s v="Consumer"/>
    <x v="3"/>
    <x v="8"/>
    <x v="5"/>
    <x v="475"/>
    <n v="66.400000000000006"/>
    <n v="141.43"/>
    <n v="141.43"/>
    <n v="0.107"/>
    <n v="8"/>
    <n v="1010.3759200000001"/>
    <n v="531.20000000000005"/>
    <n v="479.17592000000002"/>
    <n v="0.47425508715607551"/>
    <d v="2023-05-07T00:00:00"/>
    <s v="Q2-2025"/>
    <s v="Africa → Nigeria → Lagos"/>
    <s v="Low"/>
    <x v="25"/>
    <d v="2023-01-01T00:00:00"/>
    <n v="28"/>
    <n v="0"/>
    <n v="0"/>
    <m/>
    <m/>
    <n v="9.6"/>
    <n v="76.36"/>
    <n v="0.107"/>
    <n v="1212.451104"/>
    <n v="733.05599999999993"/>
    <n v="479.39510400000006"/>
  </r>
  <r>
    <x v="476"/>
    <x v="373"/>
    <d v="2025-06-29T00:00:00"/>
    <n v="15"/>
    <x v="3"/>
    <x v="8"/>
    <s v="Port Harcourt"/>
    <s v="Consumer"/>
    <x v="0"/>
    <x v="3"/>
    <x v="5"/>
    <x v="476"/>
    <n v="730.99"/>
    <n v="1242.8399999999999"/>
    <n v="1242.8399999999999"/>
    <n v="0.12"/>
    <n v="10"/>
    <n v="10936.992"/>
    <n v="7309.9"/>
    <n v="3627.0920000000006"/>
    <n v="0.33163524303574515"/>
    <d v="2023-05-05T00:00:00"/>
    <s v="Q2-2025"/>
    <s v="Africa → Nigeria → Port Harcourt"/>
    <s v="Medium"/>
    <x v="31"/>
    <d v="2023-01-01T00:00:00"/>
    <n v="29"/>
    <n v="0"/>
    <n v="0"/>
    <m/>
    <m/>
    <n v="12"/>
    <n v="840.63849999999991"/>
    <n v="0.12"/>
    <n v="13124.390399999998"/>
    <n v="10087.661999999998"/>
    <n v="3036.7284"/>
  </r>
  <r>
    <x v="477"/>
    <x v="374"/>
    <d v="2025-07-11T00:00:00"/>
    <n v="15"/>
    <x v="3"/>
    <x v="8"/>
    <s v="Port Harcourt"/>
    <s v="Small Business"/>
    <x v="1"/>
    <x v="4"/>
    <x v="6"/>
    <x v="477"/>
    <n v="1170.1500000000001"/>
    <n v="2115.19"/>
    <n v="2115.19"/>
    <n v="9.1999999999999998E-2"/>
    <n v="23"/>
    <n v="44173.627960000005"/>
    <n v="26913.45"/>
    <n v="17260.177960000005"/>
    <n v="0.39073489674946776"/>
    <d v="2023-04-16T00:00:00"/>
    <s v="Q2-2025"/>
    <s v="Africa → Nigeria → Port Harcourt"/>
    <s v="High"/>
    <x v="31"/>
    <d v="2023-01-01T00:00:00"/>
    <n v="29"/>
    <n v="0"/>
    <n v="0"/>
    <m/>
    <m/>
    <n v="27.599999999999998"/>
    <n v="1345.6724999999999"/>
    <n v="9.1999999999999998E-2"/>
    <n v="53008.353552"/>
    <n v="37140.560999999994"/>
    <n v="15867.792552000006"/>
  </r>
  <r>
    <x v="478"/>
    <x v="142"/>
    <d v="2025-07-06T00:00:00"/>
    <n v="3"/>
    <x v="3"/>
    <x v="8"/>
    <s v="Lagos"/>
    <s v="Consumer"/>
    <x v="1"/>
    <x v="10"/>
    <x v="6"/>
    <x v="478"/>
    <n v="1313.3"/>
    <n v="2884.34"/>
    <n v="2884.34"/>
    <n v="0.157"/>
    <n v="42"/>
    <n v="102122.94203999999"/>
    <n v="55158.6"/>
    <n v="46964.342039999996"/>
    <n v="0.45988042551305253"/>
    <d v="2023-03-23T00:00:00"/>
    <s v="Q3-2025"/>
    <s v="Africa → Nigeria → Lagos"/>
    <s v="High"/>
    <x v="26"/>
    <d v="2023-01-01T00:00:00"/>
    <n v="30"/>
    <n v="1"/>
    <n v="0"/>
    <m/>
    <m/>
    <n v="50.4"/>
    <n v="1510.2949999999998"/>
    <n v="0.157"/>
    <n v="122547.530448"/>
    <n v="76118.867999999988"/>
    <n v="46428.662448000017"/>
  </r>
  <r>
    <x v="479"/>
    <x v="375"/>
    <d v="2025-08-07T00:00:00"/>
    <n v="17"/>
    <x v="3"/>
    <x v="8"/>
    <s v="Lagos"/>
    <s v="Enterprise"/>
    <x v="2"/>
    <x v="3"/>
    <x v="5"/>
    <x v="479"/>
    <n v="1204.95"/>
    <n v="2065.73"/>
    <n v="2065.73"/>
    <n v="0.13600000000000001"/>
    <n v="10"/>
    <n v="17847.907199999998"/>
    <n v="12049.5"/>
    <n v="5798.4071999999978"/>
    <n v="0.32487882949100039"/>
    <d v="2023-03-07T00:00:00"/>
    <s v="Q3-2025"/>
    <s v="Africa → Nigeria → Lagos"/>
    <s v="High"/>
    <x v="26"/>
    <d v="2023-01-01T00:00:00"/>
    <n v="30"/>
    <n v="0"/>
    <n v="0"/>
    <m/>
    <m/>
    <n v="12"/>
    <n v="1385.6924999999999"/>
    <n v="0.13600000000000001"/>
    <n v="21417.488640000003"/>
    <n v="16628.309999999998"/>
    <n v="4789.1786400000055"/>
  </r>
  <r>
    <x v="480"/>
    <x v="376"/>
    <d v="2025-08-28T00:00:00"/>
    <n v="2"/>
    <x v="3"/>
    <x v="8"/>
    <s v="Port Harcourt"/>
    <s v="Small Business"/>
    <x v="4"/>
    <x v="4"/>
    <x v="5"/>
    <x v="480"/>
    <n v="521.05999999999995"/>
    <n v="1240.31"/>
    <n v="1240.31"/>
    <n v="0.14599999999999999"/>
    <n v="18"/>
    <n v="19066.045319999997"/>
    <n v="9379.0799999999981"/>
    <n v="9686.9653199999993"/>
    <n v="0.50807417885650974"/>
    <d v="2023-01-26T00:00:00"/>
    <s v="Q3-2025"/>
    <s v="Africa → Nigeria → Port Harcourt"/>
    <s v="Medium"/>
    <x v="27"/>
    <d v="2023-01-01T00:00:00"/>
    <n v="31"/>
    <n v="1"/>
    <n v="0"/>
    <m/>
    <m/>
    <n v="21.599999999999998"/>
    <n v="599.21899999999994"/>
    <n v="0.14599999999999999"/>
    <n v="22879.254383999996"/>
    <n v="12943.130399999998"/>
    <n v="9936.123983999998"/>
  </r>
  <r>
    <x v="481"/>
    <x v="377"/>
    <d v="2025-09-05T00:00:00"/>
    <n v="8"/>
    <x v="3"/>
    <x v="8"/>
    <s v="Port Harcourt"/>
    <s v="Small Business"/>
    <x v="0"/>
    <x v="6"/>
    <x v="6"/>
    <x v="481"/>
    <n v="1271.0999999999999"/>
    <n v="1932.42"/>
    <n v="1932.42"/>
    <n v="0.25"/>
    <n v="21"/>
    <n v="30435.614999999998"/>
    <n v="26693.1"/>
    <n v="3742.5149999999994"/>
    <n v="0.12296498690760807"/>
    <d v="2023-02-11T00:00:00"/>
    <s v="Q3-2025"/>
    <s v="Africa → Nigeria → Port Harcourt"/>
    <s v="High"/>
    <x v="27"/>
    <d v="2023-01-01T00:00:00"/>
    <n v="31"/>
    <n v="0"/>
    <n v="1"/>
    <m/>
    <m/>
    <n v="25.2"/>
    <n v="1461.7649999999999"/>
    <n v="0.25"/>
    <n v="36522.738000000005"/>
    <n v="36836.477999999996"/>
    <n v="-313.73999999999069"/>
  </r>
  <r>
    <x v="482"/>
    <x v="378"/>
    <d v="2023-01-30T00:00:00"/>
    <n v="23"/>
    <x v="3"/>
    <x v="9"/>
    <s v="Cape Town"/>
    <s v="Consumer"/>
    <x v="1"/>
    <x v="4"/>
    <x v="3"/>
    <x v="482"/>
    <n v="299.02"/>
    <n v="724.7"/>
    <n v="724.7"/>
    <n v="0.14000000000000001"/>
    <n v="5"/>
    <n v="3116.21"/>
    <n v="1495.1"/>
    <n v="1621.1100000000001"/>
    <n v="0.52021847051386139"/>
    <d v="2025-09-12T00:00:00"/>
    <s v="Q1-2023"/>
    <s v="Africa → South Africa → Cape Town"/>
    <s v="Low"/>
    <x v="0"/>
    <d v="2023-01-01T00:00:00"/>
    <n v="0"/>
    <n v="0"/>
    <n v="0"/>
    <m/>
    <m/>
    <n v="6"/>
    <n v="343.87299999999993"/>
    <n v="0.14000000000000001"/>
    <n v="3739.4520000000007"/>
    <n v="2063.2379999999994"/>
    <n v="1676.2140000000013"/>
  </r>
  <r>
    <x v="483"/>
    <x v="379"/>
    <d v="2023-02-11T00:00:00"/>
    <n v="3"/>
    <x v="3"/>
    <x v="9"/>
    <s v="Cape Town"/>
    <s v="Corporate"/>
    <x v="2"/>
    <x v="3"/>
    <x v="4"/>
    <x v="483"/>
    <n v="1410.05"/>
    <n v="2763.95"/>
    <n v="2763.95"/>
    <n v="0.161"/>
    <n v="26"/>
    <n v="60292.805299999993"/>
    <n v="36661.299999999996"/>
    <n v="23631.505299999997"/>
    <n v="0.39194569206750779"/>
    <d v="2025-08-07T00:00:00"/>
    <s v="Q1-2023"/>
    <s v="Africa → South Africa → Cape Town"/>
    <s v="High"/>
    <x v="1"/>
    <d v="2023-01-01T00:00:00"/>
    <n v="1"/>
    <n v="1"/>
    <n v="0"/>
    <m/>
    <m/>
    <n v="31.2"/>
    <n v="1621.5574999999999"/>
    <n v="0.161"/>
    <n v="72351.366359999985"/>
    <n v="50592.593999999997"/>
    <n v="21758.772359999988"/>
  </r>
  <r>
    <x v="484"/>
    <x v="380"/>
    <d v="2023-02-26T00:00:00"/>
    <n v="11"/>
    <x v="3"/>
    <x v="9"/>
    <s v="Johannesburg"/>
    <s v="Non-Profit"/>
    <x v="4"/>
    <x v="12"/>
    <x v="6"/>
    <x v="484"/>
    <n v="498.5"/>
    <n v="755.87"/>
    <n v="755.87"/>
    <n v="0.13"/>
    <n v="40"/>
    <n v="26304.275999999998"/>
    <n v="19940"/>
    <n v="6364.275999999998"/>
    <n v="0.24194834330357537"/>
    <d v="2025-08-30T00:00:00"/>
    <s v="Q1-2023"/>
    <s v="Africa → South Africa → Johannesburg"/>
    <s v="Low"/>
    <x v="1"/>
    <d v="2023-01-01T00:00:00"/>
    <n v="1"/>
    <n v="0"/>
    <n v="0"/>
    <m/>
    <m/>
    <n v="48"/>
    <n v="573.27499999999998"/>
    <n v="0.13"/>
    <n v="31565.1312"/>
    <n v="27517.199999999997"/>
    <n v="4047.9312000000027"/>
  </r>
  <r>
    <x v="485"/>
    <x v="381"/>
    <d v="2023-04-04T00:00:00"/>
    <n v="22"/>
    <x v="3"/>
    <x v="9"/>
    <s v="Durban"/>
    <s v="Small Business"/>
    <x v="4"/>
    <x v="4"/>
    <x v="1"/>
    <x v="485"/>
    <n v="1113.7"/>
    <n v="1620.6"/>
    <n v="1620.6"/>
    <n v="0.13900000000000001"/>
    <n v="11"/>
    <n v="15348.702599999999"/>
    <n v="12250.7"/>
    <n v="3098.002599999998"/>
    <n v="0.20184133348182787"/>
    <d v="2025-07-21T00:00:00"/>
    <s v="Q1-2023"/>
    <s v="Africa → South Africa → Durban"/>
    <s v="Medium"/>
    <x v="2"/>
    <d v="2023-01-01T00:00:00"/>
    <n v="2"/>
    <n v="0"/>
    <n v="0"/>
    <m/>
    <m/>
    <n v="13.2"/>
    <n v="1280.7549999999999"/>
    <n v="0.13900000000000001"/>
    <n v="18418.44312"/>
    <n v="16905.965999999997"/>
    <n v="1512.4771200000032"/>
  </r>
  <r>
    <x v="486"/>
    <x v="195"/>
    <d v="2023-03-30T00:00:00"/>
    <n v="16"/>
    <x v="3"/>
    <x v="9"/>
    <s v="Cape Town"/>
    <s v="Consumer"/>
    <x v="3"/>
    <x v="12"/>
    <x v="1"/>
    <x v="486"/>
    <n v="1309.77"/>
    <n v="1589.07"/>
    <n v="1589.07"/>
    <n v="0.10199999999999999"/>
    <n v="10"/>
    <n v="14269.848599999999"/>
    <n v="13097.7"/>
    <n v="1172.1485999999986"/>
    <n v="8.2141628328137886E-2"/>
    <d v="2025-07-24T00:00:00"/>
    <s v="Q1-2023"/>
    <s v="Africa → South Africa → Cape Town"/>
    <s v="Medium"/>
    <x v="2"/>
    <d v="2023-01-01T00:00:00"/>
    <n v="2"/>
    <n v="0"/>
    <n v="0"/>
    <m/>
    <m/>
    <n v="12"/>
    <n v="1506.2354999999998"/>
    <n v="0.10199999999999999"/>
    <n v="17123.818320000002"/>
    <n v="18074.825999999997"/>
    <n v="-951.00767999999516"/>
  </r>
  <r>
    <x v="487"/>
    <x v="229"/>
    <d v="2023-05-29T00:00:00"/>
    <n v="22"/>
    <x v="3"/>
    <x v="9"/>
    <s v="Durban"/>
    <s v="Education"/>
    <x v="3"/>
    <x v="12"/>
    <x v="5"/>
    <x v="487"/>
    <n v="653.86"/>
    <n v="931.84"/>
    <n v="931.84"/>
    <n v="0.121"/>
    <n v="12"/>
    <n v="9829.0483199999999"/>
    <n v="7846.32"/>
    <n v="1982.7283200000002"/>
    <n v="0.20172129136506273"/>
    <d v="2025-05-16T00:00:00"/>
    <s v="Q2-2023"/>
    <s v="Africa → South Africa → Durban"/>
    <s v="Medium"/>
    <x v="4"/>
    <d v="2023-01-01T00:00:00"/>
    <n v="4"/>
    <n v="0"/>
    <n v="0"/>
    <m/>
    <m/>
    <n v="14.399999999999999"/>
    <n v="751.93899999999996"/>
    <n v="0.121"/>
    <n v="11794.857984"/>
    <n v="10827.921599999998"/>
    <n v="966.93638400000236"/>
  </r>
  <r>
    <x v="488"/>
    <x v="107"/>
    <d v="2023-06-15T00:00:00"/>
    <n v="29"/>
    <x v="3"/>
    <x v="9"/>
    <s v="Durban"/>
    <s v="Enterprise"/>
    <x v="4"/>
    <x v="12"/>
    <x v="5"/>
    <x v="488"/>
    <n v="40.89"/>
    <n v="62.82"/>
    <n v="62.82"/>
    <n v="0.129"/>
    <n v="17"/>
    <n v="930.17574000000002"/>
    <n v="695.13"/>
    <n v="235.04574000000002"/>
    <n v="0.25268960465470752"/>
    <d v="2025-05-19T00:00:00"/>
    <s v="Q2-2023"/>
    <s v="Africa → South Africa → Durban"/>
    <s v="Low"/>
    <x v="4"/>
    <d v="2023-01-01T00:00:00"/>
    <n v="4"/>
    <n v="0"/>
    <n v="0"/>
    <m/>
    <m/>
    <n v="20.399999999999999"/>
    <n v="47.023499999999999"/>
    <n v="0.129"/>
    <n v="1116.2108880000001"/>
    <n v="959.2793999999999"/>
    <n v="156.93148800000017"/>
  </r>
  <r>
    <x v="489"/>
    <x v="382"/>
    <d v="2023-05-20T00:00:00"/>
    <n v="2"/>
    <x v="3"/>
    <x v="9"/>
    <s v="Durban"/>
    <s v="Corporate"/>
    <x v="3"/>
    <x v="4"/>
    <x v="1"/>
    <x v="489"/>
    <n v="917.88"/>
    <n v="1347.92"/>
    <n v="1347.92"/>
    <n v="0.34300000000000003"/>
    <n v="5"/>
    <n v="4427.9172000000008"/>
    <n v="4589.3999999999996"/>
    <n v="-161.48279999999886"/>
    <n v="-3.6469245630880096E-2"/>
    <d v="2025-05-16T00:00:00"/>
    <s v="Q2-2023"/>
    <s v="Africa → South Africa → Durban"/>
    <s v="Medium"/>
    <x v="4"/>
    <d v="2023-01-01T00:00:00"/>
    <n v="4"/>
    <n v="1"/>
    <n v="1"/>
    <m/>
    <m/>
    <n v="6"/>
    <n v="1055.5619999999999"/>
    <n v="0.25"/>
    <n v="6065.64"/>
    <n v="6333.3719999999994"/>
    <n v="-267.73199999999906"/>
  </r>
  <r>
    <x v="490"/>
    <x v="383"/>
    <d v="2023-07-23T00:00:00"/>
    <n v="20"/>
    <x v="3"/>
    <x v="9"/>
    <s v="Johannesburg"/>
    <s v="Small Business"/>
    <x v="3"/>
    <x v="8"/>
    <x v="6"/>
    <x v="490"/>
    <n v="1001.96"/>
    <n v="1254.95"/>
    <n v="1254.95"/>
    <n v="4.4999999999999998E-2"/>
    <n v="18"/>
    <n v="21572.590500000002"/>
    <n v="18035.28"/>
    <n v="3537.3105000000032"/>
    <n v="0.16397244920585699"/>
    <d v="2025-03-24T00:00:00"/>
    <s v="Q3-2023"/>
    <s v="Africa → South Africa → Johannesburg"/>
    <s v="Medium"/>
    <x v="6"/>
    <d v="2023-01-01T00:00:00"/>
    <n v="6"/>
    <n v="0"/>
    <n v="0"/>
    <m/>
    <m/>
    <n v="21.599999999999998"/>
    <n v="1152.2539999999999"/>
    <n v="4.4999999999999998E-2"/>
    <n v="25887.108599999996"/>
    <n v="24888.686399999995"/>
    <n v="998.42220000000088"/>
  </r>
  <r>
    <x v="491"/>
    <x v="384"/>
    <d v="2023-07-13T00:00:00"/>
    <n v="6"/>
    <x v="3"/>
    <x v="9"/>
    <s v="Cape Town"/>
    <s v="Small Business"/>
    <x v="0"/>
    <x v="7"/>
    <x v="5"/>
    <x v="491"/>
    <n v="612.59"/>
    <n v="1424.74"/>
    <n v="1424.74"/>
    <n v="4.3999999999999997E-2"/>
    <n v="15"/>
    <n v="20430.771599999996"/>
    <n v="9188.85"/>
    <n v="11241.921599999996"/>
    <n v="0.55024459281802152"/>
    <d v="2025-03-29T00:00:00"/>
    <s v="Q3-2023"/>
    <s v="Africa → South Africa → Cape Town"/>
    <s v="Medium"/>
    <x v="6"/>
    <d v="2023-01-01T00:00:00"/>
    <n v="6"/>
    <n v="1"/>
    <n v="0"/>
    <m/>
    <m/>
    <n v="18"/>
    <n v="704.47849999999994"/>
    <n v="4.3999999999999997E-2"/>
    <n v="24516.925919999998"/>
    <n v="12680.612999999999"/>
    <n v="11836.312919999998"/>
  </r>
  <r>
    <x v="492"/>
    <x v="351"/>
    <d v="2023-07-21T00:00:00"/>
    <n v="7"/>
    <x v="3"/>
    <x v="9"/>
    <s v="Durban"/>
    <s v="Enterprise"/>
    <x v="0"/>
    <x v="10"/>
    <x v="0"/>
    <x v="492"/>
    <n v="620.74"/>
    <n v="1330.07"/>
    <n v="1330.07"/>
    <n v="0.29899999999999999"/>
    <n v="28"/>
    <n v="26106.613960000002"/>
    <n v="17380.72"/>
    <n v="8725.8939600000012"/>
    <n v="0.33424073965967516"/>
    <d v="2025-03-14T00:00:00"/>
    <s v="Q3-2023"/>
    <s v="Africa → South Africa → Durban"/>
    <s v="Medium"/>
    <x v="6"/>
    <d v="2023-01-01T00:00:00"/>
    <n v="6"/>
    <n v="1"/>
    <n v="1"/>
    <m/>
    <m/>
    <n v="33.6"/>
    <n v="713.851"/>
    <n v="0.25"/>
    <n v="33517.763999999996"/>
    <n v="23985.393599999999"/>
    <n v="9532.3703999999962"/>
  </r>
  <r>
    <x v="493"/>
    <x v="9"/>
    <d v="2023-08-10T00:00:00"/>
    <n v="23"/>
    <x v="3"/>
    <x v="9"/>
    <s v="Johannesburg"/>
    <s v="Small Business"/>
    <x v="4"/>
    <x v="11"/>
    <x v="1"/>
    <x v="493"/>
    <n v="1271.56"/>
    <n v="995.47"/>
    <n v="995.47"/>
    <n v="0.192"/>
    <n v="13"/>
    <n v="10456.416880000001"/>
    <n v="16530.28"/>
    <n v="-6073.8631199999982"/>
    <n v="-0.58087423155607754"/>
    <d v="2025-03-11T00:00:00"/>
    <s v="Q3-2023"/>
    <s v="Africa → South Africa → Johannesburg"/>
    <s v="Medium"/>
    <x v="6"/>
    <d v="2023-01-01T00:00:00"/>
    <n v="6"/>
    <n v="0"/>
    <n v="0"/>
    <m/>
    <m/>
    <n v="15.6"/>
    <n v="1462.2939999999999"/>
    <n v="0.192"/>
    <n v="12547.700256000002"/>
    <n v="22811.786399999997"/>
    <n v="-10264.086143999995"/>
  </r>
  <r>
    <x v="494"/>
    <x v="385"/>
    <d v="2023-09-03T00:00:00"/>
    <n v="17"/>
    <x v="3"/>
    <x v="9"/>
    <s v="Durban"/>
    <s v="Enterprise"/>
    <x v="4"/>
    <x v="4"/>
    <x v="2"/>
    <x v="494"/>
    <n v="676.37"/>
    <n v="1276.67"/>
    <n v="1276.67"/>
    <n v="6.6000000000000003E-2"/>
    <n v="10"/>
    <n v="11924.0978"/>
    <n v="6763.7"/>
    <n v="5160.3977999999997"/>
    <n v="0.4327705027712872"/>
    <d v="2025-02-15T00:00:00"/>
    <s v="Q3-2023"/>
    <s v="Africa → South Africa → Durban"/>
    <s v="Medium"/>
    <x v="7"/>
    <d v="2023-01-01T00:00:00"/>
    <n v="7"/>
    <n v="0"/>
    <n v="0"/>
    <m/>
    <m/>
    <n v="12"/>
    <n v="777.82549999999992"/>
    <n v="6.6000000000000003E-2"/>
    <n v="14308.917359999999"/>
    <n v="9333.905999999999"/>
    <n v="4975.0113600000004"/>
  </r>
  <r>
    <x v="495"/>
    <x v="68"/>
    <d v="2023-09-07T00:00:00"/>
    <n v="19"/>
    <x v="3"/>
    <x v="9"/>
    <s v="Johannesburg"/>
    <s v="Enterprise"/>
    <x v="4"/>
    <x v="0"/>
    <x v="0"/>
    <x v="495"/>
    <n v="494.61"/>
    <n v="605.23"/>
    <n v="605.23"/>
    <n v="0.20399999999999999"/>
    <n v="18"/>
    <n v="8671.7354400000004"/>
    <n v="8902.98"/>
    <n v="-231.24455999999918"/>
    <n v="-2.6666468505639647E-2"/>
    <d v="2025-01-27T00:00:00"/>
    <s v="Q3-2023"/>
    <s v="Africa → South Africa → Johannesburg"/>
    <s v="Low"/>
    <x v="7"/>
    <d v="2023-01-01T00:00:00"/>
    <n v="7"/>
    <n v="0"/>
    <n v="1"/>
    <m/>
    <m/>
    <n v="21.599999999999998"/>
    <n v="568.80149999999992"/>
    <n v="0.20399999999999999"/>
    <n v="10406.082527999999"/>
    <n v="12286.112399999996"/>
    <n v="-1880.0298719999973"/>
  </r>
  <r>
    <x v="496"/>
    <x v="386"/>
    <d v="2023-09-20T00:00:00"/>
    <n v="27"/>
    <x v="3"/>
    <x v="9"/>
    <s v="Durban"/>
    <s v="Small Business"/>
    <x v="0"/>
    <x v="3"/>
    <x v="3"/>
    <x v="496"/>
    <n v="1399.64"/>
    <n v="3342.11"/>
    <n v="3342.11"/>
    <n v="0"/>
    <n v="10"/>
    <n v="33421.1"/>
    <n v="13996.400000000001"/>
    <n v="19424.699999999997"/>
    <n v="0.58121067229983447"/>
    <d v="2025-01-29T00:00:00"/>
    <s v="Q3-2023"/>
    <s v="Africa → South Africa → Durban"/>
    <s v="High"/>
    <x v="7"/>
    <d v="2023-01-01T00:00:00"/>
    <n v="7"/>
    <n v="0"/>
    <n v="0"/>
    <m/>
    <m/>
    <n v="12"/>
    <n v="1609.586"/>
    <n v="0"/>
    <n v="40105.32"/>
    <n v="19315.031999999999"/>
    <n v="20790.288"/>
  </r>
  <r>
    <x v="497"/>
    <x v="387"/>
    <d v="2023-09-10T00:00:00"/>
    <n v="15"/>
    <x v="3"/>
    <x v="9"/>
    <s v="Cape Town"/>
    <s v="Non-Profit"/>
    <x v="2"/>
    <x v="1"/>
    <x v="1"/>
    <x v="497"/>
    <n v="241.14"/>
    <n v="496.52"/>
    <n v="496.52"/>
    <n v="9.2999999999999999E-2"/>
    <n v="10"/>
    <n v="4503.4363999999996"/>
    <n v="2411.3999999999996"/>
    <n v="2092.0364"/>
    <n v="0.46454223268257994"/>
    <d v="2025-01-22T00:00:00"/>
    <s v="Q3-2023"/>
    <s v="Africa → South Africa → Cape Town"/>
    <s v="Low"/>
    <x v="7"/>
    <d v="2023-01-01T00:00:00"/>
    <n v="7"/>
    <n v="0"/>
    <n v="0"/>
    <m/>
    <m/>
    <n v="12"/>
    <n v="277.31099999999998"/>
    <n v="9.2999999999999999E-2"/>
    <n v="5404.1236799999997"/>
    <n v="3327.732"/>
    <n v="2076.3916799999997"/>
  </r>
  <r>
    <x v="498"/>
    <x v="388"/>
    <d v="2023-11-05T00:00:00"/>
    <n v="10"/>
    <x v="3"/>
    <x v="9"/>
    <s v="Cape Town"/>
    <s v="Non-Profit"/>
    <x v="1"/>
    <x v="14"/>
    <x v="6"/>
    <x v="498"/>
    <n v="20.38"/>
    <n v="42.56"/>
    <n v="42.56"/>
    <n v="7.1999999999999995E-2"/>
    <n v="11"/>
    <n v="434.45248000000004"/>
    <n v="224.17999999999998"/>
    <n v="210.27248000000006"/>
    <n v="0.48399419885921713"/>
    <d v="2024-11-20T00:00:00"/>
    <s v="Q4-2023"/>
    <s v="Africa → South Africa → Cape Town"/>
    <s v="Low"/>
    <x v="9"/>
    <d v="2023-01-01T00:00:00"/>
    <n v="9"/>
    <n v="0"/>
    <n v="0"/>
    <m/>
    <m/>
    <n v="13.2"/>
    <n v="23.436999999999998"/>
    <n v="7.1999999999999995E-2"/>
    <n v="521.34297600000002"/>
    <n v="309.36839999999995"/>
    <n v="211.97457600000007"/>
  </r>
  <r>
    <x v="499"/>
    <x v="389"/>
    <d v="2023-11-30T00:00:00"/>
    <n v="1"/>
    <x v="3"/>
    <x v="9"/>
    <s v="Durban"/>
    <s v="Small Business"/>
    <x v="0"/>
    <x v="6"/>
    <x v="6"/>
    <x v="499"/>
    <n v="275.56"/>
    <n v="630.72"/>
    <n v="630.72"/>
    <n v="0.107"/>
    <n v="23"/>
    <n v="12954.358080000002"/>
    <n v="6337.88"/>
    <n v="6616.4780800000017"/>
    <n v="0.5107530638831933"/>
    <d v="2024-11-12T00:00:00"/>
    <s v="Q4-2023"/>
    <s v="Africa → South Africa → Durban"/>
    <s v="Low"/>
    <x v="10"/>
    <d v="2023-01-01T00:00:00"/>
    <n v="10"/>
    <n v="1"/>
    <n v="0"/>
    <m/>
    <m/>
    <n v="27.599999999999998"/>
    <n v="316.89400000000001"/>
    <n v="0.107"/>
    <n v="15545.229696"/>
    <n v="8746.2744000000002"/>
    <n v="6798.9552960000001"/>
  </r>
  <r>
    <x v="500"/>
    <x v="241"/>
    <d v="2023-12-23T00:00:00"/>
    <n v="1"/>
    <x v="3"/>
    <x v="9"/>
    <s v="Cape Town"/>
    <s v="Non-Profit"/>
    <x v="0"/>
    <x v="0"/>
    <x v="1"/>
    <x v="500"/>
    <n v="1186.18"/>
    <n v="1285.0899999999999"/>
    <n v="1285.0899999999999"/>
    <n v="7.0000000000000007E-2"/>
    <n v="11"/>
    <n v="13146.470699999998"/>
    <n v="13047.980000000001"/>
    <n v="98.49069999999665"/>
    <n v="7.4917977796121861E-3"/>
    <d v="2024-10-25T00:00:00"/>
    <s v="Q4-2023"/>
    <s v="Africa → South Africa → Cape Town"/>
    <s v="Medium"/>
    <x v="11"/>
    <d v="2023-01-01T00:00:00"/>
    <n v="11"/>
    <n v="1"/>
    <n v="0"/>
    <m/>
    <m/>
    <n v="13.2"/>
    <n v="1364.107"/>
    <n v="7.0000000000000007E-2"/>
    <n v="15775.764839999998"/>
    <n v="18006.2124"/>
    <n v="-2230.4475600000023"/>
  </r>
  <r>
    <x v="501"/>
    <x v="390"/>
    <d v="2024-01-01T00:00:00"/>
    <n v="4"/>
    <x v="3"/>
    <x v="9"/>
    <s v="Cape Town"/>
    <s v="Education"/>
    <x v="3"/>
    <x v="4"/>
    <x v="3"/>
    <x v="501"/>
    <n v="1141.8"/>
    <n v="2318.7399999999998"/>
    <n v="2318.7399999999998"/>
    <n v="0.107"/>
    <n v="32"/>
    <n v="66260.314239999992"/>
    <n v="36537.599999999999"/>
    <n v="29722.714239999994"/>
    <n v="0.44857490612468304"/>
    <d v="2024-10-24T00:00:00"/>
    <s v="Q4-2023"/>
    <s v="Africa → South Africa → Cape Town"/>
    <s v="High"/>
    <x v="11"/>
    <d v="2023-01-01T00:00:00"/>
    <n v="11"/>
    <n v="1"/>
    <n v="0"/>
    <m/>
    <m/>
    <n v="38.4"/>
    <n v="1313.07"/>
    <n v="0.107"/>
    <n v="79512.377087999994"/>
    <n v="50421.887999999999"/>
    <n v="29090.489087999995"/>
  </r>
  <r>
    <x v="502"/>
    <x v="276"/>
    <d v="2024-02-02T00:00:00"/>
    <n v="22"/>
    <x v="3"/>
    <x v="9"/>
    <s v="Durban"/>
    <s v="Consumer"/>
    <x v="1"/>
    <x v="12"/>
    <x v="4"/>
    <x v="502"/>
    <n v="1206.2"/>
    <n v="1759.79"/>
    <n v="1759.79"/>
    <n v="0"/>
    <n v="6"/>
    <n v="10558.74"/>
    <n v="7237.2000000000007"/>
    <n v="3321.5399999999991"/>
    <n v="0.31457730751964713"/>
    <d v="2024-09-10T00:00:00"/>
    <s v="Q1-2024"/>
    <s v="Africa → South Africa → Durban"/>
    <s v="High"/>
    <x v="12"/>
    <d v="2023-01-01T00:00:00"/>
    <n v="12"/>
    <n v="0"/>
    <n v="0"/>
    <m/>
    <m/>
    <n v="7.1999999999999993"/>
    <n v="1387.1299999999999"/>
    <n v="0"/>
    <n v="12670.487999999999"/>
    <n v="9987.3359999999975"/>
    <n v="2683.1520000000019"/>
  </r>
  <r>
    <x v="503"/>
    <x v="391"/>
    <d v="2024-02-03T00:00:00"/>
    <n v="16"/>
    <x v="3"/>
    <x v="9"/>
    <s v="Cape Town"/>
    <s v="Non-Profit"/>
    <x v="3"/>
    <x v="11"/>
    <x v="3"/>
    <x v="503"/>
    <n v="666.23"/>
    <n v="1382.91"/>
    <n v="1382.91"/>
    <n v="0.17599999999999999"/>
    <n v="13"/>
    <n v="14813.731920000002"/>
    <n v="8660.99"/>
    <n v="6152.7419200000022"/>
    <n v="0.41534043907553048"/>
    <d v="2024-08-31T00:00:00"/>
    <s v="Q1-2024"/>
    <s v="Africa → South Africa → Cape Town"/>
    <s v="Medium"/>
    <x v="12"/>
    <d v="2023-01-01T00:00:00"/>
    <n v="12"/>
    <n v="0"/>
    <n v="0"/>
    <m/>
    <m/>
    <n v="15.6"/>
    <n v="766.16449999999998"/>
    <n v="0.17599999999999999"/>
    <n v="17776.478304"/>
    <n v="11952.1662"/>
    <n v="5824.3121040000005"/>
  </r>
  <r>
    <x v="504"/>
    <x v="392"/>
    <d v="2024-01-28T00:00:00"/>
    <n v="1"/>
    <x v="3"/>
    <x v="9"/>
    <s v="Cape Town"/>
    <s v="Enterprise"/>
    <x v="2"/>
    <x v="13"/>
    <x v="1"/>
    <x v="504"/>
    <n v="109.75"/>
    <n v="124.25"/>
    <n v="124.25"/>
    <n v="0.12"/>
    <n v="19"/>
    <n v="2077.46"/>
    <n v="2085.25"/>
    <n v="-7.7899999999999636"/>
    <n v="-3.7497713554051405E-3"/>
    <d v="2024-09-09T00:00:00"/>
    <s v="Q1-2024"/>
    <s v="Africa → South Africa → Cape Town"/>
    <s v="Low"/>
    <x v="12"/>
    <d v="2023-01-01T00:00:00"/>
    <n v="12"/>
    <n v="1"/>
    <n v="0"/>
    <m/>
    <m/>
    <n v="22.8"/>
    <n v="126.21249999999999"/>
    <n v="0.12"/>
    <n v="2492.9520000000002"/>
    <n v="2877.645"/>
    <n v="-384.69299999999976"/>
  </r>
  <r>
    <x v="505"/>
    <x v="207"/>
    <d v="2024-01-30T00:00:00"/>
    <n v="2"/>
    <x v="3"/>
    <x v="9"/>
    <s v="Cape Town"/>
    <s v="Consumer"/>
    <x v="2"/>
    <x v="8"/>
    <x v="5"/>
    <x v="505"/>
    <n v="798.45"/>
    <n v="1592.02"/>
    <n v="1592.02"/>
    <n v="6.6000000000000003E-2"/>
    <n v="18"/>
    <n v="26765.040239999998"/>
    <n v="14372.1"/>
    <n v="12392.940239999998"/>
    <n v="0.46302714768494585"/>
    <d v="2024-09-03T00:00:00"/>
    <s v="Q1-2024"/>
    <s v="Africa → South Africa → Cape Town"/>
    <s v="Medium"/>
    <x v="12"/>
    <d v="2023-01-01T00:00:00"/>
    <n v="12"/>
    <n v="1"/>
    <n v="0"/>
    <m/>
    <m/>
    <n v="21.599999999999998"/>
    <n v="918.21749999999997"/>
    <n v="6.6000000000000003E-2"/>
    <n v="32118.048287999994"/>
    <n v="19833.497999999996"/>
    <n v="12284.550287999999"/>
  </r>
  <r>
    <x v="506"/>
    <x v="393"/>
    <d v="2024-03-16T00:00:00"/>
    <n v="12"/>
    <x v="3"/>
    <x v="9"/>
    <s v="Johannesburg"/>
    <s v="Enterprise"/>
    <x v="3"/>
    <x v="3"/>
    <x v="0"/>
    <x v="506"/>
    <n v="441.08"/>
    <n v="1054.29"/>
    <n v="1054.29"/>
    <n v="0.23699999999999999"/>
    <n v="6"/>
    <n v="4826.5396199999996"/>
    <n v="2646.48"/>
    <n v="2180.0596199999995"/>
    <n v="0.45168169985932899"/>
    <d v="2024-07-09T00:00:00"/>
    <s v="Q1-2024"/>
    <s v="Africa → South Africa → Johannesburg"/>
    <s v="Medium"/>
    <x v="29"/>
    <d v="2023-01-01T00:00:00"/>
    <n v="14"/>
    <n v="0"/>
    <n v="1"/>
    <m/>
    <m/>
    <n v="7.1999999999999993"/>
    <n v="507.24199999999996"/>
    <n v="0.23699999999999999"/>
    <n v="5791.8475439999993"/>
    <n v="3652.1423999999993"/>
    <n v="2139.705144"/>
  </r>
  <r>
    <x v="507"/>
    <x v="394"/>
    <d v="2024-05-07T00:00:00"/>
    <n v="25"/>
    <x v="3"/>
    <x v="9"/>
    <s v="Johannesburg"/>
    <s v="Education"/>
    <x v="3"/>
    <x v="4"/>
    <x v="6"/>
    <x v="507"/>
    <n v="1376.51"/>
    <n v="1455.91"/>
    <n v="1455.91"/>
    <n v="0.185"/>
    <n v="17"/>
    <n v="20171.63305"/>
    <n v="23400.67"/>
    <n v="-3229.0369499999979"/>
    <n v="-0.1600781127634085"/>
    <d v="2024-06-03T00:00:00"/>
    <s v="Q2-2024"/>
    <s v="Africa → South Africa → Johannesburg"/>
    <s v="Medium"/>
    <x v="14"/>
    <d v="2023-01-01T00:00:00"/>
    <n v="15"/>
    <n v="0"/>
    <n v="0"/>
    <m/>
    <m/>
    <n v="20.399999999999999"/>
    <n v="1582.9865"/>
    <n v="0.185"/>
    <n v="24205.959659999997"/>
    <n v="32292.924599999998"/>
    <n v="-8086.9649400000017"/>
  </r>
  <r>
    <x v="508"/>
    <x v="395"/>
    <d v="2024-05-27T00:00:00"/>
    <n v="6"/>
    <x v="3"/>
    <x v="9"/>
    <s v="Johannesburg"/>
    <s v="Non-Profit"/>
    <x v="1"/>
    <x v="3"/>
    <x v="1"/>
    <x v="508"/>
    <n v="1157.51"/>
    <n v="1394.3"/>
    <n v="1394.3"/>
    <n v="0.27800000000000002"/>
    <n v="12"/>
    <n v="12080.215199999999"/>
    <n v="13890.119999999999"/>
    <n v="-1809.9048000000003"/>
    <n v="-0.14982388724333326"/>
    <d v="2024-05-26T00:00:00"/>
    <s v="Q2-2024"/>
    <s v="Africa → South Africa → Johannesburg"/>
    <s v="Medium"/>
    <x v="15"/>
    <d v="2023-01-01T00:00:00"/>
    <n v="16"/>
    <n v="1"/>
    <n v="1"/>
    <m/>
    <m/>
    <n v="14.399999999999999"/>
    <n v="1331.1364999999998"/>
    <n v="0.25"/>
    <n v="15058.439999999999"/>
    <n v="19168.365599999997"/>
    <n v="-4109.9255999999987"/>
  </r>
  <r>
    <x v="509"/>
    <x v="28"/>
    <d v="2024-06-03T00:00:00"/>
    <n v="11"/>
    <x v="3"/>
    <x v="9"/>
    <s v="Johannesburg"/>
    <s v="Small Business"/>
    <x v="3"/>
    <x v="8"/>
    <x v="3"/>
    <x v="509"/>
    <n v="180.89"/>
    <n v="249.57"/>
    <n v="249.57"/>
    <n v="2.1999999999999999E-2"/>
    <n v="8"/>
    <n v="1952.6356799999999"/>
    <n v="1447.12"/>
    <n v="505.51567999999997"/>
    <n v="0.25888888806948362"/>
    <d v="2024-05-18T00:00:00"/>
    <s v="Q2-2024"/>
    <s v="Africa → South Africa → Johannesburg"/>
    <s v="Low"/>
    <x v="15"/>
    <d v="2023-01-01T00:00:00"/>
    <n v="16"/>
    <n v="0"/>
    <n v="0"/>
    <m/>
    <m/>
    <n v="9.6"/>
    <n v="208.02349999999996"/>
    <n v="2.1999999999999999E-2"/>
    <n v="2343.162816"/>
    <n v="1997.0255999999995"/>
    <n v="346.13721600000054"/>
  </r>
  <r>
    <x v="510"/>
    <x v="396"/>
    <d v="2024-06-24T00:00:00"/>
    <n v="16"/>
    <x v="3"/>
    <x v="9"/>
    <s v="Durban"/>
    <s v="Education"/>
    <x v="3"/>
    <x v="15"/>
    <x v="0"/>
    <x v="510"/>
    <n v="597.85"/>
    <n v="741.92"/>
    <n v="741.92"/>
    <n v="3.1E-2"/>
    <n v="7"/>
    <n v="5032.4433599999993"/>
    <n v="4184.95"/>
    <n v="847.49335999999948"/>
    <n v="0.16840594108544515"/>
    <d v="2024-04-06T00:00:00"/>
    <s v="Q2-2024"/>
    <s v="Africa → South Africa → Durban"/>
    <s v="Low"/>
    <x v="16"/>
    <d v="2023-01-01T00:00:00"/>
    <n v="17"/>
    <n v="0"/>
    <n v="0"/>
    <m/>
    <m/>
    <n v="8.4"/>
    <n v="687.52749999999992"/>
    <n v="3.1E-2"/>
    <n v="6038.9320319999997"/>
    <n v="5775.2309999999998"/>
    <n v="263.70103199999994"/>
  </r>
  <r>
    <x v="511"/>
    <x v="278"/>
    <d v="2024-07-03T00:00:00"/>
    <n v="17"/>
    <x v="3"/>
    <x v="9"/>
    <s v="Johannesburg"/>
    <s v="Enterprise"/>
    <x v="0"/>
    <x v="8"/>
    <x v="2"/>
    <x v="511"/>
    <n v="1173.83"/>
    <n v="2328.9"/>
    <n v="2328.9"/>
    <n v="0.12"/>
    <n v="17"/>
    <n v="34840.344000000005"/>
    <n v="19955.11"/>
    <n v="14885.234000000004"/>
    <n v="0.42724130393201637"/>
    <d v="2024-04-09T00:00:00"/>
    <s v="Q2-2024"/>
    <s v="Africa → South Africa → Johannesburg"/>
    <s v="High"/>
    <x v="16"/>
    <d v="2023-01-01T00:00:00"/>
    <n v="17"/>
    <n v="0"/>
    <n v="0"/>
    <m/>
    <m/>
    <n v="20.399999999999999"/>
    <n v="1349.9044999999999"/>
    <n v="0.12"/>
    <n v="41808.412799999998"/>
    <n v="27538.051799999994"/>
    <n v="14270.361000000004"/>
  </r>
  <r>
    <x v="512"/>
    <x v="397"/>
    <d v="2024-07-26T00:00:00"/>
    <n v="27"/>
    <x v="3"/>
    <x v="9"/>
    <s v="Durban"/>
    <s v="Enterprise"/>
    <x v="3"/>
    <x v="7"/>
    <x v="4"/>
    <x v="512"/>
    <n v="5.36"/>
    <n v="4.37"/>
    <n v="4.37"/>
    <n v="0.11799999999999999"/>
    <n v="9"/>
    <n v="34.689059999999998"/>
    <n v="48.24"/>
    <n v="-13.550940000000004"/>
    <n v="-0.39064016148030545"/>
    <d v="2024-04-03T00:00:00"/>
    <s v="Q2-2024"/>
    <s v="Africa → South Africa → Durban"/>
    <s v="Low"/>
    <x v="16"/>
    <d v="2023-01-01T00:00:00"/>
    <n v="17"/>
    <n v="0"/>
    <n v="0"/>
    <m/>
    <m/>
    <n v="10.799999999999999"/>
    <n v="6.1639999999999997"/>
    <n v="0.11799999999999999"/>
    <n v="41.626871999999999"/>
    <n v="66.57119999999999"/>
    <n v="-24.944327999999992"/>
  </r>
  <r>
    <x v="513"/>
    <x v="398"/>
    <d v="2024-08-23T00:00:00"/>
    <n v="2"/>
    <x v="3"/>
    <x v="9"/>
    <s v="Johannesburg"/>
    <s v="Education"/>
    <x v="4"/>
    <x v="6"/>
    <x v="1"/>
    <x v="513"/>
    <n v="1432.52"/>
    <n v="3036.87"/>
    <n v="3036.87"/>
    <n v="0"/>
    <n v="9"/>
    <n v="27331.829999999998"/>
    <n v="12892.68"/>
    <n v="14439.149999999998"/>
    <n v="0.52829064135112791"/>
    <d v="2024-02-01T00:00:00"/>
    <s v="Q3-2024"/>
    <s v="Africa → South Africa → Johannesburg"/>
    <s v="High"/>
    <x v="18"/>
    <d v="2023-01-01T00:00:00"/>
    <n v="19"/>
    <n v="1"/>
    <n v="0"/>
    <m/>
    <m/>
    <n v="10.799999999999999"/>
    <n v="1647.3979999999999"/>
    <n v="0"/>
    <n v="32798.195999999996"/>
    <n v="17791.898399999998"/>
    <n v="15006.297599999998"/>
  </r>
  <r>
    <x v="514"/>
    <x v="399"/>
    <d v="2024-10-04T00:00:00"/>
    <n v="28"/>
    <x v="3"/>
    <x v="9"/>
    <s v="Cape Town"/>
    <s v="Corporate"/>
    <x v="0"/>
    <x v="0"/>
    <x v="0"/>
    <x v="514"/>
    <n v="1174.17"/>
    <n v="1641.61"/>
    <n v="1641.61"/>
    <n v="0.122"/>
    <n v="9"/>
    <n v="12972.00222"/>
    <n v="10567.53"/>
    <n v="2404.4722199999997"/>
    <n v="0.18535860380079394"/>
    <d v="2024-01-11T00:00:00"/>
    <s v="Q3-2024"/>
    <s v="Africa → South Africa → Cape Town"/>
    <s v="High"/>
    <x v="19"/>
    <d v="2023-01-01T00:00:00"/>
    <n v="20"/>
    <n v="0"/>
    <n v="0"/>
    <m/>
    <m/>
    <n v="10.799999999999999"/>
    <n v="1350.2954999999999"/>
    <n v="0.122"/>
    <n v="15566.402663999996"/>
    <n v="14583.191399999998"/>
    <n v="983.21126399999775"/>
  </r>
  <r>
    <x v="515"/>
    <x v="400"/>
    <d v="2024-10-23T00:00:00"/>
    <n v="21"/>
    <x v="3"/>
    <x v="9"/>
    <s v="Durban"/>
    <s v="Corporate"/>
    <x v="0"/>
    <x v="4"/>
    <x v="1"/>
    <x v="515"/>
    <n v="1095.6099999999999"/>
    <n v="2366.5100000000002"/>
    <n v="2366.5100000000002"/>
    <n v="0.152"/>
    <n v="9"/>
    <n v="18061.204320000004"/>
    <n v="9860.49"/>
    <n v="8200.7143200000046"/>
    <n v="0.4540513564158607"/>
    <d v="2023-12-22T00:00:00"/>
    <s v="Q4-2024"/>
    <s v="Africa → South Africa → Durban"/>
    <s v="High"/>
    <x v="32"/>
    <d v="2023-01-01T00:00:00"/>
    <n v="21"/>
    <n v="0"/>
    <n v="0"/>
    <m/>
    <m/>
    <n v="10.799999999999999"/>
    <n v="1259.9514999999999"/>
    <n v="0.152"/>
    <n v="21673.445184"/>
    <n v="13607.476199999997"/>
    <n v="8065.9689840000028"/>
  </r>
  <r>
    <x v="516"/>
    <x v="401"/>
    <d v="2025-01-20T00:00:00"/>
    <n v="13"/>
    <x v="3"/>
    <x v="9"/>
    <s v="Cape Town"/>
    <s v="Corporate"/>
    <x v="2"/>
    <x v="12"/>
    <x v="4"/>
    <x v="516"/>
    <n v="432.13"/>
    <n v="1034.6600000000001"/>
    <n v="1034.6600000000001"/>
    <n v="9.1999999999999998E-2"/>
    <n v="7"/>
    <n v="6576.298960000001"/>
    <n v="3024.91"/>
    <n v="3551.3889600000011"/>
    <n v="0.54002851476204794"/>
    <d v="2023-08-24T00:00:00"/>
    <s v="Q1-2025"/>
    <s v="Africa → South Africa → Cape Town"/>
    <s v="Medium"/>
    <x v="21"/>
    <d v="2023-01-01T00:00:00"/>
    <n v="24"/>
    <n v="0"/>
    <n v="0"/>
    <m/>
    <m/>
    <n v="8.4"/>
    <n v="496.94949999999994"/>
    <n v="9.1999999999999998E-2"/>
    <n v="7891.5587520000008"/>
    <n v="4174.3757999999998"/>
    <n v="3717.182952000001"/>
  </r>
  <r>
    <x v="517"/>
    <x v="46"/>
    <d v="2025-04-29T00:00:00"/>
    <n v="30"/>
    <x v="3"/>
    <x v="9"/>
    <s v="Durban"/>
    <s v="Consumer"/>
    <x v="0"/>
    <x v="9"/>
    <x v="0"/>
    <x v="517"/>
    <n v="194.6"/>
    <n v="314.87"/>
    <n v="314.87"/>
    <n v="0.29299999999999998"/>
    <n v="25"/>
    <n v="5565.3272500000003"/>
    <n v="4865"/>
    <n v="700.32725000000028"/>
    <n v="0.1258375686712763"/>
    <d v="2023-06-15T00:00:00"/>
    <s v="Q1-2025"/>
    <s v="Africa → South Africa → Durban"/>
    <s v="Low"/>
    <x v="23"/>
    <d v="2023-01-01T00:00:00"/>
    <n v="26"/>
    <n v="0"/>
    <n v="1"/>
    <m/>
    <m/>
    <n v="30"/>
    <n v="223.78999999999996"/>
    <n v="0.25"/>
    <n v="7084.5750000000007"/>
    <n v="6713.6999999999989"/>
    <n v="370.87500000000182"/>
  </r>
  <r>
    <x v="518"/>
    <x v="402"/>
    <d v="2025-04-19T00:00:00"/>
    <n v="9"/>
    <x v="3"/>
    <x v="9"/>
    <s v="Durban"/>
    <s v="Enterprise"/>
    <x v="5"/>
    <x v="2"/>
    <x v="4"/>
    <x v="518"/>
    <n v="113.74"/>
    <n v="165.7"/>
    <n v="165.7"/>
    <n v="0.124"/>
    <n v="13"/>
    <n v="1886.9915999999998"/>
    <n v="1478.62"/>
    <n v="408.37159999999994"/>
    <n v="0.21641410592394794"/>
    <d v="2023-06-03T00:00:00"/>
    <s v="Q2-2025"/>
    <s v="Africa → South Africa → Durban"/>
    <s v="Low"/>
    <x v="24"/>
    <d v="2023-01-01T00:00:00"/>
    <n v="27"/>
    <n v="0"/>
    <n v="0"/>
    <m/>
    <m/>
    <n v="15.6"/>
    <n v="130.80099999999999"/>
    <n v="0.124"/>
    <n v="2264.3899199999996"/>
    <n v="2040.4955999999997"/>
    <n v="223.89431999999988"/>
  </r>
  <r>
    <x v="519"/>
    <x v="403"/>
    <d v="2025-05-21T00:00:00"/>
    <n v="2"/>
    <x v="3"/>
    <x v="9"/>
    <s v="Johannesburg"/>
    <s v="Non-Profit"/>
    <x v="3"/>
    <x v="13"/>
    <x v="6"/>
    <x v="519"/>
    <n v="1263.8399999999999"/>
    <n v="2281.7199999999998"/>
    <n v="2281.7199999999998"/>
    <n v="7.8E-2"/>
    <n v="15"/>
    <n v="31556.187599999997"/>
    <n v="18957.599999999999"/>
    <n v="12598.587599999999"/>
    <n v="0.39924301882398494"/>
    <d v="2023-04-18T00:00:00"/>
    <s v="Q2-2025"/>
    <s v="Africa → South Africa → Johannesburg"/>
    <s v="High"/>
    <x v="25"/>
    <d v="2023-01-01T00:00:00"/>
    <n v="28"/>
    <n v="1"/>
    <n v="0"/>
    <m/>
    <m/>
    <n v="18"/>
    <n v="1453.4159999999997"/>
    <n v="7.8E-2"/>
    <n v="37867.42512"/>
    <n v="26161.487999999994"/>
    <n v="11705.937120000006"/>
  </r>
  <r>
    <x v="520"/>
    <x v="186"/>
    <d v="2025-06-30T00:00:00"/>
    <n v="15"/>
    <x v="3"/>
    <x v="9"/>
    <s v="Johannesburg"/>
    <s v="Small Business"/>
    <x v="2"/>
    <x v="5"/>
    <x v="0"/>
    <x v="520"/>
    <n v="1487.59"/>
    <n v="1480.83"/>
    <n v="1480.83"/>
    <n v="8.9999999999999993E-3"/>
    <n v="11"/>
    <n v="16142.527829999999"/>
    <n v="16363.49"/>
    <n v="-220.9621700000007"/>
    <n v="-1.3688201273492908E-2"/>
    <d v="2023-04-19T00:00:00"/>
    <s v="Q2-2025"/>
    <s v="Africa → South Africa → Johannesburg"/>
    <s v="Medium"/>
    <x v="31"/>
    <d v="2023-01-01T00:00:00"/>
    <n v="29"/>
    <n v="0"/>
    <n v="0"/>
    <m/>
    <m/>
    <n v="13.2"/>
    <n v="1710.7284999999997"/>
    <n v="8.9999999999999993E-3"/>
    <n v="19371.033395999999"/>
    <n v="22581.616199999997"/>
    <n v="-3210.5828039999979"/>
  </r>
  <r>
    <x v="521"/>
    <x v="404"/>
    <d v="2025-06-21T00:00:00"/>
    <n v="2"/>
    <x v="3"/>
    <x v="9"/>
    <s v="Johannesburg"/>
    <s v="Small Business"/>
    <x v="5"/>
    <x v="15"/>
    <x v="2"/>
    <x v="521"/>
    <n v="1466.27"/>
    <n v="3589.89"/>
    <n v="3589.89"/>
    <n v="9.7000000000000003E-2"/>
    <n v="9"/>
    <n v="29175.036029999999"/>
    <n v="13196.43"/>
    <n v="15978.606029999999"/>
    <n v="0.54768076425234147"/>
    <d v="2023-04-06T00:00:00"/>
    <s v="Q2-2025"/>
    <s v="Africa → South Africa → Johannesburg"/>
    <s v="High"/>
    <x v="31"/>
    <d v="2023-01-01T00:00:00"/>
    <n v="29"/>
    <n v="1"/>
    <n v="0"/>
    <m/>
    <m/>
    <n v="10.799999999999999"/>
    <n v="1686.2104999999999"/>
    <n v="9.7000000000000003E-2"/>
    <n v="35010.043235999998"/>
    <n v="18211.073399999997"/>
    <n v="16798.969836"/>
  </r>
  <r>
    <x v="522"/>
    <x v="405"/>
    <d v="2025-06-27T00:00:00"/>
    <n v="6"/>
    <x v="3"/>
    <x v="9"/>
    <s v="Durban"/>
    <s v="Enterprise"/>
    <x v="3"/>
    <x v="1"/>
    <x v="2"/>
    <x v="522"/>
    <n v="93.91"/>
    <n v="99.04"/>
    <n v="99.04"/>
    <n v="5.7000000000000002E-2"/>
    <n v="6"/>
    <n v="560.36831999999993"/>
    <n v="563.46"/>
    <n v="-3.0916800000001103"/>
    <n v="-5.5172283829323376E-3"/>
    <d v="2023-04-26T00:00:00"/>
    <s v="Q2-2025"/>
    <s v="Africa → South Africa → Durban"/>
    <s v="Low"/>
    <x v="31"/>
    <d v="2023-01-01T00:00:00"/>
    <n v="29"/>
    <n v="1"/>
    <n v="0"/>
    <m/>
    <m/>
    <n v="7.1999999999999993"/>
    <n v="107.99649999999998"/>
    <n v="5.7000000000000002E-2"/>
    <n v="672.44198399999993"/>
    <n v="777.57479999999975"/>
    <n v="-105.13281599999982"/>
  </r>
  <r>
    <x v="523"/>
    <x v="94"/>
    <d v="2025-07-14T00:00:00"/>
    <n v="20"/>
    <x v="3"/>
    <x v="9"/>
    <s v="Johannesburg"/>
    <s v="Enterprise"/>
    <x v="0"/>
    <x v="9"/>
    <x v="6"/>
    <x v="523"/>
    <n v="1151.06"/>
    <n v="2821.36"/>
    <n v="2821.36"/>
    <n v="0.248"/>
    <n v="20"/>
    <n v="42433.254400000005"/>
    <n v="23021.199999999997"/>
    <n v="19412.054400000008"/>
    <n v="0.45747267501594235"/>
    <d v="2023-03-27T00:00:00"/>
    <s v="Q2-2025"/>
    <s v="Africa → South Africa → Johannesburg"/>
    <s v="High"/>
    <x v="31"/>
    <d v="2023-01-01T00:00:00"/>
    <n v="29"/>
    <n v="0"/>
    <n v="1"/>
    <m/>
    <m/>
    <n v="24"/>
    <n v="1323.7189999999998"/>
    <n v="0.248"/>
    <n v="50919.905279999999"/>
    <n v="31769.255999999994"/>
    <n v="19150.649280000005"/>
  </r>
  <r>
    <x v="524"/>
    <x v="406"/>
    <d v="2025-07-17T00:00:00"/>
    <n v="1"/>
    <x v="3"/>
    <x v="9"/>
    <s v="Durban"/>
    <s v="Small Business"/>
    <x v="3"/>
    <x v="7"/>
    <x v="4"/>
    <x v="524"/>
    <n v="1198.9000000000001"/>
    <n v="2941.2"/>
    <n v="2941.2"/>
    <n v="5.0999999999999997E-2"/>
    <n v="24"/>
    <n v="66988.771199999988"/>
    <n v="28773.600000000002"/>
    <n v="38215.171199999982"/>
    <n v="0.57047129713583977"/>
    <d v="2023-03-17T00:00:00"/>
    <s v="Q3-2025"/>
    <s v="Africa → South Africa → Durban"/>
    <s v="High"/>
    <x v="26"/>
    <d v="2023-01-01T00:00:00"/>
    <n v="30"/>
    <n v="1"/>
    <n v="0"/>
    <m/>
    <m/>
    <n v="28.799999999999997"/>
    <n v="1378.7349999999999"/>
    <n v="5.0999999999999997E-2"/>
    <n v="80386.525439999983"/>
    <n v="39707.567999999992"/>
    <n v="40678.957439999991"/>
  </r>
  <r>
    <x v="525"/>
    <x v="407"/>
    <d v="2025-08-06T00:00:00"/>
    <n v="13"/>
    <x v="3"/>
    <x v="9"/>
    <s v="Johannesburg"/>
    <s v="Education"/>
    <x v="0"/>
    <x v="0"/>
    <x v="4"/>
    <x v="525"/>
    <n v="1463.9"/>
    <n v="2633.02"/>
    <n v="2633.02"/>
    <n v="8.4000000000000005E-2"/>
    <n v="4"/>
    <n v="9647.3852800000004"/>
    <n v="5855.6"/>
    <n v="3791.7852800000001"/>
    <n v="0.39303761277791527"/>
    <d v="2023-02-23T00:00:00"/>
    <s v="Q3-2025"/>
    <s v="Africa → South Africa → Johannesburg"/>
    <s v="High"/>
    <x v="26"/>
    <d v="2023-01-01T00:00:00"/>
    <n v="30"/>
    <n v="0"/>
    <n v="0"/>
    <m/>
    <m/>
    <n v="4.8"/>
    <n v="1683.4849999999999"/>
    <n v="8.4000000000000005E-2"/>
    <n v="11576.862336"/>
    <n v="8080.7279999999992"/>
    <n v="3496.134336000001"/>
  </r>
  <r>
    <x v="526"/>
    <x v="408"/>
    <d v="2025-09-23T00:00:00"/>
    <n v="9"/>
    <x v="3"/>
    <x v="9"/>
    <s v="Durban"/>
    <s v="Non-Profit"/>
    <x v="1"/>
    <x v="0"/>
    <x v="1"/>
    <x v="526"/>
    <n v="1310.3"/>
    <n v="2875.8"/>
    <n v="2875.8"/>
    <n v="8.3000000000000004E-2"/>
    <n v="5"/>
    <n v="13185.543"/>
    <n v="6551.5"/>
    <n v="6634.0429999999997"/>
    <n v="0.50313005691157353"/>
    <d v="2023-01-13T00:00:00"/>
    <s v="Q3-2025"/>
    <s v="Africa → South Africa → Durban"/>
    <s v="High"/>
    <x v="28"/>
    <d v="2023-01-01T00:00:00"/>
    <n v="32"/>
    <n v="0"/>
    <n v="0"/>
    <m/>
    <m/>
    <n v="6"/>
    <n v="1506.8449999999998"/>
    <n v="8.3000000000000004E-2"/>
    <n v="15822.651600000003"/>
    <n v="9041.07"/>
    <n v="6781.5816000000032"/>
  </r>
  <r>
    <x v="527"/>
    <x v="409"/>
    <d v="2023-02-03T00:00:00"/>
    <n v="15"/>
    <x v="2"/>
    <x v="10"/>
    <s v="London"/>
    <s v="Enterprise"/>
    <x v="3"/>
    <x v="2"/>
    <x v="5"/>
    <x v="527"/>
    <n v="873.06"/>
    <n v="2101.5500000000002"/>
    <n v="2101.5500000000002"/>
    <n v="6.6000000000000003E-2"/>
    <n v="10"/>
    <n v="19628.476999999999"/>
    <n v="8730.5999999999985"/>
    <n v="10897.877"/>
    <n v="0.55520746719167269"/>
    <d v="2025-09-15T00:00:00"/>
    <s v="Q1-2023"/>
    <s v="Europe → United Kingdom → London"/>
    <s v="High"/>
    <x v="0"/>
    <d v="2023-01-01T00:00:00"/>
    <n v="0"/>
    <n v="0"/>
    <n v="0"/>
    <m/>
    <m/>
    <n v="12"/>
    <n v="1004.0189999999999"/>
    <n v="6.6000000000000003E-2"/>
    <n v="23554.172399999999"/>
    <n v="12048.227999999999"/>
    <n v="11505.9444"/>
  </r>
  <r>
    <x v="528"/>
    <x v="410"/>
    <d v="2023-01-31T00:00:00"/>
    <n v="4"/>
    <x v="2"/>
    <x v="10"/>
    <s v="Manchester"/>
    <s v="Enterprise"/>
    <x v="1"/>
    <x v="1"/>
    <x v="6"/>
    <x v="528"/>
    <n v="941.2"/>
    <n v="668.02"/>
    <n v="668.02"/>
    <n v="0.22"/>
    <n v="16"/>
    <n v="8336.8896000000004"/>
    <n v="15059.2"/>
    <n v="-6722.3104000000003"/>
    <n v="-0.80633314371825193"/>
    <d v="2025-09-08T00:00:00"/>
    <s v="Q1-2023"/>
    <s v="Europe → United Kingdom → Manchester"/>
    <s v="Low"/>
    <x v="0"/>
    <d v="2023-01-01T00:00:00"/>
    <n v="0"/>
    <n v="1"/>
    <n v="1"/>
    <m/>
    <m/>
    <n v="19.2"/>
    <n v="1082.3799999999999"/>
    <n v="0.22"/>
    <n v="10004.267519999999"/>
    <n v="20781.695999999996"/>
    <n v="-10777.428479999997"/>
  </r>
  <r>
    <x v="529"/>
    <x v="60"/>
    <d v="2023-03-08T00:00:00"/>
    <n v="13"/>
    <x v="2"/>
    <x v="10"/>
    <s v="Manchester"/>
    <s v="Small Business"/>
    <x v="2"/>
    <x v="5"/>
    <x v="3"/>
    <x v="529"/>
    <n v="307.37"/>
    <n v="462.61"/>
    <n v="462.61"/>
    <n v="0.188"/>
    <n v="11"/>
    <n v="4132.0325200000007"/>
    <n v="3381.07"/>
    <n v="750.9625200000005"/>
    <n v="0.18174167709599739"/>
    <d v="2025-08-20T00:00:00"/>
    <s v="Q1-2023"/>
    <s v="Europe → United Kingdom → Manchester"/>
    <s v="Low"/>
    <x v="1"/>
    <d v="2023-01-01T00:00:00"/>
    <n v="1"/>
    <n v="0"/>
    <n v="0"/>
    <m/>
    <m/>
    <n v="13.2"/>
    <n v="353.47549999999995"/>
    <n v="0.188"/>
    <n v="4958.4390240000002"/>
    <n v="4665.8765999999987"/>
    <n v="292.56242400000156"/>
  </r>
  <r>
    <x v="530"/>
    <x v="411"/>
    <d v="2023-04-09T00:00:00"/>
    <n v="21"/>
    <x v="2"/>
    <x v="10"/>
    <s v="Manchester"/>
    <s v="Consumer"/>
    <x v="4"/>
    <x v="11"/>
    <x v="5"/>
    <x v="530"/>
    <n v="1082.17"/>
    <n v="1234.0999999999999"/>
    <n v="1234.0999999999999"/>
    <n v="0.189"/>
    <n v="16"/>
    <n v="16013.681599999998"/>
    <n v="17314.72"/>
    <n v="-1301.0384000000031"/>
    <n v="-8.124542703534228E-2"/>
    <d v="2025-07-11T00:00:00"/>
    <s v="Q1-2023"/>
    <s v="Europe → United Kingdom → Manchester"/>
    <s v="Medium"/>
    <x v="2"/>
    <d v="2023-01-01T00:00:00"/>
    <n v="2"/>
    <n v="0"/>
    <n v="0"/>
    <m/>
    <m/>
    <n v="19.2"/>
    <n v="1244.4955"/>
    <n v="0.189"/>
    <n v="19216.417919999996"/>
    <n v="23894.313599999998"/>
    <n v="-4677.8956800000014"/>
  </r>
  <r>
    <x v="531"/>
    <x v="347"/>
    <d v="2023-04-27T00:00:00"/>
    <n v="21"/>
    <x v="2"/>
    <x v="10"/>
    <s v="Manchester"/>
    <s v="Enterprise"/>
    <x v="3"/>
    <x v="14"/>
    <x v="3"/>
    <x v="531"/>
    <n v="1084.79"/>
    <n v="2484.9899999999998"/>
    <n v="2484.9899999999998"/>
    <n v="3.4000000000000002E-2"/>
    <n v="18"/>
    <n v="43209.006119999991"/>
    <n v="19526.22"/>
    <n v="23682.78611999999"/>
    <n v="0.54809837685755114"/>
    <d v="2025-06-24T00:00:00"/>
    <s v="Q2-2023"/>
    <s v="Europe → United Kingdom → Manchester"/>
    <s v="High"/>
    <x v="3"/>
    <d v="2023-01-01T00:00:00"/>
    <n v="3"/>
    <n v="0"/>
    <n v="0"/>
    <m/>
    <m/>
    <n v="21.599999999999998"/>
    <n v="1247.5084999999999"/>
    <n v="3.4000000000000002E-2"/>
    <n v="51850.807343999993"/>
    <n v="26946.183599999997"/>
    <n v="24904.623743999997"/>
  </r>
  <r>
    <x v="532"/>
    <x v="412"/>
    <d v="2023-04-25T00:00:00"/>
    <n v="15"/>
    <x v="2"/>
    <x v="10"/>
    <s v="London"/>
    <s v="Small Business"/>
    <x v="4"/>
    <x v="0"/>
    <x v="3"/>
    <x v="532"/>
    <n v="405.66"/>
    <n v="962.51"/>
    <n v="962.51"/>
    <n v="0.19"/>
    <n v="7"/>
    <n v="5457.4317000000001"/>
    <n v="2839.6200000000003"/>
    <n v="2617.8116999999997"/>
    <n v="0.47967832561239376"/>
    <d v="2025-06-19T00:00:00"/>
    <s v="Q2-2023"/>
    <s v="Europe → United Kingdom → London"/>
    <s v="Medium"/>
    <x v="3"/>
    <d v="2023-01-01T00:00:00"/>
    <n v="3"/>
    <n v="0"/>
    <n v="0"/>
    <m/>
    <m/>
    <n v="8.4"/>
    <n v="466.50900000000001"/>
    <n v="0.19"/>
    <n v="6548.9180400000005"/>
    <n v="3918.6756000000005"/>
    <n v="2630.24244"/>
  </r>
  <r>
    <x v="533"/>
    <x v="3"/>
    <d v="2023-05-07T00:00:00"/>
    <n v="18"/>
    <x v="2"/>
    <x v="10"/>
    <s v="London"/>
    <s v="Non-Profit"/>
    <x v="2"/>
    <x v="15"/>
    <x v="4"/>
    <x v="533"/>
    <n v="516.96"/>
    <n v="745.38"/>
    <n v="745.38"/>
    <n v="0.19700000000000001"/>
    <n v="4"/>
    <n v="2394.1605599999998"/>
    <n v="2067.84"/>
    <n v="326.32055999999966"/>
    <n v="0.13629852794835101"/>
    <d v="2025-06-14T00:00:00"/>
    <s v="Q2-2023"/>
    <s v="Europe → United Kingdom → London"/>
    <s v="Low"/>
    <x v="3"/>
    <d v="2023-01-01T00:00:00"/>
    <n v="3"/>
    <n v="0"/>
    <n v="0"/>
    <m/>
    <m/>
    <n v="4.8"/>
    <n v="594.50400000000002"/>
    <n v="0.19700000000000001"/>
    <n v="2872.9926719999999"/>
    <n v="2853.6192000000001"/>
    <n v="19.373471999999765"/>
  </r>
  <r>
    <x v="534"/>
    <x v="3"/>
    <d v="2023-05-07T00:00:00"/>
    <n v="18"/>
    <x v="2"/>
    <x v="10"/>
    <s v="Birmingham"/>
    <s v="Enterprise"/>
    <x v="4"/>
    <x v="1"/>
    <x v="6"/>
    <x v="534"/>
    <n v="1089.1500000000001"/>
    <n v="1088.2"/>
    <n v="1088.2"/>
    <n v="5.0999999999999997E-2"/>
    <n v="15"/>
    <n v="15490.527"/>
    <n v="16337.250000000002"/>
    <n v="-846.72300000000178"/>
    <n v="-5.4660696824582002E-2"/>
    <d v="2025-06-21T00:00:00"/>
    <s v="Q2-2023"/>
    <s v="Europe → United Kingdom → Birmingham"/>
    <s v="Medium"/>
    <x v="3"/>
    <d v="2023-01-01T00:00:00"/>
    <n v="3"/>
    <n v="0"/>
    <n v="0"/>
    <m/>
    <m/>
    <n v="18"/>
    <n v="1252.5225"/>
    <n v="5.0999999999999997E-2"/>
    <n v="18588.632400000002"/>
    <n v="22545.404999999999"/>
    <n v="-3956.7725999999966"/>
  </r>
  <r>
    <x v="535"/>
    <x v="413"/>
    <d v="2023-06-20T00:00:00"/>
    <n v="22"/>
    <x v="2"/>
    <x v="10"/>
    <s v="London"/>
    <s v="Small Business"/>
    <x v="2"/>
    <x v="12"/>
    <x v="1"/>
    <x v="535"/>
    <n v="1295.3900000000001"/>
    <n v="2905.06"/>
    <n v="2905.06"/>
    <n v="0.14799999999999999"/>
    <n v="8"/>
    <n v="19800.88896"/>
    <n v="10363.120000000001"/>
    <n v="9437.7689599999994"/>
    <n v="0.47663359857556614"/>
    <d v="2025-05-12T00:00:00"/>
    <s v="Q2-2023"/>
    <s v="Europe → United Kingdom → London"/>
    <s v="High"/>
    <x v="4"/>
    <d v="2023-01-01T00:00:00"/>
    <n v="4"/>
    <n v="0"/>
    <n v="0"/>
    <m/>
    <m/>
    <n v="9.6"/>
    <n v="1489.6985"/>
    <n v="0.14799999999999999"/>
    <n v="23761.066751999999"/>
    <n v="14301.105599999999"/>
    <n v="9459.9611519999999"/>
  </r>
  <r>
    <x v="536"/>
    <x v="414"/>
    <d v="2023-06-28T00:00:00"/>
    <n v="23"/>
    <x v="2"/>
    <x v="10"/>
    <s v="Birmingham"/>
    <s v="Corporate"/>
    <x v="2"/>
    <x v="12"/>
    <x v="3"/>
    <x v="536"/>
    <n v="605.82000000000005"/>
    <n v="771.12"/>
    <n v="771.12"/>
    <n v="0.13200000000000001"/>
    <n v="19"/>
    <n v="12717.311040000001"/>
    <n v="11510.580000000002"/>
    <n v="1206.7310399999988"/>
    <n v="9.4888851597986767E-2"/>
    <d v="2025-04-14T00:00:00"/>
    <s v="Q2-2023"/>
    <s v="Europe → United Kingdom → Birmingham"/>
    <s v="Low"/>
    <x v="5"/>
    <d v="2023-01-01T00:00:00"/>
    <n v="5"/>
    <n v="0"/>
    <n v="0"/>
    <m/>
    <m/>
    <n v="22.8"/>
    <n v="696.69299999999998"/>
    <n v="0.13200000000000001"/>
    <n v="15260.773248"/>
    <n v="15884.600399999999"/>
    <n v="-623.82715199999984"/>
  </r>
  <r>
    <x v="537"/>
    <x v="415"/>
    <d v="2023-06-16T00:00:00"/>
    <n v="2"/>
    <x v="2"/>
    <x v="10"/>
    <s v="Manchester"/>
    <s v="Non-Profit"/>
    <x v="2"/>
    <x v="12"/>
    <x v="1"/>
    <x v="537"/>
    <n v="357.36"/>
    <n v="703.62"/>
    <n v="703.62"/>
    <n v="0.25700000000000001"/>
    <n v="20"/>
    <n v="10455.7932"/>
    <n v="7147.2000000000007"/>
    <n v="3308.5931999999993"/>
    <n v="0.31643636563125593"/>
    <d v="2025-04-12T00:00:00"/>
    <s v="Q2-2023"/>
    <s v="Europe → United Kingdom → Manchester"/>
    <s v="Low"/>
    <x v="5"/>
    <d v="2023-01-01T00:00:00"/>
    <n v="5"/>
    <n v="1"/>
    <n v="1"/>
    <m/>
    <m/>
    <n v="24"/>
    <n v="410.964"/>
    <n v="0.25"/>
    <n v="12665.16"/>
    <n v="9863.1360000000004"/>
    <n v="2802.0239999999994"/>
  </r>
  <r>
    <x v="538"/>
    <x v="416"/>
    <d v="2023-07-12T00:00:00"/>
    <n v="27"/>
    <x v="2"/>
    <x v="10"/>
    <s v="Manchester"/>
    <s v="Consumer"/>
    <x v="2"/>
    <x v="14"/>
    <x v="5"/>
    <x v="538"/>
    <n v="751.28"/>
    <n v="1111.8800000000001"/>
    <n v="1111.8800000000001"/>
    <n v="0.13500000000000001"/>
    <n v="7"/>
    <n v="6732.4334000000008"/>
    <n v="5258.96"/>
    <n v="1473.4734000000008"/>
    <n v="0.21886193482433863"/>
    <d v="2025-04-06T00:00:00"/>
    <s v="Q2-2023"/>
    <s v="Europe → United Kingdom → Manchester"/>
    <s v="Medium"/>
    <x v="5"/>
    <d v="2023-01-01T00:00:00"/>
    <n v="5"/>
    <n v="0"/>
    <n v="0"/>
    <m/>
    <m/>
    <n v="8.4"/>
    <n v="863.97199999999987"/>
    <n v="0.13500000000000001"/>
    <n v="8078.9200800000008"/>
    <n v="7257.3647999999994"/>
    <n v="821.5552800000014"/>
  </r>
  <r>
    <x v="539"/>
    <x v="417"/>
    <d v="2023-08-01T00:00:00"/>
    <n v="30"/>
    <x v="2"/>
    <x v="10"/>
    <s v="Birmingham"/>
    <s v="Small Business"/>
    <x v="4"/>
    <x v="7"/>
    <x v="1"/>
    <x v="539"/>
    <n v="137.46"/>
    <n v="188.3"/>
    <n v="188.3"/>
    <n v="3.7999999999999999E-2"/>
    <n v="37"/>
    <n v="6702.3501999999999"/>
    <n v="5086.0200000000004"/>
    <n v="1616.3301999999994"/>
    <n v="0.24115872071262398"/>
    <d v="2025-03-31T00:00:00"/>
    <s v="Q3-2023"/>
    <s v="Europe → United Kingdom → Birmingham"/>
    <s v="Low"/>
    <x v="6"/>
    <d v="2023-01-01T00:00:00"/>
    <n v="6"/>
    <n v="0"/>
    <n v="0"/>
    <m/>
    <m/>
    <n v="44.4"/>
    <n v="158.07900000000001"/>
    <n v="3.7999999999999999E-2"/>
    <n v="8042.82024"/>
    <n v="7018.7075999999997"/>
    <n v="1024.1126400000003"/>
  </r>
  <r>
    <x v="540"/>
    <x v="418"/>
    <d v="2023-08-13T00:00:00"/>
    <n v="28"/>
    <x v="2"/>
    <x v="10"/>
    <s v="Manchester"/>
    <s v="Non-Profit"/>
    <x v="1"/>
    <x v="9"/>
    <x v="6"/>
    <x v="540"/>
    <n v="1039.03"/>
    <n v="2545.81"/>
    <n v="2545.81"/>
    <n v="0.216"/>
    <n v="21"/>
    <n v="41914.215840000004"/>
    <n v="21819.63"/>
    <n v="20094.585840000003"/>
    <n v="0.47942172929364774"/>
    <d v="2025-03-10T00:00:00"/>
    <s v="Q3-2023"/>
    <s v="Europe → United Kingdom → Manchester"/>
    <s v="High"/>
    <x v="6"/>
    <d v="2023-01-01T00:00:00"/>
    <n v="6"/>
    <n v="0"/>
    <n v="1"/>
    <m/>
    <m/>
    <n v="25.2"/>
    <n v="1194.8844999999999"/>
    <n v="0.216"/>
    <n v="50297.059007999997"/>
    <n v="30111.089399999997"/>
    <n v="20185.969607999999"/>
  </r>
  <r>
    <x v="541"/>
    <x v="419"/>
    <d v="2023-08-22T00:00:00"/>
    <n v="14"/>
    <x v="2"/>
    <x v="10"/>
    <s v="Birmingham"/>
    <s v="Non-Profit"/>
    <x v="2"/>
    <x v="1"/>
    <x v="0"/>
    <x v="541"/>
    <n v="446.69"/>
    <n v="967.25"/>
    <n v="967.25"/>
    <n v="9.4E-2"/>
    <n v="10"/>
    <n v="8763.2849999999999"/>
    <n v="4466.8999999999996"/>
    <n v="4296.3850000000002"/>
    <n v="0.49027105702941309"/>
    <d v="2025-02-04T00:00:00"/>
    <s v="Q3-2023"/>
    <s v="Europe → United Kingdom → Birmingham"/>
    <s v="Medium"/>
    <x v="7"/>
    <d v="2023-01-01T00:00:00"/>
    <n v="7"/>
    <n v="0"/>
    <n v="0"/>
    <m/>
    <m/>
    <n v="12"/>
    <n v="513.69349999999997"/>
    <n v="9.4E-2"/>
    <n v="10515.942000000001"/>
    <n v="6164.3220000000001"/>
    <n v="4351.6200000000008"/>
  </r>
  <r>
    <x v="542"/>
    <x v="420"/>
    <d v="2023-09-22T00:00:00"/>
    <n v="30"/>
    <x v="2"/>
    <x v="10"/>
    <s v="London"/>
    <s v="Consumer"/>
    <x v="3"/>
    <x v="13"/>
    <x v="5"/>
    <x v="542"/>
    <n v="209.81"/>
    <n v="523"/>
    <n v="523"/>
    <n v="5.8999999999999997E-2"/>
    <n v="15"/>
    <n v="7382.1450000000004"/>
    <n v="3147.15"/>
    <n v="4234.9950000000008"/>
    <n v="0.57368082041195356"/>
    <d v="2025-01-13T00:00:00"/>
    <s v="Q3-2023"/>
    <s v="Europe → United Kingdom → London"/>
    <s v="Low"/>
    <x v="7"/>
    <d v="2023-01-01T00:00:00"/>
    <n v="7"/>
    <n v="0"/>
    <n v="0"/>
    <m/>
    <m/>
    <n v="18"/>
    <n v="241.28149999999999"/>
    <n v="5.8999999999999997E-2"/>
    <n v="8858.5740000000005"/>
    <n v="4343.067"/>
    <n v="4515.5070000000005"/>
  </r>
  <r>
    <x v="543"/>
    <x v="421"/>
    <d v="2023-09-11T00:00:00"/>
    <n v="15"/>
    <x v="2"/>
    <x v="10"/>
    <s v="London"/>
    <s v="Consumer"/>
    <x v="0"/>
    <x v="1"/>
    <x v="3"/>
    <x v="543"/>
    <n v="943.79"/>
    <n v="1913.76"/>
    <n v="1913.76"/>
    <n v="9.0999999999999998E-2"/>
    <n v="9"/>
    <n v="15656.47056"/>
    <n v="8494.11"/>
    <n v="7162.3605599999992"/>
    <n v="0.45746967891338081"/>
    <d v="2025-01-20T00:00:00"/>
    <s v="Q3-2023"/>
    <s v="Europe → United Kingdom → London"/>
    <s v="High"/>
    <x v="7"/>
    <d v="2023-01-01T00:00:00"/>
    <n v="7"/>
    <n v="0"/>
    <n v="0"/>
    <m/>
    <m/>
    <n v="10.799999999999999"/>
    <n v="1085.3584999999998"/>
    <n v="9.0999999999999998E-2"/>
    <n v="18787.764671999998"/>
    <n v="11721.871799999997"/>
    <n v="7065.8928720000004"/>
  </r>
  <r>
    <x v="544"/>
    <x v="422"/>
    <d v="2023-11-09T00:00:00"/>
    <n v="19"/>
    <x v="2"/>
    <x v="10"/>
    <s v="London"/>
    <s v="Non-Profit"/>
    <x v="2"/>
    <x v="4"/>
    <x v="5"/>
    <x v="544"/>
    <n v="1142.48"/>
    <n v="2105.5300000000002"/>
    <n v="2105.5300000000002"/>
    <n v="0.20699999999999999"/>
    <n v="14"/>
    <n v="23375.594060000003"/>
    <n v="15994.720000000001"/>
    <n v="7380.8740600000019"/>
    <n v="0.31575129346680658"/>
    <d v="2024-12-12T00:00:00"/>
    <s v="Q4-2023"/>
    <s v="Europe → United Kingdom → London"/>
    <s v="High"/>
    <x v="9"/>
    <d v="2023-01-01T00:00:00"/>
    <n v="9"/>
    <n v="0"/>
    <n v="1"/>
    <m/>
    <m/>
    <n v="16.8"/>
    <n v="1313.8519999999999"/>
    <n v="0.20699999999999999"/>
    <n v="28050.712872000004"/>
    <n v="22072.713599999999"/>
    <n v="5977.9992720000046"/>
  </r>
  <r>
    <x v="545"/>
    <x v="422"/>
    <d v="2023-10-21T00:00:00"/>
    <n v="0"/>
    <x v="2"/>
    <x v="10"/>
    <s v="Manchester"/>
    <s v="Enterprise"/>
    <x v="3"/>
    <x v="9"/>
    <x v="0"/>
    <x v="545"/>
    <n v="384.19"/>
    <n v="278.35000000000002"/>
    <n v="278.35000000000002"/>
    <n v="5.6000000000000001E-2"/>
    <n v="10"/>
    <n v="2627.6239999999998"/>
    <n v="3841.9"/>
    <n v="-1214.2760000000003"/>
    <n v="-0.46211938998882657"/>
    <d v="2024-12-10T00:00:00"/>
    <s v="Q4-2023"/>
    <s v="Europe → United Kingdom → Manchester"/>
    <s v="Low"/>
    <x v="9"/>
    <d v="2023-01-01T00:00:00"/>
    <n v="9"/>
    <n v="1"/>
    <n v="0"/>
    <m/>
    <m/>
    <n v="12"/>
    <n v="441.81849999999997"/>
    <n v="5.6000000000000001E-2"/>
    <n v="3153.1487999999999"/>
    <n v="5301.8220000000001"/>
    <n v="-2148.6732000000002"/>
  </r>
  <r>
    <x v="546"/>
    <x v="423"/>
    <d v="2023-12-06T00:00:00"/>
    <n v="21"/>
    <x v="2"/>
    <x v="10"/>
    <s v="Manchester"/>
    <s v="Education"/>
    <x v="2"/>
    <x v="15"/>
    <x v="5"/>
    <x v="546"/>
    <n v="1184.99"/>
    <n v="1154.3399999999999"/>
    <n v="1154.3399999999999"/>
    <n v="2.8000000000000001E-2"/>
    <n v="5"/>
    <n v="5610.0923999999995"/>
    <n v="5924.95"/>
    <n v="-314.85760000000028"/>
    <n v="-5.6123424990290764E-2"/>
    <d v="2024-11-02T00:00:00"/>
    <s v="Q4-2023"/>
    <s v="Europe → United Kingdom → Manchester"/>
    <s v="Medium"/>
    <x v="10"/>
    <d v="2023-01-01T00:00:00"/>
    <n v="10"/>
    <n v="0"/>
    <n v="0"/>
    <m/>
    <m/>
    <n v="6"/>
    <n v="1362.7384999999999"/>
    <n v="2.8000000000000001E-2"/>
    <n v="6732.1108799999993"/>
    <n v="8176.4309999999996"/>
    <n v="-1444.3201200000003"/>
  </r>
  <r>
    <x v="547"/>
    <x v="424"/>
    <d v="2024-01-27T00:00:00"/>
    <n v="26"/>
    <x v="2"/>
    <x v="10"/>
    <s v="Manchester"/>
    <s v="Education"/>
    <x v="3"/>
    <x v="0"/>
    <x v="5"/>
    <x v="547"/>
    <n v="657.45"/>
    <n v="1325.96"/>
    <n v="1325.96"/>
    <n v="0.16700000000000001"/>
    <n v="21"/>
    <n v="23195.01828"/>
    <n v="13806.45"/>
    <n v="9388.5682799999995"/>
    <n v="0.40476658249048808"/>
    <d v="2024-10-22T00:00:00"/>
    <s v="Q1-2024"/>
    <s v="Europe → United Kingdom → Manchester"/>
    <s v="Medium"/>
    <x v="12"/>
    <d v="2023-01-01T00:00:00"/>
    <n v="12"/>
    <n v="0"/>
    <n v="0"/>
    <m/>
    <m/>
    <n v="25.2"/>
    <n v="756.0675"/>
    <n v="0.16700000000000001"/>
    <n v="27834.021936000001"/>
    <n v="19052.900999999998"/>
    <n v="8781.120936000003"/>
  </r>
  <r>
    <x v="548"/>
    <x v="425"/>
    <d v="2024-02-04T00:00:00"/>
    <n v="11"/>
    <x v="2"/>
    <x v="10"/>
    <s v="Manchester"/>
    <s v="Consumer"/>
    <x v="4"/>
    <x v="7"/>
    <x v="6"/>
    <x v="548"/>
    <n v="525.34"/>
    <n v="1233.79"/>
    <n v="1233.79"/>
    <n v="0.14299999999999999"/>
    <n v="4"/>
    <n v="4229.4321199999995"/>
    <n v="2101.36"/>
    <n v="2128.0721199999994"/>
    <n v="0.50315788494082736"/>
    <d v="2024-08-27T00:00:00"/>
    <s v="Q1-2024"/>
    <s v="Europe → United Kingdom → Manchester"/>
    <s v="Medium"/>
    <x v="12"/>
    <d v="2023-01-01T00:00:00"/>
    <n v="12"/>
    <n v="0"/>
    <n v="0"/>
    <m/>
    <m/>
    <n v="4.8"/>
    <n v="604.14099999999996"/>
    <n v="0.14299999999999999"/>
    <n v="5075.3185439999997"/>
    <n v="2899.8767999999995"/>
    <n v="2175.4417440000002"/>
  </r>
  <r>
    <x v="549"/>
    <x v="119"/>
    <d v="2024-03-22T00:00:00"/>
    <n v="13"/>
    <x v="2"/>
    <x v="10"/>
    <s v="Manchester"/>
    <s v="Consumer"/>
    <x v="1"/>
    <x v="6"/>
    <x v="6"/>
    <x v="549"/>
    <n v="985.45"/>
    <n v="1802.44"/>
    <n v="1802.44"/>
    <n v="8.9999999999999993E-3"/>
    <n v="19"/>
    <n v="33938.142760000002"/>
    <n v="18723.55"/>
    <n v="15214.592760000003"/>
    <n v="0.44830363486867486"/>
    <d v="2024-06-29T00:00:00"/>
    <s v="Q1-2024"/>
    <s v="Europe → United Kingdom → Manchester"/>
    <s v="High"/>
    <x v="29"/>
    <d v="2023-01-01T00:00:00"/>
    <n v="14"/>
    <n v="0"/>
    <n v="0"/>
    <m/>
    <m/>
    <n v="22.8"/>
    <n v="1133.2674999999999"/>
    <n v="8.9999999999999993E-3"/>
    <n v="40725.771312000004"/>
    <n v="25838.499"/>
    <n v="14887.272312000005"/>
  </r>
  <r>
    <x v="550"/>
    <x v="426"/>
    <d v="2024-05-08T00:00:00"/>
    <n v="20"/>
    <x v="2"/>
    <x v="10"/>
    <s v="London"/>
    <s v="Non-Profit"/>
    <x v="5"/>
    <x v="0"/>
    <x v="6"/>
    <x v="550"/>
    <n v="645.33000000000004"/>
    <n v="1321.85"/>
    <n v="1321.85"/>
    <n v="0"/>
    <n v="10"/>
    <n v="13218.5"/>
    <n v="6453.3"/>
    <n v="6765.2"/>
    <n v="0.51179785906116426"/>
    <d v="2024-06-16T00:00:00"/>
    <s v="Q2-2024"/>
    <s v="Europe → United Kingdom → London"/>
    <s v="Medium"/>
    <x v="14"/>
    <d v="2023-01-01T00:00:00"/>
    <n v="15"/>
    <n v="0"/>
    <n v="0"/>
    <m/>
    <m/>
    <n v="12"/>
    <n v="742.12950000000001"/>
    <n v="0"/>
    <n v="15862.199999999999"/>
    <n v="8905.5540000000001"/>
    <n v="6956.6459999999988"/>
  </r>
  <r>
    <x v="551"/>
    <x v="323"/>
    <d v="2024-04-26T00:00:00"/>
    <n v="2"/>
    <x v="2"/>
    <x v="10"/>
    <s v="London"/>
    <s v="Non-Profit"/>
    <x v="3"/>
    <x v="1"/>
    <x v="2"/>
    <x v="551"/>
    <n v="1232.77"/>
    <n v="891.73"/>
    <n v="891.73"/>
    <n v="0.16700000000000001"/>
    <n v="10"/>
    <n v="7428.1108999999988"/>
    <n v="12327.7"/>
    <n v="-4899.589100000002"/>
    <n v="-0.65960096260813805"/>
    <d v="2024-06-04T00:00:00"/>
    <s v="Q2-2024"/>
    <s v="Europe → United Kingdom → London"/>
    <s v="Medium"/>
    <x v="14"/>
    <d v="2023-01-01T00:00:00"/>
    <n v="15"/>
    <n v="1"/>
    <n v="0"/>
    <m/>
    <m/>
    <n v="12"/>
    <n v="1417.6854999999998"/>
    <n v="0.16700000000000001"/>
    <n v="8913.73308"/>
    <n v="17012.225999999999"/>
    <n v="-8098.4929199999988"/>
  </r>
  <r>
    <x v="552"/>
    <x v="427"/>
    <d v="2024-05-16T00:00:00"/>
    <n v="6"/>
    <x v="2"/>
    <x v="10"/>
    <s v="Birmingham"/>
    <s v="Non-Profit"/>
    <x v="2"/>
    <x v="2"/>
    <x v="6"/>
    <x v="552"/>
    <n v="210.76"/>
    <n v="221.58"/>
    <n v="221.58"/>
    <n v="8.8999999999999996E-2"/>
    <n v="5"/>
    <n v="1009.2969000000002"/>
    <n v="1053.8"/>
    <n v="-44.50309999999979"/>
    <n v="-4.4093170205912434E-2"/>
    <d v="2024-05-19T00:00:00"/>
    <s v="Q2-2024"/>
    <s v="Europe → United Kingdom → Birmingham"/>
    <s v="Low"/>
    <x v="15"/>
    <d v="2023-01-01T00:00:00"/>
    <n v="16"/>
    <n v="1"/>
    <n v="0"/>
    <m/>
    <m/>
    <n v="6"/>
    <n v="242.37399999999997"/>
    <n v="8.8999999999999996E-2"/>
    <n v="1211.1562800000002"/>
    <n v="1454.2439999999997"/>
    <n v="-243.08771999999954"/>
  </r>
  <r>
    <x v="553"/>
    <x v="428"/>
    <d v="2024-05-24T00:00:00"/>
    <n v="12"/>
    <x v="2"/>
    <x v="10"/>
    <s v="Manchester"/>
    <s v="Education"/>
    <x v="0"/>
    <x v="12"/>
    <x v="3"/>
    <x v="553"/>
    <n v="111.02"/>
    <n v="172.88"/>
    <n v="172.88"/>
    <n v="0.19700000000000001"/>
    <n v="29"/>
    <n v="4025.8565599999993"/>
    <n v="3219.58"/>
    <n v="806.27655999999934"/>
    <n v="0.20027453735212053"/>
    <d v="2024-05-23T00:00:00"/>
    <s v="Q2-2024"/>
    <s v="Europe → United Kingdom → Manchester"/>
    <s v="Low"/>
    <x v="15"/>
    <d v="2023-01-01T00:00:00"/>
    <n v="16"/>
    <n v="0"/>
    <n v="0"/>
    <m/>
    <m/>
    <n v="34.799999999999997"/>
    <n v="127.67299999999999"/>
    <n v="0.19700000000000001"/>
    <n v="4831.0278719999988"/>
    <n v="4443.0203999999994"/>
    <n v="388.00747199999932"/>
  </r>
  <r>
    <x v="554"/>
    <x v="429"/>
    <d v="2024-05-28T00:00:00"/>
    <n v="14"/>
    <x v="2"/>
    <x v="10"/>
    <s v="Birmingham"/>
    <s v="Consumer"/>
    <x v="4"/>
    <x v="7"/>
    <x v="4"/>
    <x v="554"/>
    <n v="1421.14"/>
    <n v="3524"/>
    <n v="3524"/>
    <n v="0"/>
    <n v="31"/>
    <n v="109244"/>
    <n v="44055.340000000004"/>
    <n v="65188.659999999996"/>
    <n v="0.59672531214528945"/>
    <d v="2024-05-22T00:00:00"/>
    <s v="Q2-2024"/>
    <s v="Europe → United Kingdom → Birmingham"/>
    <s v="High"/>
    <x v="15"/>
    <d v="2023-01-01T00:00:00"/>
    <n v="16"/>
    <n v="0"/>
    <n v="0"/>
    <m/>
    <m/>
    <n v="37.199999999999996"/>
    <n v="1634.3109999999999"/>
    <n v="0"/>
    <n v="131092.79999999999"/>
    <n v="60796.369199999994"/>
    <n v="70296.430800000002"/>
  </r>
  <r>
    <x v="555"/>
    <x v="430"/>
    <d v="2024-06-11T00:00:00"/>
    <n v="1"/>
    <x v="2"/>
    <x v="10"/>
    <s v="Birmingham"/>
    <s v="Small Business"/>
    <x v="0"/>
    <x v="3"/>
    <x v="6"/>
    <x v="555"/>
    <n v="1187.1300000000001"/>
    <n v="1795.17"/>
    <n v="1795.17"/>
    <n v="1.2E-2"/>
    <n v="17"/>
    <n v="30151.675319999998"/>
    <n v="20181.210000000003"/>
    <n v="9970.4653199999957"/>
    <n v="0.33067699271046663"/>
    <d v="2024-04-04T00:00:00"/>
    <s v="Q2-2024"/>
    <s v="Europe → United Kingdom → Birmingham"/>
    <s v="High"/>
    <x v="16"/>
    <d v="2023-01-01T00:00:00"/>
    <n v="17"/>
    <n v="1"/>
    <n v="0"/>
    <m/>
    <m/>
    <n v="20.399999999999999"/>
    <n v="1365.1994999999999"/>
    <n v="1.2E-2"/>
    <n v="36182.010384000001"/>
    <n v="27850.069799999997"/>
    <n v="8331.9405840000036"/>
  </r>
  <r>
    <x v="556"/>
    <x v="364"/>
    <d v="2024-06-25T00:00:00"/>
    <n v="2"/>
    <x v="2"/>
    <x v="10"/>
    <s v="Birmingham"/>
    <s v="Small Business"/>
    <x v="0"/>
    <x v="11"/>
    <x v="5"/>
    <x v="556"/>
    <n v="951.44"/>
    <n v="1646.43"/>
    <n v="1646.43"/>
    <n v="0.11"/>
    <n v="24"/>
    <n v="35167.7448"/>
    <n v="22834.560000000001"/>
    <n v="12333.184799999999"/>
    <n v="0.35069592520473475"/>
    <d v="2024-04-05T00:00:00"/>
    <s v="Q2-2024"/>
    <s v="Europe → United Kingdom → Birmingham"/>
    <s v="High"/>
    <x v="16"/>
    <d v="2023-01-01T00:00:00"/>
    <n v="17"/>
    <n v="1"/>
    <n v="0"/>
    <m/>
    <m/>
    <n v="28.799999999999997"/>
    <n v="1094.1559999999999"/>
    <n v="0.11"/>
    <n v="42201.293759999993"/>
    <n v="31511.692799999997"/>
    <n v="10689.600959999996"/>
  </r>
  <r>
    <x v="557"/>
    <x v="431"/>
    <d v="2024-09-04T00:00:00"/>
    <n v="21"/>
    <x v="2"/>
    <x v="10"/>
    <s v="Manchester"/>
    <s v="Non-Profit"/>
    <x v="1"/>
    <x v="9"/>
    <x v="2"/>
    <x v="557"/>
    <n v="1138.8"/>
    <n v="2250.81"/>
    <n v="2250.81"/>
    <n v="0.123"/>
    <n v="12"/>
    <n v="23687.524440000001"/>
    <n v="13665.599999999999"/>
    <n v="10021.924440000003"/>
    <n v="0.42308872188756258"/>
    <d v="2024-02-16T00:00:00"/>
    <s v="Q3-2024"/>
    <s v="Europe → United Kingdom → Manchester"/>
    <s v="High"/>
    <x v="18"/>
    <d v="2023-01-01T00:00:00"/>
    <n v="19"/>
    <n v="0"/>
    <n v="0"/>
    <m/>
    <m/>
    <n v="14.399999999999999"/>
    <n v="1309.6199999999999"/>
    <n v="0.123"/>
    <n v="28425.029327999997"/>
    <n v="18858.527999999995"/>
    <n v="9566.5013280000021"/>
  </r>
  <r>
    <x v="558"/>
    <x v="34"/>
    <d v="2024-09-13T00:00:00"/>
    <n v="4"/>
    <x v="2"/>
    <x v="10"/>
    <s v="London"/>
    <s v="Consumer"/>
    <x v="0"/>
    <x v="8"/>
    <x v="4"/>
    <x v="558"/>
    <n v="1133.08"/>
    <n v="976.17"/>
    <n v="976.17"/>
    <n v="4.2000000000000003E-2"/>
    <n v="27"/>
    <n v="25249.613219999999"/>
    <n v="30593.159999999996"/>
    <n v="-5343.5467799999969"/>
    <n v="-0.21162885678452373"/>
    <d v="2024-01-12T00:00:00"/>
    <s v="Q3-2024"/>
    <s v="Europe → United Kingdom → London"/>
    <s v="Medium"/>
    <x v="19"/>
    <d v="2023-01-01T00:00:00"/>
    <n v="20"/>
    <n v="1"/>
    <n v="0"/>
    <m/>
    <m/>
    <n v="32.4"/>
    <n v="1303.0419999999999"/>
    <n v="4.2000000000000003E-2"/>
    <n v="30299.535863999994"/>
    <n v="42218.560799999992"/>
    <n v="-11919.024935999998"/>
  </r>
  <r>
    <x v="559"/>
    <x v="432"/>
    <d v="2024-10-08T00:00:00"/>
    <n v="0"/>
    <x v="2"/>
    <x v="10"/>
    <s v="London"/>
    <s v="Corporate"/>
    <x v="1"/>
    <x v="6"/>
    <x v="0"/>
    <x v="559"/>
    <n v="1108.1099999999999"/>
    <n v="2503.79"/>
    <n v="2503.79"/>
    <n v="0.184"/>
    <n v="19"/>
    <n v="38818.760160000005"/>
    <n v="21054.089999999997"/>
    <n v="17764.670160000009"/>
    <n v="0.45763105485025896"/>
    <d v="2023-12-20T00:00:00"/>
    <s v="Q4-2024"/>
    <s v="Europe → United Kingdom → London"/>
    <s v="High"/>
    <x v="32"/>
    <d v="2023-01-01T00:00:00"/>
    <n v="21"/>
    <n v="1"/>
    <n v="0"/>
    <m/>
    <m/>
    <n v="22.8"/>
    <n v="1274.3264999999999"/>
    <n v="0.184"/>
    <n v="46582.512192000009"/>
    <n v="29054.644199999999"/>
    <n v="17527.86799200001"/>
  </r>
  <r>
    <x v="560"/>
    <x v="433"/>
    <d v="2024-11-08T00:00:00"/>
    <n v="30"/>
    <x v="2"/>
    <x v="10"/>
    <s v="Manchester"/>
    <s v="Small Business"/>
    <x v="3"/>
    <x v="9"/>
    <x v="1"/>
    <x v="560"/>
    <n v="343.85"/>
    <n v="538.04"/>
    <n v="538.04"/>
    <n v="0.13900000000000001"/>
    <n v="5"/>
    <n v="2316.2621999999997"/>
    <n v="1719.25"/>
    <n v="597.01219999999967"/>
    <n v="0.25774810813732563"/>
    <d v="2023-12-18T00:00:00"/>
    <s v="Q4-2024"/>
    <s v="Europe → United Kingdom → Manchester"/>
    <s v="Low"/>
    <x v="32"/>
    <d v="2023-01-01T00:00:00"/>
    <n v="21"/>
    <n v="0"/>
    <n v="0"/>
    <m/>
    <m/>
    <n v="6"/>
    <n v="395.42750000000001"/>
    <n v="0.13900000000000001"/>
    <n v="2779.5146399999999"/>
    <n v="2372.5650000000001"/>
    <n v="406.94963999999982"/>
  </r>
  <r>
    <x v="561"/>
    <x v="434"/>
    <d v="2024-10-11T00:00:00"/>
    <n v="1"/>
    <x v="2"/>
    <x v="10"/>
    <s v="Manchester"/>
    <s v="Non-Profit"/>
    <x v="3"/>
    <x v="11"/>
    <x v="1"/>
    <x v="561"/>
    <n v="1389.46"/>
    <n v="1784.7"/>
    <n v="1784.7"/>
    <n v="0.14599999999999999"/>
    <n v="33"/>
    <n v="50296.415399999998"/>
    <n v="45852.18"/>
    <n v="4444.2353999999978"/>
    <n v="8.8360877503011831E-2"/>
    <d v="2023-12-24T00:00:00"/>
    <s v="Q4-2024"/>
    <s v="Europe → United Kingdom → Manchester"/>
    <s v="High"/>
    <x v="32"/>
    <d v="2023-01-01T00:00:00"/>
    <n v="21"/>
    <n v="1"/>
    <n v="0"/>
    <m/>
    <m/>
    <n v="39.6"/>
    <n v="1597.8789999999999"/>
    <n v="0.14599999999999999"/>
    <n v="60355.698480000006"/>
    <n v="63276.008399999999"/>
    <n v="-2920.3099199999924"/>
  </r>
  <r>
    <x v="562"/>
    <x v="171"/>
    <d v="2024-11-05T00:00:00"/>
    <n v="1"/>
    <x v="2"/>
    <x v="10"/>
    <s v="London"/>
    <s v="Corporate"/>
    <x v="4"/>
    <x v="3"/>
    <x v="3"/>
    <x v="562"/>
    <n v="840.68"/>
    <n v="1493.53"/>
    <n v="1493.53"/>
    <n v="0"/>
    <n v="27"/>
    <n v="40325.31"/>
    <n v="22698.359999999997"/>
    <n v="17626.95"/>
    <n v="0.43711877230454027"/>
    <d v="2023-12-05T00:00:00"/>
    <s v="Q4-2024"/>
    <s v="Europe → United Kingdom → London"/>
    <s v="Medium"/>
    <x v="20"/>
    <d v="2023-01-01T00:00:00"/>
    <n v="22"/>
    <n v="1"/>
    <n v="0"/>
    <m/>
    <m/>
    <n v="32.4"/>
    <n v="966.78199999999981"/>
    <n v="0"/>
    <n v="48390.371999999996"/>
    <n v="31323.736799999991"/>
    <n v="17066.635200000004"/>
  </r>
  <r>
    <x v="563"/>
    <x v="435"/>
    <d v="2024-11-24T00:00:00"/>
    <n v="13"/>
    <x v="2"/>
    <x v="10"/>
    <s v="London"/>
    <s v="Corporate"/>
    <x v="4"/>
    <x v="6"/>
    <x v="4"/>
    <x v="563"/>
    <n v="164.53"/>
    <n v="327.72"/>
    <n v="327.72"/>
    <n v="6.7000000000000004E-2"/>
    <n v="14"/>
    <n v="4280.6786400000001"/>
    <n v="2303.42"/>
    <n v="1977.25864"/>
    <n v="0.46190307805960412"/>
    <d v="2023-12-05T00:00:00"/>
    <s v="Q4-2024"/>
    <s v="Europe → United Kingdom → London"/>
    <s v="Low"/>
    <x v="20"/>
    <d v="2023-01-01T00:00:00"/>
    <n v="22"/>
    <n v="0"/>
    <n v="0"/>
    <m/>
    <m/>
    <n v="16.8"/>
    <n v="189.20949999999999"/>
    <n v="6.7000000000000004E-2"/>
    <n v="5136.8143680000012"/>
    <n v="3178.7195999999999"/>
    <n v="1958.0947680000013"/>
  </r>
  <r>
    <x v="564"/>
    <x v="436"/>
    <d v="2024-12-26T00:00:00"/>
    <n v="19"/>
    <x v="2"/>
    <x v="10"/>
    <s v="London"/>
    <s v="Enterprise"/>
    <x v="1"/>
    <x v="0"/>
    <x v="4"/>
    <x v="564"/>
    <n v="1035.24"/>
    <n v="2383.41"/>
    <n v="2383.41"/>
    <n v="0.17"/>
    <n v="15"/>
    <n v="29673.454499999993"/>
    <n v="15528.6"/>
    <n v="14144.854499999992"/>
    <n v="0.47668378145860962"/>
    <d v="2023-09-30T00:00:00"/>
    <s v="Q4-2024"/>
    <s v="Europe → United Kingdom → London"/>
    <s v="High"/>
    <x v="30"/>
    <d v="2023-01-01T00:00:00"/>
    <n v="23"/>
    <n v="0"/>
    <n v="0"/>
    <m/>
    <m/>
    <n v="18"/>
    <n v="1190.5259999999998"/>
    <n v="0.17"/>
    <n v="35608.145399999994"/>
    <n v="21429.467999999997"/>
    <n v="14178.677399999997"/>
  </r>
  <r>
    <x v="565"/>
    <x v="219"/>
    <d v="2025-01-16T00:00:00"/>
    <n v="30"/>
    <x v="2"/>
    <x v="10"/>
    <s v="Manchester"/>
    <s v="Corporate"/>
    <x v="4"/>
    <x v="0"/>
    <x v="0"/>
    <x v="565"/>
    <n v="722.87"/>
    <n v="-33.659999999999997"/>
    <n v="33.659999999999997"/>
    <n v="0.10199999999999999"/>
    <n v="28"/>
    <n v="846.34703999999988"/>
    <n v="20240.36"/>
    <n v="-19394.01296"/>
    <n v="-22.914965189693348"/>
    <d v="2023-10-18T00:00:00"/>
    <s v="Q4-2024"/>
    <s v="Europe → United Kingdom → Manchester"/>
    <s v="Low"/>
    <x v="30"/>
    <d v="2023-01-01T00:00:00"/>
    <n v="23"/>
    <n v="0"/>
    <n v="0"/>
    <m/>
    <m/>
    <n v="33.6"/>
    <n v="831.30049999999994"/>
    <n v="0.10199999999999999"/>
    <n v="1015.6164479999999"/>
    <n v="27931.696799999998"/>
    <n v="-26916.080351999997"/>
  </r>
  <r>
    <x v="566"/>
    <x v="437"/>
    <d v="2025-01-12T00:00:00"/>
    <n v="14"/>
    <x v="2"/>
    <x v="10"/>
    <s v="Manchester"/>
    <s v="Corporate"/>
    <x v="2"/>
    <x v="7"/>
    <x v="0"/>
    <x v="566"/>
    <n v="1399.72"/>
    <n v="3149.21"/>
    <n v="3149.21"/>
    <n v="0.185"/>
    <n v="12"/>
    <n v="30799.273800000003"/>
    <n v="16796.64"/>
    <n v="14002.633800000003"/>
    <n v="0.45464168703873797"/>
    <d v="2023-09-08T00:00:00"/>
    <s v="Q4-2024"/>
    <s v="Europe → United Kingdom → Manchester"/>
    <s v="High"/>
    <x v="30"/>
    <d v="2023-01-01T00:00:00"/>
    <n v="23"/>
    <n v="0"/>
    <n v="0"/>
    <m/>
    <m/>
    <n v="14.399999999999999"/>
    <n v="1609.6779999999999"/>
    <n v="0.185"/>
    <n v="36959.128559999997"/>
    <n v="23179.363199999996"/>
    <n v="13779.765360000001"/>
  </r>
  <r>
    <x v="567"/>
    <x v="438"/>
    <d v="2025-02-17T00:00:00"/>
    <n v="17"/>
    <x v="2"/>
    <x v="10"/>
    <s v="London"/>
    <s v="Enterprise"/>
    <x v="4"/>
    <x v="15"/>
    <x v="1"/>
    <x v="537"/>
    <n v="378.26"/>
    <n v="541.55999999999995"/>
    <n v="541.55999999999995"/>
    <n v="0.16300000000000001"/>
    <n v="25"/>
    <n v="11332.142999999998"/>
    <n v="9456.5"/>
    <n v="1875.6429999999982"/>
    <n v="0.16551529573885526"/>
    <d v="2023-08-30T00:00:00"/>
    <s v="Q1-2025"/>
    <s v="Europe → United Kingdom → London"/>
    <s v="Low"/>
    <x v="21"/>
    <d v="2023-01-01T00:00:00"/>
    <n v="24"/>
    <n v="0"/>
    <n v="0"/>
    <m/>
    <m/>
    <n v="30"/>
    <n v="434.99899999999997"/>
    <n v="0.16300000000000001"/>
    <n v="13598.571599999999"/>
    <n v="13049.97"/>
    <n v="548.60159999999996"/>
  </r>
  <r>
    <x v="568"/>
    <x v="439"/>
    <d v="2025-02-25T00:00:00"/>
    <n v="21"/>
    <x v="2"/>
    <x v="10"/>
    <s v="Birmingham"/>
    <s v="Corporate"/>
    <x v="0"/>
    <x v="0"/>
    <x v="0"/>
    <x v="567"/>
    <n v="1016.32"/>
    <n v="2253.42"/>
    <n v="2253.42"/>
    <n v="5.5E-2"/>
    <n v="12"/>
    <n v="25553.782800000001"/>
    <n v="12195.84"/>
    <n v="13357.942800000001"/>
    <n v="0.52273837124419797"/>
    <d v="2023-08-30T00:00:00"/>
    <s v="Q1-2025"/>
    <s v="Europe → United Kingdom → Birmingham"/>
    <s v="High"/>
    <x v="22"/>
    <d v="2023-01-01T00:00:00"/>
    <n v="25"/>
    <n v="0"/>
    <n v="0"/>
    <m/>
    <m/>
    <n v="14.399999999999999"/>
    <n v="1168.768"/>
    <n v="5.5E-2"/>
    <n v="30664.539359999999"/>
    <n v="16830.2592"/>
    <n v="13834.280159999998"/>
  </r>
  <r>
    <x v="569"/>
    <x v="439"/>
    <d v="2025-02-08T00:00:00"/>
    <n v="4"/>
    <x v="2"/>
    <x v="10"/>
    <s v="Manchester"/>
    <s v="Enterprise"/>
    <x v="0"/>
    <x v="11"/>
    <x v="4"/>
    <x v="568"/>
    <n v="586.21"/>
    <n v="727.22"/>
    <n v="727.22"/>
    <n v="6.8000000000000005E-2"/>
    <n v="15"/>
    <n v="10166.535600000001"/>
    <n v="8793.1500000000015"/>
    <n v="1373.3855999999996"/>
    <n v="0.13508884973559721"/>
    <d v="2023-08-03T00:00:00"/>
    <s v="Q1-2025"/>
    <s v="Europe → United Kingdom → Manchester"/>
    <s v="Low"/>
    <x v="22"/>
    <d v="2023-01-01T00:00:00"/>
    <n v="25"/>
    <n v="1"/>
    <n v="0"/>
    <m/>
    <m/>
    <n v="18"/>
    <n v="674.14149999999995"/>
    <n v="6.8000000000000005E-2"/>
    <n v="12199.842720000001"/>
    <n v="12134.546999999999"/>
    <n v="65.295720000001893"/>
  </r>
  <r>
    <x v="570"/>
    <x v="371"/>
    <d v="2025-04-17T00:00:00"/>
    <n v="23"/>
    <x v="2"/>
    <x v="10"/>
    <s v="London"/>
    <s v="Consumer"/>
    <x v="4"/>
    <x v="15"/>
    <x v="4"/>
    <x v="569"/>
    <n v="1421.19"/>
    <n v="1808.26"/>
    <n v="1808.26"/>
    <n v="0.104"/>
    <n v="13"/>
    <n v="21062.61248"/>
    <n v="18475.47"/>
    <n v="2587.1424799999986"/>
    <n v="0.12283103449093123"/>
    <d v="2023-07-14T00:00:00"/>
    <s v="Q1-2025"/>
    <s v="Europe → United Kingdom → London"/>
    <s v="High"/>
    <x v="23"/>
    <d v="2023-01-01T00:00:00"/>
    <n v="26"/>
    <n v="0"/>
    <n v="0"/>
    <m/>
    <m/>
    <n v="15.6"/>
    <n v="1634.3685"/>
    <n v="0.104"/>
    <n v="25275.134976000001"/>
    <n v="25496.1486"/>
    <n v="-221.01362399999925"/>
  </r>
  <r>
    <x v="571"/>
    <x v="224"/>
    <d v="2025-04-10T00:00:00"/>
    <n v="6"/>
    <x v="2"/>
    <x v="10"/>
    <s v="Birmingham"/>
    <s v="Non-Profit"/>
    <x v="2"/>
    <x v="1"/>
    <x v="3"/>
    <x v="570"/>
    <n v="290.14"/>
    <n v="250.73"/>
    <n v="250.73"/>
    <n v="3.4000000000000002E-2"/>
    <n v="17"/>
    <n v="4117.4880599999997"/>
    <n v="4932.38"/>
    <n v="-814.89194000000043"/>
    <n v="-0.19790997038131072"/>
    <d v="2023-06-20T00:00:00"/>
    <s v="Q2-2025"/>
    <s v="Europe → United Kingdom → Birmingham"/>
    <s v="Low"/>
    <x v="24"/>
    <d v="2023-01-01T00:00:00"/>
    <n v="27"/>
    <n v="1"/>
    <n v="0"/>
    <m/>
    <m/>
    <n v="20.399999999999999"/>
    <n v="333.66099999999994"/>
    <n v="3.4000000000000002E-2"/>
    <n v="4940.9856719999998"/>
    <n v="6806.6843999999983"/>
    <n v="-1865.6987279999985"/>
  </r>
  <r>
    <x v="572"/>
    <x v="440"/>
    <d v="2025-05-04T00:00:00"/>
    <n v="20"/>
    <x v="2"/>
    <x v="10"/>
    <s v="Birmingham"/>
    <s v="Enterprise"/>
    <x v="0"/>
    <x v="12"/>
    <x v="0"/>
    <x v="571"/>
    <n v="1413.87"/>
    <n v="3275"/>
    <n v="3275"/>
    <n v="0.255"/>
    <n v="38"/>
    <n v="92715.25"/>
    <n v="53727.06"/>
    <n v="38988.19"/>
    <n v="0.42051539525590453"/>
    <d v="2023-06-23T00:00:00"/>
    <s v="Q2-2025"/>
    <s v="Europe → United Kingdom → Birmingham"/>
    <s v="High"/>
    <x v="24"/>
    <d v="2023-01-01T00:00:00"/>
    <n v="27"/>
    <n v="0"/>
    <n v="1"/>
    <m/>
    <m/>
    <n v="45.6"/>
    <n v="1625.9504999999997"/>
    <n v="0.25"/>
    <n v="112005"/>
    <n v="74143.342799999984"/>
    <n v="37861.657200000016"/>
  </r>
  <r>
    <x v="573"/>
    <x v="403"/>
    <d v="2025-05-21T00:00:00"/>
    <n v="2"/>
    <x v="2"/>
    <x v="10"/>
    <s v="Birmingham"/>
    <s v="Enterprise"/>
    <x v="1"/>
    <x v="3"/>
    <x v="6"/>
    <x v="572"/>
    <n v="1015.16"/>
    <n v="2148.14"/>
    <n v="2148.14"/>
    <n v="3.7999999999999999E-2"/>
    <n v="19"/>
    <n v="39263.702919999996"/>
    <n v="19288.04"/>
    <n v="19975.662919999995"/>
    <n v="0.50875647059322227"/>
    <d v="2023-05-01T00:00:00"/>
    <s v="Q2-2025"/>
    <s v="Europe → United Kingdom → Birmingham"/>
    <s v="High"/>
    <x v="25"/>
    <d v="2023-01-01T00:00:00"/>
    <n v="28"/>
    <n v="1"/>
    <n v="0"/>
    <m/>
    <m/>
    <n v="22.8"/>
    <n v="1167.434"/>
    <n v="3.7999999999999999E-2"/>
    <n v="47116.443503999995"/>
    <n v="26617.495200000001"/>
    <n v="20498.948303999994"/>
  </r>
  <r>
    <x v="574"/>
    <x v="404"/>
    <d v="2025-07-12T00:00:00"/>
    <n v="23"/>
    <x v="2"/>
    <x v="10"/>
    <s v="London"/>
    <s v="Non-Profit"/>
    <x v="2"/>
    <x v="10"/>
    <x v="4"/>
    <x v="573"/>
    <n v="801.24"/>
    <n v="1959.09"/>
    <n v="1959.09"/>
    <n v="0.123"/>
    <n v="23"/>
    <n v="39516.804389999998"/>
    <n v="18428.52"/>
    <n v="21088.284389999997"/>
    <n v="0.53365358650651762"/>
    <d v="2023-04-19T00:00:00"/>
    <s v="Q2-2025"/>
    <s v="Europe → United Kingdom → London"/>
    <s v="High"/>
    <x v="31"/>
    <d v="2023-01-01T00:00:00"/>
    <n v="29"/>
    <n v="0"/>
    <n v="0"/>
    <m/>
    <m/>
    <n v="27.599999999999998"/>
    <n v="921.42599999999993"/>
    <n v="0.123"/>
    <n v="47420.16526799999"/>
    <n v="25431.357599999996"/>
    <n v="21988.807667999994"/>
  </r>
  <r>
    <x v="575"/>
    <x v="441"/>
    <d v="2025-07-08T00:00:00"/>
    <n v="16"/>
    <x v="2"/>
    <x v="10"/>
    <s v="London"/>
    <s v="Education"/>
    <x v="2"/>
    <x v="4"/>
    <x v="2"/>
    <x v="574"/>
    <n v="892.73"/>
    <n v="979.84"/>
    <n v="979.84"/>
    <n v="0.17399999999999999"/>
    <n v="10"/>
    <n v="8093.4784"/>
    <n v="8927.2999999999993"/>
    <n v="-833.82159999999931"/>
    <n v="-0.10302388649112838"/>
    <d v="2023-04-10T00:00:00"/>
    <s v="Q2-2025"/>
    <s v="Europe → United Kingdom → London"/>
    <s v="Medium"/>
    <x v="31"/>
    <d v="2023-01-01T00:00:00"/>
    <n v="29"/>
    <n v="0"/>
    <n v="0"/>
    <m/>
    <m/>
    <n v="12"/>
    <n v="1026.6395"/>
    <n v="0.17399999999999999"/>
    <n v="9712.1740800000007"/>
    <n v="12319.673999999999"/>
    <n v="-2607.4999199999984"/>
  </r>
  <r>
    <x v="576"/>
    <x v="442"/>
    <d v="2025-07-10T00:00:00"/>
    <n v="15"/>
    <x v="2"/>
    <x v="10"/>
    <s v="Birmingham"/>
    <s v="Non-Profit"/>
    <x v="0"/>
    <x v="0"/>
    <x v="2"/>
    <x v="575"/>
    <n v="546.83000000000004"/>
    <n v="400.84"/>
    <n v="400.84"/>
    <n v="7.8E-2"/>
    <n v="13"/>
    <n v="4804.4682400000002"/>
    <n v="7108.7900000000009"/>
    <n v="-2304.3217600000007"/>
    <n v="-0.47962056254533608"/>
    <d v="2023-04-19T00:00:00"/>
    <s v="Q2-2025"/>
    <s v="Europe → United Kingdom → Birmingham"/>
    <s v="Low"/>
    <x v="31"/>
    <d v="2023-01-01T00:00:00"/>
    <n v="29"/>
    <n v="0"/>
    <n v="0"/>
    <m/>
    <m/>
    <n v="15.6"/>
    <n v="628.85450000000003"/>
    <n v="7.8E-2"/>
    <n v="5765.3618879999995"/>
    <n v="9810.1301999999996"/>
    <n v="-4044.7683120000002"/>
  </r>
  <r>
    <x v="577"/>
    <x v="341"/>
    <d v="2025-07-16T00:00:00"/>
    <n v="5"/>
    <x v="2"/>
    <x v="10"/>
    <s v="London"/>
    <s v="Enterprise"/>
    <x v="1"/>
    <x v="12"/>
    <x v="3"/>
    <x v="576"/>
    <n v="930.03"/>
    <n v="1086.68"/>
    <n v="1086.68"/>
    <n v="0.109"/>
    <n v="26"/>
    <n v="25174.028880000002"/>
    <n v="24180.78"/>
    <n v="993.24888000000283"/>
    <n v="3.9455300728168656E-2"/>
    <d v="2023-03-19T00:00:00"/>
    <s v="Q3-2025"/>
    <s v="Europe → United Kingdom → London"/>
    <s v="Medium"/>
    <x v="26"/>
    <d v="2023-01-01T00:00:00"/>
    <n v="30"/>
    <n v="1"/>
    <n v="0"/>
    <m/>
    <m/>
    <n v="31.2"/>
    <n v="1069.5345"/>
    <n v="0.109"/>
    <n v="30208.834656000006"/>
    <n v="33369.4764"/>
    <n v="-3160.6417439999932"/>
  </r>
  <r>
    <x v="578"/>
    <x v="301"/>
    <d v="2025-08-17T00:00:00"/>
    <n v="25"/>
    <x v="2"/>
    <x v="10"/>
    <s v="Birmingham"/>
    <s v="Education"/>
    <x v="1"/>
    <x v="14"/>
    <x v="3"/>
    <x v="577"/>
    <n v="1142.06"/>
    <n v="1455"/>
    <n v="1455"/>
    <n v="7.8E-2"/>
    <n v="28"/>
    <n v="37562.28"/>
    <n v="31977.68"/>
    <n v="5584.5999999999985"/>
    <n v="0.1486757459877302"/>
    <d v="2023-02-28T00:00:00"/>
    <s v="Q3-2025"/>
    <s v="Europe → United Kingdom → Birmingham"/>
    <s v="Medium"/>
    <x v="26"/>
    <d v="2023-01-01T00:00:00"/>
    <n v="30"/>
    <n v="0"/>
    <n v="0"/>
    <m/>
    <m/>
    <n v="33.6"/>
    <n v="1313.3689999999999"/>
    <n v="7.8E-2"/>
    <n v="45074.736000000004"/>
    <n v="44129.198400000001"/>
    <n v="945.53760000000329"/>
  </r>
  <r>
    <x v="579"/>
    <x v="263"/>
    <d v="2025-08-14T00:00:00"/>
    <n v="9"/>
    <x v="2"/>
    <x v="10"/>
    <s v="London"/>
    <s v="Non-Profit"/>
    <x v="2"/>
    <x v="6"/>
    <x v="1"/>
    <x v="578"/>
    <n v="41.76"/>
    <n v="45.19"/>
    <n v="45.19"/>
    <n v="0.17899999999999999"/>
    <n v="23"/>
    <n v="853.32276999999988"/>
    <n v="960.4799999999999"/>
    <n v="-107.15723000000003"/>
    <n v="-0.12557643340514638"/>
    <d v="2023-02-19T00:00:00"/>
    <s v="Q3-2025"/>
    <s v="Europe → United Kingdom → London"/>
    <s v="Low"/>
    <x v="27"/>
    <d v="2023-01-01T00:00:00"/>
    <n v="31"/>
    <n v="0"/>
    <n v="0"/>
    <m/>
    <m/>
    <n v="27.599999999999998"/>
    <n v="48.023999999999994"/>
    <n v="0.17899999999999999"/>
    <n v="1023.9873239999998"/>
    <n v="1325.4623999999997"/>
    <n v="-301.47507599999983"/>
  </r>
  <r>
    <x v="580"/>
    <x v="408"/>
    <d v="2025-09-26T00:00:00"/>
    <n v="12"/>
    <x v="2"/>
    <x v="10"/>
    <s v="London"/>
    <s v="Small Business"/>
    <x v="2"/>
    <x v="1"/>
    <x v="4"/>
    <x v="579"/>
    <n v="425.15"/>
    <n v="885.92"/>
    <n v="885.92"/>
    <n v="0.23899999999999999"/>
    <n v="13"/>
    <n v="8764.4065599999994"/>
    <n v="5526.95"/>
    <n v="3237.4565599999996"/>
    <n v="0.3693868532725848"/>
    <d v="2023-01-21T00:00:00"/>
    <s v="Q3-2025"/>
    <s v="Europe → United Kingdom → London"/>
    <s v="Medium"/>
    <x v="28"/>
    <d v="2023-01-01T00:00:00"/>
    <n v="32"/>
    <n v="0"/>
    <n v="1"/>
    <m/>
    <m/>
    <n v="15.6"/>
    <n v="488.92249999999996"/>
    <n v="0.23899999999999999"/>
    <n v="10517.287871999999"/>
    <n v="7627.1909999999989"/>
    <n v="2890.0968720000001"/>
  </r>
  <r>
    <x v="581"/>
    <x v="345"/>
    <d v="2023-01-19T00:00:00"/>
    <n v="6"/>
    <x v="0"/>
    <x v="11"/>
    <s v="Chicago"/>
    <s v="Corporate"/>
    <x v="2"/>
    <x v="15"/>
    <x v="2"/>
    <x v="580"/>
    <n v="833.57"/>
    <n v="881.57"/>
    <n v="881.57"/>
    <n v="5.7000000000000002E-2"/>
    <n v="18"/>
    <n v="14963.769179999999"/>
    <n v="15004.26"/>
    <n v="-40.490820000000895"/>
    <n v="-2.7059238560107821E-3"/>
    <d v="2025-09-11T00:00:00"/>
    <s v="Q1-2023"/>
    <s v="Americas → USA → Chicago"/>
    <s v="Medium"/>
    <x v="0"/>
    <d v="2023-01-01T00:00:00"/>
    <n v="0"/>
    <n v="1"/>
    <n v="0"/>
    <m/>
    <m/>
    <n v="21.599999999999998"/>
    <n v="958.60550000000001"/>
    <n v="5.7000000000000002E-2"/>
    <n v="17956.523015999999"/>
    <n v="20705.878799999999"/>
    <n v="-2749.3557839999994"/>
  </r>
  <r>
    <x v="262"/>
    <x v="443"/>
    <d v="2023-01-30T00:00:00"/>
    <n v="8"/>
    <x v="0"/>
    <x v="11"/>
    <s v="San Francisco"/>
    <s v="Small Business"/>
    <x v="1"/>
    <x v="4"/>
    <x v="4"/>
    <x v="581"/>
    <n v="413.52"/>
    <n v="1004.34"/>
    <n v="1004.34"/>
    <n v="0.111"/>
    <n v="18"/>
    <n v="16071.44868"/>
    <n v="7443.36"/>
    <n v="8628.0886800000007"/>
    <n v="0.53685817948304593"/>
    <d v="2025-08-30T00:00:00"/>
    <s v="Q1-2023"/>
    <s v="Americas → USA → San Francisco"/>
    <s v="Medium"/>
    <x v="0"/>
    <d v="2023-01-01T00:00:00"/>
    <n v="0"/>
    <n v="0"/>
    <n v="0"/>
    <m/>
    <m/>
    <n v="21.599999999999998"/>
    <n v="475.54799999999994"/>
    <n v="0.111"/>
    <n v="19285.738416"/>
    <n v="10271.836799999997"/>
    <n v="9013.9016160000028"/>
  </r>
  <r>
    <x v="582"/>
    <x v="444"/>
    <d v="2023-02-28T00:00:00"/>
    <n v="23"/>
    <x v="0"/>
    <x v="11"/>
    <s v="Austin"/>
    <s v="Non-Profit"/>
    <x v="3"/>
    <x v="11"/>
    <x v="2"/>
    <x v="582"/>
    <n v="1214.49"/>
    <n v="1533.95"/>
    <n v="1533.95"/>
    <n v="0"/>
    <n v="11"/>
    <n v="16873.45"/>
    <n v="13359.39"/>
    <n v="3514.0600000000013"/>
    <n v="0.20825972163369086"/>
    <d v="2025-09-02T00:00:00"/>
    <s v="Q1-2023"/>
    <s v="Americas → USA → Austin"/>
    <s v="Medium"/>
    <x v="1"/>
    <d v="2023-01-01T00:00:00"/>
    <n v="1"/>
    <n v="0"/>
    <n v="0"/>
    <m/>
    <m/>
    <n v="13.2"/>
    <n v="1396.6634999999999"/>
    <n v="0"/>
    <n v="20248.14"/>
    <n v="18435.958199999997"/>
    <n v="1812.1818000000021"/>
  </r>
  <r>
    <x v="583"/>
    <x v="445"/>
    <d v="2023-03-09T00:00:00"/>
    <n v="13"/>
    <x v="0"/>
    <x v="11"/>
    <s v="New York"/>
    <s v="Enterprise"/>
    <x v="1"/>
    <x v="3"/>
    <x v="1"/>
    <x v="583"/>
    <n v="6.85"/>
    <n v="10.18"/>
    <n v="10.18"/>
    <n v="4.7E-2"/>
    <n v="10"/>
    <n v="97.0154"/>
    <n v="68.5"/>
    <n v="28.5154"/>
    <n v="0.2939265312517394"/>
    <d v="2025-08-06T00:00:00"/>
    <s v="Q1-2023"/>
    <s v="Americas → USA → New York"/>
    <s v="Low"/>
    <x v="1"/>
    <d v="2023-01-01T00:00:00"/>
    <n v="1"/>
    <n v="0"/>
    <n v="0"/>
    <m/>
    <m/>
    <n v="12"/>
    <n v="7.8774999999999986"/>
    <n v="4.7E-2"/>
    <n v="116.41847999999999"/>
    <n v="94.529999999999987"/>
    <n v="21.888480000000001"/>
  </r>
  <r>
    <x v="584"/>
    <x v="446"/>
    <d v="2023-02-27T00:00:00"/>
    <n v="1"/>
    <x v="0"/>
    <x v="11"/>
    <s v="San Francisco"/>
    <s v="Non-Profit"/>
    <x v="1"/>
    <x v="11"/>
    <x v="4"/>
    <x v="584"/>
    <n v="1015.91"/>
    <n v="2331.48"/>
    <n v="2331.48"/>
    <n v="0.14599999999999999"/>
    <n v="26"/>
    <n v="51768.181920000003"/>
    <n v="26413.66"/>
    <n v="25354.521920000003"/>
    <n v="0.48977037592669626"/>
    <d v="2025-08-01T00:00:00"/>
    <s v="Q1-2023"/>
    <s v="Americas → USA → San Francisco"/>
    <s v="High"/>
    <x v="1"/>
    <d v="2023-01-01T00:00:00"/>
    <n v="1"/>
    <n v="1"/>
    <n v="0"/>
    <m/>
    <m/>
    <n v="31.2"/>
    <n v="1168.2964999999999"/>
    <n v="0.14599999999999999"/>
    <n v="62121.818303999993"/>
    <n v="36450.8508"/>
    <n v="25670.967503999993"/>
  </r>
  <r>
    <x v="585"/>
    <x v="447"/>
    <d v="2023-04-13T00:00:00"/>
    <n v="2"/>
    <x v="0"/>
    <x v="11"/>
    <s v="San Francisco"/>
    <s v="Education"/>
    <x v="0"/>
    <x v="2"/>
    <x v="4"/>
    <x v="585"/>
    <n v="32.1"/>
    <n v="70.599999999999994"/>
    <n v="70.599999999999994"/>
    <n v="0.28199999999999997"/>
    <n v="22"/>
    <n v="1115.1975999999997"/>
    <n v="706.2"/>
    <n v="408.99759999999969"/>
    <n v="0.36674899587301818"/>
    <d v="2025-06-15T00:00:00"/>
    <s v="Q2-2023"/>
    <s v="Americas → USA → San Francisco"/>
    <s v="Low"/>
    <x v="3"/>
    <d v="2023-01-01T00:00:00"/>
    <n v="3"/>
    <n v="1"/>
    <n v="1"/>
    <m/>
    <m/>
    <n v="26.4"/>
    <n v="36.914999999999999"/>
    <n v="0.25"/>
    <n v="1397.8799999999997"/>
    <n v="974.55599999999993"/>
    <n v="423.32399999999973"/>
  </r>
  <r>
    <x v="586"/>
    <x v="198"/>
    <d v="2023-04-23T00:00:00"/>
    <n v="7"/>
    <x v="0"/>
    <x v="11"/>
    <s v="Austin"/>
    <s v="Corporate"/>
    <x v="3"/>
    <x v="13"/>
    <x v="3"/>
    <x v="586"/>
    <n v="1099.1500000000001"/>
    <n v="1431.37"/>
    <n v="1431.37"/>
    <n v="0.104"/>
    <n v="8"/>
    <n v="10260.060159999999"/>
    <n v="8793.2000000000007"/>
    <n v="1466.8601599999984"/>
    <n v="0.14296798821109433"/>
    <d v="2025-07-03T00:00:00"/>
    <s v="Q2-2023"/>
    <s v="Americas → USA → Austin"/>
    <s v="Medium"/>
    <x v="3"/>
    <d v="2023-01-01T00:00:00"/>
    <n v="3"/>
    <n v="1"/>
    <n v="0"/>
    <m/>
    <m/>
    <n v="9.6"/>
    <n v="1264.0225"/>
    <n v="0.104"/>
    <n v="12312.072191999998"/>
    <n v="12134.616"/>
    <n v="177.45619199999783"/>
  </r>
  <r>
    <x v="587"/>
    <x v="448"/>
    <d v="2023-05-16T00:00:00"/>
    <n v="13"/>
    <x v="0"/>
    <x v="11"/>
    <s v="New York"/>
    <s v="Corporate"/>
    <x v="0"/>
    <x v="11"/>
    <x v="2"/>
    <x v="587"/>
    <n v="64.5"/>
    <n v="123.62"/>
    <n v="123.62"/>
    <n v="0"/>
    <n v="3"/>
    <n v="370.86"/>
    <n v="193.5"/>
    <n v="177.36"/>
    <n v="0.47823976702798904"/>
    <d v="2025-06-01T00:00:00"/>
    <s v="Q2-2023"/>
    <s v="Americas → USA → New York"/>
    <s v="Low"/>
    <x v="4"/>
    <d v="2023-01-01T00:00:00"/>
    <n v="4"/>
    <n v="0"/>
    <n v="0"/>
    <m/>
    <m/>
    <n v="3.5999999999999996"/>
    <n v="74.174999999999997"/>
    <n v="0"/>
    <n v="445.03199999999998"/>
    <n v="267.02999999999997"/>
    <n v="178.00200000000001"/>
  </r>
  <r>
    <x v="588"/>
    <x v="349"/>
    <d v="2023-05-26T00:00:00"/>
    <n v="22"/>
    <x v="0"/>
    <x v="11"/>
    <s v="San Francisco"/>
    <s v="Enterprise"/>
    <x v="1"/>
    <x v="9"/>
    <x v="4"/>
    <x v="588"/>
    <n v="249.71"/>
    <n v="361.33"/>
    <n v="361.33"/>
    <n v="9.4E-2"/>
    <n v="12"/>
    <n v="3928.3797600000003"/>
    <n v="2996.52"/>
    <n v="931.85976000000028"/>
    <n v="0.23721223937881206"/>
    <d v="2025-06-01T00:00:00"/>
    <s v="Q2-2023"/>
    <s v="Americas → USA → San Francisco"/>
    <s v="Low"/>
    <x v="4"/>
    <d v="2023-01-01T00:00:00"/>
    <n v="4"/>
    <n v="0"/>
    <n v="0"/>
    <m/>
    <m/>
    <n v="14.399999999999999"/>
    <n v="287.16649999999998"/>
    <n v="9.4E-2"/>
    <n v="4714.0557119999994"/>
    <n v="4135.1975999999995"/>
    <n v="578.85811199999989"/>
  </r>
  <r>
    <x v="589"/>
    <x v="449"/>
    <d v="2023-06-21T00:00:00"/>
    <n v="28"/>
    <x v="0"/>
    <x v="11"/>
    <s v="Austin"/>
    <s v="Small Business"/>
    <x v="0"/>
    <x v="2"/>
    <x v="0"/>
    <x v="589"/>
    <n v="813.97"/>
    <n v="1568.83"/>
    <n v="1568.83"/>
    <n v="1.7000000000000001E-2"/>
    <n v="15"/>
    <n v="23132.398349999996"/>
    <n v="12209.550000000001"/>
    <n v="10922.848349999995"/>
    <n v="0.4721883215364911"/>
    <d v="2025-05-07T00:00:00"/>
    <s v="Q2-2023"/>
    <s v="Americas → USA → Austin"/>
    <s v="Medium"/>
    <x v="4"/>
    <d v="2023-01-01T00:00:00"/>
    <n v="4"/>
    <n v="0"/>
    <n v="0"/>
    <m/>
    <m/>
    <n v="18"/>
    <n v="936.06549999999993"/>
    <n v="1.7000000000000001E-2"/>
    <n v="27758.878019999996"/>
    <n v="16849.179"/>
    <n v="10909.699019999996"/>
  </r>
  <r>
    <x v="590"/>
    <x v="416"/>
    <d v="2023-06-23T00:00:00"/>
    <n v="8"/>
    <x v="0"/>
    <x v="11"/>
    <s v="San Francisco"/>
    <s v="Consumer"/>
    <x v="3"/>
    <x v="13"/>
    <x v="0"/>
    <x v="590"/>
    <n v="1097.0899999999999"/>
    <n v="2182.31"/>
    <n v="2182.31"/>
    <n v="0.112"/>
    <n v="9"/>
    <n v="17441.021520000002"/>
    <n v="9873.81"/>
    <n v="7567.2115200000026"/>
    <n v="0.43387432962699546"/>
    <d v="2025-03-30T00:00:00"/>
    <s v="Q2-2023"/>
    <s v="Americas → USA → San Francisco"/>
    <s v="High"/>
    <x v="5"/>
    <d v="2023-01-01T00:00:00"/>
    <n v="5"/>
    <n v="0"/>
    <n v="0"/>
    <m/>
    <m/>
    <n v="10.799999999999999"/>
    <n v="1261.6534999999999"/>
    <n v="0.112"/>
    <n v="20929.225823999997"/>
    <n v="13625.857799999998"/>
    <n v="7303.3680239999994"/>
  </r>
  <r>
    <x v="591"/>
    <x v="450"/>
    <d v="2023-06-24T00:00:00"/>
    <n v="7"/>
    <x v="0"/>
    <x v="11"/>
    <s v="San Francisco"/>
    <s v="Corporate"/>
    <x v="4"/>
    <x v="14"/>
    <x v="3"/>
    <x v="591"/>
    <n v="313.99"/>
    <n v="454.42"/>
    <n v="454.42"/>
    <n v="0.129"/>
    <n v="9"/>
    <n v="3562.1983800000003"/>
    <n v="2825.91"/>
    <n v="736.28838000000042"/>
    <n v="0.20669493988147858"/>
    <d v="2025-04-01T00:00:00"/>
    <s v="Q2-2023"/>
    <s v="Americas → USA → San Francisco"/>
    <s v="Low"/>
    <x v="5"/>
    <d v="2023-01-01T00:00:00"/>
    <n v="5"/>
    <n v="1"/>
    <n v="0"/>
    <m/>
    <m/>
    <n v="10.799999999999999"/>
    <n v="361.08850000000001"/>
    <n v="0.129"/>
    <n v="4274.6380559999998"/>
    <n v="3899.7557999999999"/>
    <n v="374.88225599999987"/>
  </r>
  <r>
    <x v="592"/>
    <x v="6"/>
    <d v="2023-07-08T00:00:00"/>
    <n v="18"/>
    <x v="0"/>
    <x v="11"/>
    <s v="Austin"/>
    <s v="Non-Profit"/>
    <x v="2"/>
    <x v="8"/>
    <x v="0"/>
    <x v="592"/>
    <n v="337"/>
    <n v="511.03"/>
    <n v="511.03"/>
    <n v="0.108"/>
    <n v="7"/>
    <n v="3190.8713200000002"/>
    <n v="2359"/>
    <n v="831.8713200000002"/>
    <n v="0.26070349963219458"/>
    <d v="2025-04-22T00:00:00"/>
    <s v="Q2-2023"/>
    <s v="Americas → USA → Austin"/>
    <s v="Low"/>
    <x v="5"/>
    <d v="2023-01-01T00:00:00"/>
    <n v="5"/>
    <n v="0"/>
    <n v="0"/>
    <m/>
    <m/>
    <n v="8.4"/>
    <n v="387.54999999999995"/>
    <n v="0.108"/>
    <n v="3829.045584"/>
    <n v="3255.4199999999996"/>
    <n v="573.62558400000034"/>
  </r>
  <r>
    <x v="593"/>
    <x v="6"/>
    <d v="2023-07-08T00:00:00"/>
    <n v="18"/>
    <x v="0"/>
    <x v="11"/>
    <s v="New York"/>
    <s v="Consumer"/>
    <x v="0"/>
    <x v="13"/>
    <x v="4"/>
    <x v="593"/>
    <n v="1145.53"/>
    <n v="1278.3"/>
    <n v="1278.3"/>
    <n v="0.09"/>
    <n v="41"/>
    <n v="47693.373"/>
    <n v="46966.729999999996"/>
    <n v="726.64300000000367"/>
    <n v="1.5235722581416158E-2"/>
    <d v="2025-04-10T00:00:00"/>
    <s v="Q2-2023"/>
    <s v="Americas → USA → New York"/>
    <s v="Medium"/>
    <x v="5"/>
    <d v="2023-01-01T00:00:00"/>
    <n v="5"/>
    <n v="0"/>
    <n v="0"/>
    <m/>
    <m/>
    <n v="49.199999999999996"/>
    <n v="1317.3594999999998"/>
    <n v="0.09"/>
    <n v="57232.047599999998"/>
    <n v="64814.087399999982"/>
    <n v="-7582.0397999999841"/>
  </r>
  <r>
    <x v="594"/>
    <x v="451"/>
    <d v="2023-08-25T00:00:00"/>
    <n v="30"/>
    <x v="0"/>
    <x v="11"/>
    <s v="New York"/>
    <s v="Consumer"/>
    <x v="4"/>
    <x v="3"/>
    <x v="5"/>
    <x v="594"/>
    <n v="1261.48"/>
    <n v="1643.18"/>
    <n v="1643.18"/>
    <n v="0.151"/>
    <n v="23"/>
    <n v="32086.37586"/>
    <n v="29014.04"/>
    <n v="3072.3358599999992"/>
    <n v="9.5752037357079045E-2"/>
    <d v="2025-03-08T00:00:00"/>
    <s v="Q3-2023"/>
    <s v="Americas → USA → New York"/>
    <s v="High"/>
    <x v="6"/>
    <d v="2023-01-01T00:00:00"/>
    <n v="6"/>
    <n v="0"/>
    <n v="0"/>
    <m/>
    <m/>
    <n v="27.599999999999998"/>
    <n v="1450.702"/>
    <n v="0.151"/>
    <n v="38503.651031999994"/>
    <n v="40039.375199999995"/>
    <n v="-1535.7241680000006"/>
  </r>
  <r>
    <x v="595"/>
    <x v="314"/>
    <d v="2023-09-07T00:00:00"/>
    <n v="23"/>
    <x v="0"/>
    <x v="11"/>
    <s v="New York"/>
    <s v="Enterprise"/>
    <x v="1"/>
    <x v="12"/>
    <x v="2"/>
    <x v="595"/>
    <n v="590.33000000000004"/>
    <n v="973.04"/>
    <n v="973.04"/>
    <n v="0"/>
    <n v="26"/>
    <n v="25299.040000000001"/>
    <n v="15348.580000000002"/>
    <n v="9950.4599999999991"/>
    <n v="0.39331373838691108"/>
    <d v="2025-01-21T00:00:00"/>
    <s v="Q3-2023"/>
    <s v="Americas → USA → New York"/>
    <s v="Medium"/>
    <x v="7"/>
    <d v="2023-01-01T00:00:00"/>
    <n v="7"/>
    <n v="0"/>
    <n v="0"/>
    <m/>
    <m/>
    <n v="31.2"/>
    <n v="678.87950000000001"/>
    <n v="0"/>
    <n v="30358.847999999998"/>
    <n v="21181.040399999998"/>
    <n v="9177.8076000000001"/>
  </r>
  <r>
    <x v="596"/>
    <x v="452"/>
    <d v="2023-10-09T00:00:00"/>
    <n v="14"/>
    <x v="0"/>
    <x v="11"/>
    <s v="New York"/>
    <s v="Small Business"/>
    <x v="0"/>
    <x v="9"/>
    <x v="6"/>
    <x v="596"/>
    <n v="1279.56"/>
    <n v="3083.8"/>
    <n v="3083.8"/>
    <n v="0.106"/>
    <n v="5"/>
    <n v="13784.586000000001"/>
    <n v="6397.7999999999993"/>
    <n v="7386.7860000000019"/>
    <n v="0.53587289455047848"/>
    <d v="2024-12-14T00:00:00"/>
    <s v="Q3-2023"/>
    <s v="Americas → USA → New York"/>
    <s v="High"/>
    <x v="8"/>
    <d v="2023-01-01T00:00:00"/>
    <n v="8"/>
    <n v="0"/>
    <n v="0"/>
    <m/>
    <m/>
    <n v="6"/>
    <n v="1471.4939999999999"/>
    <n v="0.106"/>
    <n v="16541.503200000003"/>
    <n v="8828.9639999999999"/>
    <n v="7712.5392000000029"/>
  </r>
  <r>
    <x v="597"/>
    <x v="452"/>
    <d v="2023-10-02T00:00:00"/>
    <n v="7"/>
    <x v="0"/>
    <x v="11"/>
    <s v="New York"/>
    <s v="Education"/>
    <x v="0"/>
    <x v="14"/>
    <x v="5"/>
    <x v="597"/>
    <n v="145.58000000000001"/>
    <n v="228.15"/>
    <n v="228.15"/>
    <n v="0.20399999999999999"/>
    <n v="5"/>
    <n v="908.03700000000003"/>
    <n v="727.90000000000009"/>
    <n v="180.13699999999994"/>
    <n v="0.19838068272548359"/>
    <d v="2024-12-23T00:00:00"/>
    <s v="Q3-2023"/>
    <s v="Americas → USA → New York"/>
    <s v="Low"/>
    <x v="8"/>
    <d v="2023-01-01T00:00:00"/>
    <n v="8"/>
    <n v="1"/>
    <n v="1"/>
    <m/>
    <m/>
    <n v="6"/>
    <n v="167.417"/>
    <n v="0.20399999999999999"/>
    <n v="1089.6444000000001"/>
    <n v="1004.502"/>
    <n v="85.14240000000018"/>
  </r>
  <r>
    <x v="598"/>
    <x v="453"/>
    <d v="2023-10-29T00:00:00"/>
    <n v="25"/>
    <x v="0"/>
    <x v="11"/>
    <s v="San Francisco"/>
    <s v="Small Business"/>
    <x v="3"/>
    <x v="13"/>
    <x v="5"/>
    <x v="598"/>
    <n v="1239.8399999999999"/>
    <n v="1482.75"/>
    <n v="1482.75"/>
    <n v="6.7000000000000004E-2"/>
    <n v="4"/>
    <n v="5533.6230000000005"/>
    <n v="4959.3599999999997"/>
    <n v="574.26300000000083"/>
    <n v="0.10377703721413634"/>
    <d v="2025-01-04T00:00:00"/>
    <s v="Q4-2023"/>
    <s v="Americas → USA → San Francisco"/>
    <s v="Medium"/>
    <x v="9"/>
    <d v="2023-01-01T00:00:00"/>
    <n v="9"/>
    <n v="0"/>
    <n v="0"/>
    <m/>
    <m/>
    <n v="4.8"/>
    <n v="1425.8159999999998"/>
    <n v="6.7000000000000004E-2"/>
    <n v="6640.3476000000001"/>
    <n v="6843.9167999999991"/>
    <n v="-203.569199999999"/>
  </r>
  <r>
    <x v="599"/>
    <x v="424"/>
    <d v="2024-01-02T00:00:00"/>
    <n v="1"/>
    <x v="0"/>
    <x v="11"/>
    <s v="Chicago"/>
    <s v="Education"/>
    <x v="0"/>
    <x v="7"/>
    <x v="4"/>
    <x v="599"/>
    <n v="404.77"/>
    <n v="433.88"/>
    <n v="433.88"/>
    <n v="0.215"/>
    <n v="22"/>
    <n v="7493.1076000000012"/>
    <n v="8904.9399999999987"/>
    <n v="-1411.8323999999975"/>
    <n v="-0.18841747314558746"/>
    <d v="2024-09-23T00:00:00"/>
    <s v="Q1-2024"/>
    <s v="Americas → USA → Chicago"/>
    <s v="Low"/>
    <x v="12"/>
    <d v="2023-01-01T00:00:00"/>
    <n v="12"/>
    <n v="1"/>
    <n v="1"/>
    <m/>
    <m/>
    <n v="26.4"/>
    <n v="465.48549999999994"/>
    <n v="0.215"/>
    <n v="8991.72912"/>
    <n v="12288.817199999998"/>
    <n v="-3297.0880799999977"/>
  </r>
  <r>
    <x v="600"/>
    <x v="243"/>
    <d v="2024-01-29T00:00:00"/>
    <n v="17"/>
    <x v="0"/>
    <x v="11"/>
    <s v="Chicago"/>
    <s v="Education"/>
    <x v="3"/>
    <x v="4"/>
    <x v="3"/>
    <x v="600"/>
    <n v="493.76"/>
    <n v="625.04"/>
    <n v="625.04"/>
    <n v="0.25800000000000001"/>
    <n v="10"/>
    <n v="4637.7968000000001"/>
    <n v="4937.6000000000004"/>
    <n v="-299.80320000000029"/>
    <n v="-6.464345311549663E-2"/>
    <d v="2024-09-06T00:00:00"/>
    <s v="Q1-2024"/>
    <s v="Americas → USA → Chicago"/>
    <s v="Low"/>
    <x v="12"/>
    <d v="2023-01-01T00:00:00"/>
    <n v="12"/>
    <n v="0"/>
    <n v="1"/>
    <m/>
    <m/>
    <n v="12"/>
    <n v="567.82399999999996"/>
    <n v="0.25"/>
    <n v="5625.36"/>
    <n v="6813.887999999999"/>
    <n v="-1188.5279999999993"/>
  </r>
  <r>
    <x v="601"/>
    <x v="205"/>
    <d v="2024-01-15T00:00:00"/>
    <n v="2"/>
    <x v="0"/>
    <x v="11"/>
    <s v="San Francisco"/>
    <s v="Non-Profit"/>
    <x v="2"/>
    <x v="6"/>
    <x v="1"/>
    <x v="601"/>
    <n v="1061.3699999999999"/>
    <n v="1938.33"/>
    <n v="1938.33"/>
    <n v="0.17"/>
    <n v="4"/>
    <n v="6435.2555999999995"/>
    <n v="4245.4799999999996"/>
    <n v="2189.7755999999999"/>
    <n v="0.34027795259600879"/>
    <d v="2024-09-22T00:00:00"/>
    <s v="Q1-2024"/>
    <s v="Americas → USA → San Francisco"/>
    <s v="High"/>
    <x v="12"/>
    <d v="2023-01-01T00:00:00"/>
    <n v="12"/>
    <n v="1"/>
    <n v="0"/>
    <m/>
    <m/>
    <n v="4.8"/>
    <n v="1220.5754999999997"/>
    <n v="0.17"/>
    <n v="7722.3067199999987"/>
    <n v="5858.7623999999987"/>
    <n v="1863.54432"/>
  </r>
  <r>
    <x v="602"/>
    <x v="160"/>
    <d v="2024-02-01T00:00:00"/>
    <n v="0"/>
    <x v="0"/>
    <x v="11"/>
    <s v="Austin"/>
    <s v="Consumer"/>
    <x v="3"/>
    <x v="15"/>
    <x v="3"/>
    <x v="602"/>
    <n v="714.43"/>
    <n v="1595.52"/>
    <n v="1595.52"/>
    <n v="0.19400000000000001"/>
    <n v="14"/>
    <n v="18003.847679999999"/>
    <n v="10002.019999999999"/>
    <n v="8001.8276800000003"/>
    <n v="0.44445097638151093"/>
    <d v="2024-09-07T00:00:00"/>
    <s v="Q1-2024"/>
    <s v="Americas → USA → Austin"/>
    <s v="Medium"/>
    <x v="13"/>
    <d v="2023-01-01T00:00:00"/>
    <n v="13"/>
    <n v="1"/>
    <n v="0"/>
    <m/>
    <m/>
    <n v="16.8"/>
    <n v="821.59449999999993"/>
    <n v="0.19400000000000001"/>
    <n v="21604.617216000002"/>
    <n v="13802.7876"/>
    <n v="7801.8296160000027"/>
  </r>
  <r>
    <x v="603"/>
    <x v="454"/>
    <d v="2024-02-20T00:00:00"/>
    <n v="0"/>
    <x v="0"/>
    <x v="11"/>
    <s v="New York"/>
    <s v="Enterprise"/>
    <x v="1"/>
    <x v="5"/>
    <x v="4"/>
    <x v="603"/>
    <n v="1407.05"/>
    <n v="2858.93"/>
    <n v="2858.93"/>
    <n v="0"/>
    <n v="12"/>
    <n v="34307.159999999996"/>
    <n v="16884.599999999999"/>
    <n v="17422.559999999998"/>
    <n v="0.50784034586366222"/>
    <d v="2024-08-08T00:00:00"/>
    <s v="Q1-2024"/>
    <s v="Americas → USA → New York"/>
    <s v="High"/>
    <x v="13"/>
    <d v="2023-01-01T00:00:00"/>
    <n v="13"/>
    <n v="1"/>
    <n v="0"/>
    <m/>
    <m/>
    <n v="14.399999999999999"/>
    <n v="1618.1074999999998"/>
    <n v="0"/>
    <n v="41168.591999999997"/>
    <n v="23300.747999999996"/>
    <n v="17867.844000000001"/>
  </r>
  <r>
    <x v="604"/>
    <x v="75"/>
    <d v="2024-03-23T00:00:00"/>
    <n v="21"/>
    <x v="0"/>
    <x v="11"/>
    <s v="Chicago"/>
    <s v="Small Business"/>
    <x v="1"/>
    <x v="8"/>
    <x v="1"/>
    <x v="604"/>
    <n v="225.01"/>
    <n v="333.48"/>
    <n v="333.48"/>
    <n v="0.11899999999999999"/>
    <n v="12"/>
    <n v="3525.5505600000001"/>
    <n v="2700.12"/>
    <n v="825.43056000000024"/>
    <n v="0.23412813004729685"/>
    <d v="2024-07-31T00:00:00"/>
    <s v="Q1-2024"/>
    <s v="Americas → USA → Chicago"/>
    <s v="Low"/>
    <x v="29"/>
    <d v="2023-01-01T00:00:00"/>
    <n v="14"/>
    <n v="0"/>
    <n v="0"/>
    <m/>
    <m/>
    <n v="14.399999999999999"/>
    <n v="258.76149999999996"/>
    <n v="0.11899999999999999"/>
    <n v="4230.660672"/>
    <n v="3726.1655999999989"/>
    <n v="504.49507200000107"/>
  </r>
  <r>
    <x v="605"/>
    <x v="119"/>
    <d v="2024-03-26T00:00:00"/>
    <n v="17"/>
    <x v="0"/>
    <x v="11"/>
    <s v="San Francisco"/>
    <s v="Education"/>
    <x v="2"/>
    <x v="14"/>
    <x v="2"/>
    <x v="605"/>
    <n v="1137.4100000000001"/>
    <n v="1680.93"/>
    <n v="1680.93"/>
    <n v="0.254"/>
    <n v="9"/>
    <n v="11285.764020000001"/>
    <n v="10236.69"/>
    <n v="1049.07402"/>
    <n v="9.2955516183121464E-2"/>
    <d v="2024-07-11T00:00:00"/>
    <s v="Q1-2024"/>
    <s v="Americas → USA → San Francisco"/>
    <s v="High"/>
    <x v="29"/>
    <d v="2023-01-01T00:00:00"/>
    <n v="14"/>
    <n v="0"/>
    <n v="1"/>
    <m/>
    <m/>
    <n v="10.799999999999999"/>
    <n v="1308.0215000000001"/>
    <n v="0.25"/>
    <n v="13615.532999999999"/>
    <n v="14126.6322"/>
    <n v="-511.09920000000056"/>
  </r>
  <r>
    <x v="606"/>
    <x v="321"/>
    <d v="2024-03-29T00:00:00"/>
    <n v="18"/>
    <x v="0"/>
    <x v="11"/>
    <s v="New York"/>
    <s v="Corporate"/>
    <x v="4"/>
    <x v="3"/>
    <x v="0"/>
    <x v="606"/>
    <n v="710.98"/>
    <n v="1481.45"/>
    <n v="1481.45"/>
    <n v="0.21099999999999999"/>
    <n v="9"/>
    <n v="10519.776450000001"/>
    <n v="6398.82"/>
    <n v="4120.9564500000015"/>
    <n v="0.39173422264120461"/>
    <d v="2024-07-19T00:00:00"/>
    <s v="Q1-2024"/>
    <s v="Americas → USA → New York"/>
    <s v="Medium"/>
    <x v="29"/>
    <d v="2023-01-01T00:00:00"/>
    <n v="14"/>
    <n v="0"/>
    <n v="1"/>
    <m/>
    <m/>
    <n v="10.799999999999999"/>
    <n v="817.62699999999995"/>
    <n v="0.21099999999999999"/>
    <n v="12623.731739999999"/>
    <n v="8830.3715999999986"/>
    <n v="3793.3601400000007"/>
  </r>
  <r>
    <x v="607"/>
    <x v="455"/>
    <d v="2024-04-05T00:00:00"/>
    <n v="10"/>
    <x v="0"/>
    <x v="11"/>
    <s v="Austin"/>
    <s v="Consumer"/>
    <x v="2"/>
    <x v="9"/>
    <x v="0"/>
    <x v="607"/>
    <n v="5.66"/>
    <n v="4.22"/>
    <n v="4.22"/>
    <n v="0.11899999999999999"/>
    <n v="18"/>
    <n v="66.920760000000001"/>
    <n v="101.88"/>
    <n v="-34.959239999999994"/>
    <n v="-0.52239753403876454"/>
    <d v="2024-06-09T00:00:00"/>
    <s v="Q1-2024"/>
    <s v="Americas → USA → Austin"/>
    <s v="Low"/>
    <x v="29"/>
    <d v="2023-01-01T00:00:00"/>
    <n v="14"/>
    <n v="0"/>
    <n v="0"/>
    <m/>
    <m/>
    <n v="21.599999999999998"/>
    <n v="6.5089999999999995"/>
    <n v="0.11899999999999999"/>
    <n v="80.304911999999987"/>
    <n v="140.59439999999998"/>
    <n v="-60.289487999999992"/>
  </r>
  <r>
    <x v="608"/>
    <x v="456"/>
    <d v="2024-04-11T00:00:00"/>
    <n v="15"/>
    <x v="0"/>
    <x v="11"/>
    <s v="San Francisco"/>
    <s v="Small Business"/>
    <x v="2"/>
    <x v="13"/>
    <x v="4"/>
    <x v="608"/>
    <n v="1338.35"/>
    <n v="2247.14"/>
    <n v="2247.14"/>
    <n v="0.115"/>
    <n v="40"/>
    <n v="79548.755999999994"/>
    <n v="53534"/>
    <n v="26014.755999999994"/>
    <n v="0.32702907384246205"/>
    <d v="2024-06-15T00:00:00"/>
    <s v="Q1-2024"/>
    <s v="Americas → USA → San Francisco"/>
    <s v="High"/>
    <x v="29"/>
    <d v="2023-01-01T00:00:00"/>
    <n v="14"/>
    <n v="0"/>
    <n v="0"/>
    <m/>
    <m/>
    <n v="48"/>
    <n v="1539.1024999999997"/>
    <n v="0.115"/>
    <n v="95458.507200000007"/>
    <n v="73876.919999999984"/>
    <n v="21581.587200000024"/>
  </r>
  <r>
    <x v="609"/>
    <x v="457"/>
    <d v="2024-04-24T00:00:00"/>
    <n v="25"/>
    <x v="0"/>
    <x v="11"/>
    <s v="Austin"/>
    <s v="Non-Profit"/>
    <x v="1"/>
    <x v="2"/>
    <x v="6"/>
    <x v="609"/>
    <n v="160.82"/>
    <n v="258.52"/>
    <n v="258.52"/>
    <n v="0.13"/>
    <n v="17"/>
    <n v="3823.5108"/>
    <n v="2733.94"/>
    <n v="1089.5708"/>
    <n v="0.28496605789631874"/>
    <d v="2024-06-16T00:00:00"/>
    <s v="Q1-2024"/>
    <s v="Americas → USA → Austin"/>
    <s v="Low"/>
    <x v="29"/>
    <d v="2023-01-01T00:00:00"/>
    <n v="14"/>
    <n v="0"/>
    <n v="0"/>
    <m/>
    <m/>
    <n v="20.399999999999999"/>
    <n v="184.94299999999998"/>
    <n v="0.13"/>
    <n v="4588.2129599999989"/>
    <n v="3772.8371999999995"/>
    <n v="815.37575999999945"/>
  </r>
  <r>
    <x v="610"/>
    <x v="458"/>
    <d v="2024-05-27T00:00:00"/>
    <n v="10"/>
    <x v="0"/>
    <x v="11"/>
    <s v="Austin"/>
    <s v="Non-Profit"/>
    <x v="1"/>
    <x v="5"/>
    <x v="2"/>
    <x v="610"/>
    <n v="1484.23"/>
    <n v="3472.81"/>
    <n v="3472.81"/>
    <n v="0.25600000000000001"/>
    <n v="12"/>
    <n v="31005.24768"/>
    <n v="17810.760000000002"/>
    <n v="13194.487679999998"/>
    <n v="0.42555659661803413"/>
    <d v="2024-05-23T00:00:00"/>
    <s v="Q2-2024"/>
    <s v="Americas → USA → Austin"/>
    <s v="High"/>
    <x v="15"/>
    <d v="2023-01-01T00:00:00"/>
    <n v="16"/>
    <n v="0"/>
    <n v="1"/>
    <m/>
    <m/>
    <n v="14.399999999999999"/>
    <n v="1706.8644999999999"/>
    <n v="0.25"/>
    <n v="37506.347999999998"/>
    <n v="24578.848799999996"/>
    <n v="12927.499200000002"/>
  </r>
  <r>
    <x v="611"/>
    <x v="166"/>
    <d v="2024-05-23T00:00:00"/>
    <n v="5"/>
    <x v="0"/>
    <x v="11"/>
    <s v="Chicago"/>
    <s v="Enterprise"/>
    <x v="4"/>
    <x v="15"/>
    <x v="6"/>
    <x v="611"/>
    <n v="1274.5899999999999"/>
    <n v="2553.69"/>
    <n v="2553.69"/>
    <n v="0.01"/>
    <n v="8"/>
    <n v="20225.2248"/>
    <n v="10196.719999999999"/>
    <n v="10028.504800000001"/>
    <n v="0.49584145042481803"/>
    <d v="2024-05-20T00:00:00"/>
    <s v="Q2-2024"/>
    <s v="Americas → USA → Chicago"/>
    <s v="High"/>
    <x v="15"/>
    <d v="2023-01-01T00:00:00"/>
    <n v="16"/>
    <n v="1"/>
    <n v="0"/>
    <m/>
    <m/>
    <n v="9.6"/>
    <n v="1465.7784999999999"/>
    <n v="0.01"/>
    <n v="24270.269759999999"/>
    <n v="14071.473599999999"/>
    <n v="10198.79616"/>
  </r>
  <r>
    <x v="612"/>
    <x v="459"/>
    <d v="2024-06-13T00:00:00"/>
    <n v="14"/>
    <x v="0"/>
    <x v="11"/>
    <s v="San Francisco"/>
    <s v="Small Business"/>
    <x v="4"/>
    <x v="8"/>
    <x v="2"/>
    <x v="612"/>
    <n v="157.78"/>
    <n v="361.1"/>
    <n v="361.1"/>
    <n v="0.187"/>
    <n v="9"/>
    <n v="2642.1686999999997"/>
    <n v="1420.02"/>
    <n v="1222.1486999999997"/>
    <n v="0.46255513510549112"/>
    <d v="2024-05-05T00:00:00"/>
    <s v="Q2-2024"/>
    <s v="Americas → USA → San Francisco"/>
    <s v="Low"/>
    <x v="15"/>
    <d v="2023-01-01T00:00:00"/>
    <n v="16"/>
    <n v="0"/>
    <n v="0"/>
    <m/>
    <m/>
    <n v="10.799999999999999"/>
    <n v="181.44699999999997"/>
    <n v="0.187"/>
    <n v="3170.6024399999997"/>
    <n v="1959.6275999999996"/>
    <n v="1210.9748400000001"/>
  </r>
  <r>
    <x v="613"/>
    <x v="460"/>
    <d v="2024-07-31T00:00:00"/>
    <n v="2"/>
    <x v="0"/>
    <x v="11"/>
    <s v="New York"/>
    <s v="Education"/>
    <x v="0"/>
    <x v="14"/>
    <x v="3"/>
    <x v="613"/>
    <n v="798.97"/>
    <n v="1814.06"/>
    <n v="1814.06"/>
    <n v="0.122"/>
    <n v="16"/>
    <n v="25483.91488"/>
    <n v="12783.52"/>
    <n v="12700.39488"/>
    <n v="0.49836906691159061"/>
    <d v="2024-03-18T00:00:00"/>
    <s v="Q3-2024"/>
    <s v="Americas → USA → New York"/>
    <s v="High"/>
    <x v="17"/>
    <d v="2023-01-01T00:00:00"/>
    <n v="18"/>
    <n v="1"/>
    <n v="0"/>
    <m/>
    <m/>
    <n v="19.2"/>
    <n v="918.81549999999993"/>
    <n v="0.122"/>
    <n v="30580.697855999999"/>
    <n v="17641.257599999997"/>
    <n v="12939.440256000002"/>
  </r>
  <r>
    <x v="614"/>
    <x v="461"/>
    <d v="2024-08-17T00:00:00"/>
    <n v="13"/>
    <x v="0"/>
    <x v="11"/>
    <s v="Austin"/>
    <s v="Consumer"/>
    <x v="4"/>
    <x v="0"/>
    <x v="0"/>
    <x v="614"/>
    <n v="352.79"/>
    <n v="754.22"/>
    <n v="754.22"/>
    <n v="0.113"/>
    <n v="7"/>
    <n v="4682.9519799999998"/>
    <n v="2469.5300000000002"/>
    <n v="2213.4219799999996"/>
    <n v="0.47265528014233443"/>
    <d v="2024-03-02T00:00:00"/>
    <s v="Q3-2024"/>
    <s v="Americas → USA → Austin"/>
    <s v="Low"/>
    <x v="18"/>
    <d v="2023-01-01T00:00:00"/>
    <n v="19"/>
    <n v="0"/>
    <n v="0"/>
    <m/>
    <m/>
    <n v="8.4"/>
    <n v="405.70850000000002"/>
    <n v="0.113"/>
    <n v="5619.5423760000003"/>
    <n v="3407.9514000000004"/>
    <n v="2211.590976"/>
  </r>
  <r>
    <x v="615"/>
    <x v="462"/>
    <d v="2024-09-03T00:00:00"/>
    <n v="22"/>
    <x v="0"/>
    <x v="11"/>
    <s v="Austin"/>
    <s v="Consumer"/>
    <x v="3"/>
    <x v="14"/>
    <x v="6"/>
    <x v="615"/>
    <n v="797.8"/>
    <n v="886.22"/>
    <n v="886.22"/>
    <n v="0.23599999999999999"/>
    <n v="36"/>
    <n v="24374.594880000001"/>
    <n v="28720.799999999999"/>
    <n v="-4346.2051199999987"/>
    <n v="-0.17830881462428633"/>
    <d v="2024-02-18T00:00:00"/>
    <s v="Q3-2024"/>
    <s v="Americas → USA → Austin"/>
    <s v="Medium"/>
    <x v="18"/>
    <d v="2023-01-01T00:00:00"/>
    <n v="19"/>
    <n v="0"/>
    <n v="1"/>
    <m/>
    <m/>
    <n v="43.199999999999996"/>
    <n v="917.46999999999991"/>
    <n v="0.23599999999999999"/>
    <n v="29249.513855999998"/>
    <n v="39634.703999999991"/>
    <n v="-10385.190143999993"/>
  </r>
  <r>
    <x v="616"/>
    <x v="462"/>
    <d v="2024-08-15T00:00:00"/>
    <n v="3"/>
    <x v="0"/>
    <x v="11"/>
    <s v="Chicago"/>
    <s v="Corporate"/>
    <x v="0"/>
    <x v="0"/>
    <x v="3"/>
    <x v="616"/>
    <n v="850.7"/>
    <n v="1118.56"/>
    <n v="1118.56"/>
    <n v="0.18"/>
    <n v="19"/>
    <n v="17427.164800000002"/>
    <n v="16163.300000000001"/>
    <n v="1263.8648000000012"/>
    <n v="7.2522685962090688E-2"/>
    <d v="2024-02-17T00:00:00"/>
    <s v="Q3-2024"/>
    <s v="Americas → USA → Chicago"/>
    <s v="Medium"/>
    <x v="18"/>
    <d v="2023-01-01T00:00:00"/>
    <n v="19"/>
    <n v="1"/>
    <n v="0"/>
    <m/>
    <m/>
    <n v="22.8"/>
    <n v="978.30499999999995"/>
    <n v="0.18"/>
    <n v="20912.597760000001"/>
    <n v="22305.353999999999"/>
    <n v="-1392.7562399999988"/>
  </r>
  <r>
    <x v="617"/>
    <x v="463"/>
    <d v="2024-08-26T00:00:00"/>
    <n v="10"/>
    <x v="0"/>
    <x v="11"/>
    <s v="Chicago"/>
    <s v="Corporate"/>
    <x v="3"/>
    <x v="11"/>
    <x v="6"/>
    <x v="119"/>
    <n v="1291.7"/>
    <n v="2657.84"/>
    <n v="2657.84"/>
    <n v="8.6999999999999994E-2"/>
    <n v="21"/>
    <n v="50958.766320000002"/>
    <n v="27125.7"/>
    <n v="23833.066320000002"/>
    <n v="0.46769315745083367"/>
    <d v="2024-02-11T00:00:00"/>
    <s v="Q3-2024"/>
    <s v="Americas → USA → Chicago"/>
    <s v="High"/>
    <x v="18"/>
    <d v="2023-01-01T00:00:00"/>
    <n v="19"/>
    <n v="0"/>
    <n v="0"/>
    <m/>
    <m/>
    <n v="25.2"/>
    <n v="1485.4549999999999"/>
    <n v="8.6999999999999994E-2"/>
    <n v="61150.519584000001"/>
    <n v="37433.466"/>
    <n v="23717.053584000001"/>
  </r>
  <r>
    <x v="618"/>
    <x v="464"/>
    <d v="2024-09-08T00:00:00"/>
    <n v="6"/>
    <x v="0"/>
    <x v="11"/>
    <s v="Austin"/>
    <s v="Consumer"/>
    <x v="2"/>
    <x v="15"/>
    <x v="1"/>
    <x v="617"/>
    <n v="462.94"/>
    <n v="1015.7"/>
    <n v="1015.7"/>
    <n v="0.14299999999999999"/>
    <n v="14"/>
    <n v="12186.368600000002"/>
    <n v="6481.16"/>
    <n v="5705.2086000000018"/>
    <n v="0.46816314090483041"/>
    <d v="2024-01-28T00:00:00"/>
    <s v="Q3-2024"/>
    <s v="Americas → USA → Austin"/>
    <s v="Medium"/>
    <x v="19"/>
    <d v="2023-01-01T00:00:00"/>
    <n v="20"/>
    <n v="1"/>
    <n v="0"/>
    <m/>
    <m/>
    <n v="16.8"/>
    <n v="532.38099999999997"/>
    <n v="0.14299999999999999"/>
    <n v="14623.642320000001"/>
    <n v="8944.0007999999998"/>
    <n v="5679.641520000001"/>
  </r>
  <r>
    <x v="619"/>
    <x v="465"/>
    <d v="2024-11-06T00:00:00"/>
    <n v="18"/>
    <x v="0"/>
    <x v="11"/>
    <s v="Chicago"/>
    <s v="Education"/>
    <x v="5"/>
    <x v="5"/>
    <x v="0"/>
    <x v="618"/>
    <n v="942.02"/>
    <n v="1028.46"/>
    <n v="1028.46"/>
    <n v="0"/>
    <n v="9"/>
    <n v="9256.14"/>
    <n v="8478.18"/>
    <n v="777.95999999999913"/>
    <n v="8.4047994088248354E-2"/>
    <d v="2023-12-07T00:00:00"/>
    <s v="Q4-2024"/>
    <s v="Americas → USA → Chicago"/>
    <s v="Medium"/>
    <x v="32"/>
    <d v="2023-01-01T00:00:00"/>
    <n v="21"/>
    <n v="0"/>
    <n v="0"/>
    <m/>
    <m/>
    <n v="10.799999999999999"/>
    <n v="1083.3229999999999"/>
    <n v="0"/>
    <n v="11107.367999999999"/>
    <n v="11699.888399999998"/>
    <n v="-592.52039999999943"/>
  </r>
  <r>
    <x v="620"/>
    <x v="332"/>
    <d v="2024-11-05T00:00:00"/>
    <n v="11"/>
    <x v="0"/>
    <x v="11"/>
    <s v="New York"/>
    <s v="Corporate"/>
    <x v="3"/>
    <x v="1"/>
    <x v="1"/>
    <x v="619"/>
    <n v="446.66"/>
    <n v="527.64"/>
    <n v="527.64"/>
    <n v="0.14499999999999999"/>
    <n v="15"/>
    <n v="6766.9829999999993"/>
    <n v="6699.9000000000005"/>
    <n v="67.082999999998719"/>
    <n v="9.9132804087137105E-3"/>
    <d v="2023-12-03T00:00:00"/>
    <s v="Q4-2024"/>
    <s v="Americas → USA → New York"/>
    <s v="Low"/>
    <x v="32"/>
    <d v="2023-01-01T00:00:00"/>
    <n v="21"/>
    <n v="0"/>
    <n v="0"/>
    <m/>
    <m/>
    <n v="18"/>
    <n v="513.65899999999999"/>
    <n v="0.14499999999999999"/>
    <n v="8120.3796000000002"/>
    <n v="9245.8619999999992"/>
    <n v="-1125.482399999999"/>
  </r>
  <r>
    <x v="621"/>
    <x v="466"/>
    <d v="2024-12-26T00:00:00"/>
    <n v="5"/>
    <x v="0"/>
    <x v="11"/>
    <s v="San Francisco"/>
    <s v="Consumer"/>
    <x v="0"/>
    <x v="3"/>
    <x v="3"/>
    <x v="620"/>
    <n v="699.57"/>
    <n v="572.71"/>
    <n v="572.71"/>
    <n v="0.192"/>
    <n v="26"/>
    <n v="12031.491680000001"/>
    <n v="18188.82"/>
    <n v="-6157.3283199999987"/>
    <n v="-0.51176765805651114"/>
    <d v="2023-09-21T00:00:00"/>
    <s v="Q4-2024"/>
    <s v="Americas → USA → San Francisco"/>
    <s v="Low"/>
    <x v="30"/>
    <d v="2023-01-01T00:00:00"/>
    <n v="23"/>
    <n v="1"/>
    <n v="0"/>
    <m/>
    <m/>
    <n v="31.2"/>
    <n v="804.50549999999998"/>
    <n v="0.192"/>
    <n v="14437.790016000001"/>
    <n v="25100.571599999999"/>
    <n v="-10662.781583999998"/>
  </r>
  <r>
    <x v="622"/>
    <x v="467"/>
    <d v="2025-01-23T00:00:00"/>
    <n v="12"/>
    <x v="0"/>
    <x v="11"/>
    <s v="Austin"/>
    <s v="Consumer"/>
    <x v="3"/>
    <x v="15"/>
    <x v="2"/>
    <x v="621"/>
    <n v="100.69"/>
    <n v="226.14"/>
    <n v="226.14"/>
    <n v="6.5000000000000002E-2"/>
    <n v="12"/>
    <n v="2537.2908000000002"/>
    <n v="1208.28"/>
    <n v="1329.0108000000002"/>
    <n v="0.52379128162999689"/>
    <d v="2023-08-25T00:00:00"/>
    <s v="Q1-2025"/>
    <s v="Americas → USA → Austin"/>
    <s v="Low"/>
    <x v="21"/>
    <d v="2023-01-01T00:00:00"/>
    <n v="24"/>
    <n v="0"/>
    <n v="0"/>
    <m/>
    <m/>
    <n v="14.399999999999999"/>
    <n v="115.79349999999999"/>
    <n v="6.5000000000000002E-2"/>
    <n v="3044.7489599999994"/>
    <n v="1667.4263999999998"/>
    <n v="1377.3225599999996"/>
  </r>
  <r>
    <x v="623"/>
    <x v="468"/>
    <d v="2025-01-24T00:00:00"/>
    <n v="7"/>
    <x v="0"/>
    <x v="11"/>
    <s v="Austin"/>
    <s v="Enterprise"/>
    <x v="1"/>
    <x v="2"/>
    <x v="5"/>
    <x v="622"/>
    <n v="142.09"/>
    <n v="218.5"/>
    <n v="218.5"/>
    <n v="0.11899999999999999"/>
    <n v="11"/>
    <n v="2117.4834999999998"/>
    <n v="1562.99"/>
    <n v="554.49349999999981"/>
    <n v="0.26186437816398561"/>
    <d v="2023-08-29T00:00:00"/>
    <s v="Q1-2025"/>
    <s v="Americas → USA → Austin"/>
    <s v="Low"/>
    <x v="21"/>
    <d v="2023-01-01T00:00:00"/>
    <n v="24"/>
    <n v="1"/>
    <n v="0"/>
    <m/>
    <m/>
    <n v="13.2"/>
    <n v="163.40349999999998"/>
    <n v="0.11899999999999999"/>
    <n v="2540.9802"/>
    <n v="2156.9261999999994"/>
    <n v="384.05400000000054"/>
  </r>
  <r>
    <x v="624"/>
    <x v="469"/>
    <d v="2025-03-17T00:00:00"/>
    <n v="20"/>
    <x v="0"/>
    <x v="11"/>
    <s v="San Francisco"/>
    <s v="Non-Profit"/>
    <x v="0"/>
    <x v="15"/>
    <x v="2"/>
    <x v="623"/>
    <n v="1205.26"/>
    <n v="1696.35"/>
    <n v="1696.35"/>
    <n v="1.9E-2"/>
    <n v="6"/>
    <n v="9984.7160999999978"/>
    <n v="7231.5599999999995"/>
    <n v="2753.1560999999983"/>
    <n v="0.27573704374028213"/>
    <d v="2023-07-16T00:00:00"/>
    <s v="Q1-2025"/>
    <s v="Americas → USA → San Francisco"/>
    <s v="High"/>
    <x v="22"/>
    <d v="2023-01-01T00:00:00"/>
    <n v="25"/>
    <n v="0"/>
    <n v="0"/>
    <m/>
    <m/>
    <n v="7.1999999999999993"/>
    <n v="1386.049"/>
    <n v="1.9E-2"/>
    <n v="11981.659319999997"/>
    <n v="9979.5527999999995"/>
    <n v="2002.1065199999975"/>
  </r>
  <r>
    <x v="625"/>
    <x v="470"/>
    <d v="2025-04-27T00:00:00"/>
    <n v="26"/>
    <x v="0"/>
    <x v="11"/>
    <s v="San Francisco"/>
    <s v="Corporate"/>
    <x v="2"/>
    <x v="14"/>
    <x v="0"/>
    <x v="624"/>
    <n v="156.55000000000001"/>
    <n v="227.45"/>
    <n v="227.45"/>
    <n v="1.4E-2"/>
    <n v="13"/>
    <n v="2915.4540999999999"/>
    <n v="2035.15"/>
    <n v="880.30409999999983"/>
    <n v="0.3019440779396938"/>
    <d v="2023-07-01T00:00:00"/>
    <s v="Q2-2025"/>
    <s v="Americas → USA → San Francisco"/>
    <s v="Low"/>
    <x v="24"/>
    <d v="2023-01-01T00:00:00"/>
    <n v="27"/>
    <n v="0"/>
    <n v="0"/>
    <m/>
    <m/>
    <n v="15.6"/>
    <n v="180.0325"/>
    <n v="1.4E-2"/>
    <n v="3498.5449199999998"/>
    <n v="2808.5070000000001"/>
    <n v="690.03791999999976"/>
  </r>
  <r>
    <x v="626"/>
    <x v="181"/>
    <d v="2025-04-23T00:00:00"/>
    <n v="1"/>
    <x v="0"/>
    <x v="11"/>
    <s v="San Francisco"/>
    <s v="Non-Profit"/>
    <x v="3"/>
    <x v="0"/>
    <x v="0"/>
    <x v="625"/>
    <n v="23.24"/>
    <n v="44.57"/>
    <n v="44.57"/>
    <n v="0.215"/>
    <n v="15"/>
    <n v="524.81174999999996"/>
    <n v="348.59999999999997"/>
    <n v="176.21174999999999"/>
    <n v="0.33576182316802167"/>
    <d v="2023-05-20T00:00:00"/>
    <s v="Q2-2025"/>
    <s v="Americas → USA → San Francisco"/>
    <s v="Low"/>
    <x v="24"/>
    <d v="2023-01-01T00:00:00"/>
    <n v="27"/>
    <n v="1"/>
    <n v="1"/>
    <m/>
    <m/>
    <n v="18"/>
    <n v="26.725999999999996"/>
    <n v="0.215"/>
    <n v="629.77409999999998"/>
    <n v="481.06799999999993"/>
    <n v="148.70610000000005"/>
  </r>
  <r>
    <x v="627"/>
    <x v="182"/>
    <d v="2025-05-17T00:00:00"/>
    <n v="20"/>
    <x v="0"/>
    <x v="11"/>
    <s v="Austin"/>
    <s v="Corporate"/>
    <x v="2"/>
    <x v="1"/>
    <x v="2"/>
    <x v="626"/>
    <n v="932.26"/>
    <n v="1624.67"/>
    <n v="1624.67"/>
    <n v="0.23499999999999999"/>
    <n v="28"/>
    <n v="34800.431400000001"/>
    <n v="26103.279999999999"/>
    <n v="8697.1514000000025"/>
    <n v="0.24991504559337163"/>
    <d v="2023-05-23T00:00:00"/>
    <s v="Q2-2025"/>
    <s v="Americas → USA → Austin"/>
    <s v="Medium"/>
    <x v="24"/>
    <d v="2023-01-01T00:00:00"/>
    <n v="27"/>
    <n v="0"/>
    <n v="1"/>
    <m/>
    <m/>
    <n v="33.6"/>
    <n v="1072.0989999999999"/>
    <n v="0.23499999999999999"/>
    <n v="41760.517680000004"/>
    <n v="36022.526400000002"/>
    <n v="5737.991280000002"/>
  </r>
  <r>
    <x v="628"/>
    <x v="471"/>
    <d v="2025-06-09T00:00:00"/>
    <n v="22"/>
    <x v="0"/>
    <x v="11"/>
    <s v="New York"/>
    <s v="Consumer"/>
    <x v="4"/>
    <x v="15"/>
    <x v="4"/>
    <x v="627"/>
    <n v="382.96"/>
    <n v="552.84"/>
    <n v="552.84"/>
    <n v="0.17599999999999999"/>
    <n v="8"/>
    <n v="3644.3212800000006"/>
    <n v="3063.68"/>
    <n v="580.64128000000073"/>
    <n v="0.15932768693763483"/>
    <d v="2023-05-02T00:00:00"/>
    <s v="Q2-2025"/>
    <s v="Americas → USA → New York"/>
    <s v="Low"/>
    <x v="25"/>
    <d v="2023-01-01T00:00:00"/>
    <n v="28"/>
    <n v="0"/>
    <n v="0"/>
    <m/>
    <m/>
    <n v="9.6"/>
    <n v="440.40399999999994"/>
    <n v="0.17599999999999999"/>
    <n v="4373.1855360000009"/>
    <n v="4227.8783999999996"/>
    <n v="145.30713600000126"/>
  </r>
  <r>
    <x v="629"/>
    <x v="472"/>
    <d v="2025-08-30T00:00:00"/>
    <n v="20"/>
    <x v="0"/>
    <x v="11"/>
    <s v="San Francisco"/>
    <s v="Corporate"/>
    <x v="0"/>
    <x v="12"/>
    <x v="3"/>
    <x v="628"/>
    <n v="933.29"/>
    <n v="1456.81"/>
    <n v="1456.81"/>
    <n v="0.123"/>
    <n v="13"/>
    <n v="16609.090809999998"/>
    <n v="12132.77"/>
    <n v="4476.3208099999974"/>
    <n v="0.26951028573489977"/>
    <d v="2023-03-02T00:00:00"/>
    <s v="Q3-2025"/>
    <s v="Americas → USA → San Francisco"/>
    <s v="Medium"/>
    <x v="27"/>
    <d v="2023-01-01T00:00:00"/>
    <n v="31"/>
    <n v="0"/>
    <n v="0"/>
    <m/>
    <m/>
    <n v="15.6"/>
    <n v="1073.2834999999998"/>
    <n v="0.123"/>
    <n v="19930.908971999997"/>
    <n v="16743.222599999997"/>
    <n v="3187.6863720000001"/>
  </r>
  <r>
    <x v="630"/>
    <x v="473"/>
    <d v="2025-08-26T00:00:00"/>
    <n v="6"/>
    <x v="0"/>
    <x v="11"/>
    <s v="New York"/>
    <s v="Corporate"/>
    <x v="4"/>
    <x v="3"/>
    <x v="4"/>
    <x v="629"/>
    <n v="1304.95"/>
    <n v="1712.03"/>
    <n v="1712.03"/>
    <n v="0.21199999999999999"/>
    <n v="8"/>
    <n v="10792.637119999999"/>
    <n v="10439.6"/>
    <n v="353.03711999999905"/>
    <n v="3.2710922833287949E-2"/>
    <d v="2023-02-27T00:00:00"/>
    <s v="Q3-2025"/>
    <s v="Americas → USA → New York"/>
    <s v="High"/>
    <x v="27"/>
    <d v="2023-01-01T00:00:00"/>
    <n v="31"/>
    <n v="1"/>
    <n v="1"/>
    <m/>
    <m/>
    <n v="9.6"/>
    <n v="1500.6924999999999"/>
    <n v="0.21199999999999999"/>
    <n v="12951.164543999999"/>
    <n v="14406.647999999999"/>
    <n v="-1455.483455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I29" firstHeaderRow="1" firstDataRow="2" firstDataCol="1"/>
  <pivotFields count="29">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items count="8">
        <item x="5"/>
        <item x="1"/>
        <item x="6"/>
        <item x="0"/>
        <item x="4"/>
        <item x="2"/>
        <item x="3"/>
        <item t="default"/>
      </items>
    </pivotField>
    <pivotField showAll="0"/>
    <pivotField numFmtId="2" showAll="0"/>
    <pivotField numFmtId="2" showAll="0"/>
    <pivotField numFmtId="2" showAll="0"/>
    <pivotField numFmtId="10" showAll="0"/>
    <pivotField numFmtId="1" showAll="0"/>
    <pivotField dataField="1" numFmtId="2" showAll="0"/>
    <pivotField numFmtId="2" showAll="0"/>
    <pivotField numFmtId="2" showAll="0"/>
    <pivotField numFmtId="10" showAll="0"/>
    <pivotField numFmtId="165" showAll="0"/>
    <pivotField showAll="0"/>
    <pivotField showAll="0"/>
    <pivotField showAll="0"/>
    <pivotField numFmtId="166" showAll="0" defaultSubtotal="0">
      <items count="33">
        <item x="0"/>
        <item x="1"/>
        <item x="2"/>
        <item x="3"/>
        <item x="4"/>
        <item x="5"/>
        <item x="6"/>
        <item x="7"/>
        <item x="8"/>
        <item x="9"/>
        <item x="10"/>
        <item x="11"/>
        <item x="12"/>
        <item x="13"/>
        <item x="29"/>
        <item x="14"/>
        <item x="15"/>
        <item x="16"/>
        <item x="17"/>
        <item x="18"/>
        <item x="19"/>
        <item x="32"/>
        <item x="20"/>
        <item x="30"/>
        <item x="21"/>
        <item x="22"/>
        <item x="23"/>
        <item x="24"/>
        <item x="25"/>
        <item x="31"/>
        <item x="26"/>
        <item x="27"/>
        <item x="28"/>
      </items>
    </pivotField>
    <pivotField axis="axisRow" numFmtId="14" showAll="0">
      <items count="13">
        <item x="0"/>
        <item m="1" x="2"/>
        <item m="1" x="4"/>
        <item m="1" x="8"/>
        <item m="1" x="6"/>
        <item m="1" x="11"/>
        <item m="1" x="5"/>
        <item m="1" x="10"/>
        <item m="1" x="3"/>
        <item m="1" x="9"/>
        <item x="1"/>
        <item m="1" x="7"/>
        <item t="default"/>
      </items>
    </pivotField>
    <pivotField axis="axisCol" showAll="0">
      <items count="34">
        <item n="0" x="0"/>
        <item x="1"/>
        <item x="2"/>
        <item x="3"/>
        <item x="4"/>
        <item x="5"/>
        <item x="6"/>
        <item x="7"/>
        <item x="8"/>
        <item x="9"/>
        <item x="10"/>
        <item x="11"/>
        <item x="12"/>
        <item x="13"/>
        <item x="29"/>
        <item x="14"/>
        <item x="15"/>
        <item x="16"/>
        <item x="17"/>
        <item x="18"/>
        <item x="19"/>
        <item x="32"/>
        <item x="20"/>
        <item x="30"/>
        <item x="21"/>
        <item x="22"/>
        <item x="23"/>
        <item x="24"/>
        <item x="25"/>
        <item x="31"/>
        <item x="26"/>
        <item x="27"/>
        <item x="28"/>
        <item t="default"/>
      </items>
    </pivotField>
    <pivotField showAll="0" defaultSubtotal="0">
      <items count="5">
        <item x="0"/>
        <item x="1"/>
        <item x="2"/>
        <item x="3"/>
        <item x="4"/>
      </items>
    </pivotField>
  </pivotFields>
  <rowFields count="2">
    <field x="5"/>
    <field x="26"/>
  </rowFields>
  <rowItems count="25">
    <i>
      <x/>
    </i>
    <i r="1">
      <x/>
    </i>
    <i>
      <x v="1"/>
    </i>
    <i r="1">
      <x/>
    </i>
    <i>
      <x v="2"/>
    </i>
    <i r="1">
      <x/>
    </i>
    <i>
      <x v="3"/>
    </i>
    <i r="1">
      <x/>
    </i>
    <i>
      <x v="4"/>
    </i>
    <i r="1">
      <x/>
    </i>
    <i>
      <x v="5"/>
    </i>
    <i r="1">
      <x/>
    </i>
    <i>
      <x v="6"/>
    </i>
    <i r="1">
      <x v="10"/>
    </i>
    <i>
      <x v="7"/>
    </i>
    <i r="1">
      <x/>
    </i>
    <i>
      <x v="8"/>
    </i>
    <i r="1">
      <x/>
    </i>
    <i>
      <x v="9"/>
    </i>
    <i r="1">
      <x/>
    </i>
    <i>
      <x v="10"/>
    </i>
    <i r="1">
      <x/>
    </i>
    <i>
      <x v="11"/>
    </i>
    <i r="1">
      <x/>
    </i>
    <i t="grand">
      <x/>
    </i>
  </rowItems>
  <colFields count="1">
    <field x="27"/>
  </colFields>
  <col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colItems>
  <dataFields count="1">
    <dataField name="Sum of GrossReven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641" firstHeaderRow="0" firstDataRow="1" firstDataCol="1"/>
  <pivotFields count="29">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sortType="descending">
      <items count="8">
        <item x="5"/>
        <item x="1"/>
        <item x="6"/>
        <item x="0"/>
        <item x="4"/>
        <item x="2"/>
        <item x="3"/>
        <item t="default"/>
      </items>
      <autoSortScope>
        <pivotArea dataOnly="0" outline="0" fieldPosition="0">
          <references count="1">
            <reference field="4294967294" count="1" selected="0">
              <x v="0"/>
            </reference>
          </references>
        </pivotArea>
      </autoSortScope>
    </pivotField>
    <pivotField axis="axisRow" showAll="0">
      <items count="631">
        <item x="125"/>
        <item x="433"/>
        <item x="546"/>
        <item x="303"/>
        <item x="395"/>
        <item x="374"/>
        <item x="277"/>
        <item x="542"/>
        <item x="376"/>
        <item x="198"/>
        <item x="426"/>
        <item x="59"/>
        <item x="220"/>
        <item x="205"/>
        <item x="222"/>
        <item x="431"/>
        <item x="487"/>
        <item x="92"/>
        <item x="348"/>
        <item x="235"/>
        <item x="16"/>
        <item x="317"/>
        <item x="68"/>
        <item x="386"/>
        <item x="457"/>
        <item x="274"/>
        <item x="547"/>
        <item x="475"/>
        <item x="163"/>
        <item x="75"/>
        <item x="597"/>
        <item x="15"/>
        <item x="527"/>
        <item x="133"/>
        <item x="538"/>
        <item x="11"/>
        <item x="476"/>
        <item x="249"/>
        <item x="471"/>
        <item x="399"/>
        <item x="480"/>
        <item x="35"/>
        <item x="622"/>
        <item x="272"/>
        <item x="262"/>
        <item x="397"/>
        <item x="159"/>
        <item x="598"/>
        <item x="428"/>
        <item x="250"/>
        <item x="460"/>
        <item x="488"/>
        <item x="17"/>
        <item x="447"/>
        <item x="197"/>
        <item x="246"/>
        <item x="505"/>
        <item x="90"/>
        <item x="237"/>
        <item x="172"/>
        <item x="85"/>
        <item x="61"/>
        <item x="142"/>
        <item x="594"/>
        <item x="294"/>
        <item x="408"/>
        <item x="462"/>
        <item x="326"/>
        <item x="556"/>
        <item x="206"/>
        <item x="231"/>
        <item x="259"/>
        <item x="56"/>
        <item x="448"/>
        <item x="439"/>
        <item x="544"/>
        <item x="93"/>
        <item x="32"/>
        <item x="479"/>
        <item x="464"/>
        <item x="530"/>
        <item x="31"/>
        <item x="268"/>
        <item x="491"/>
        <item x="472"/>
        <item x="363"/>
        <item x="123"/>
        <item x="410"/>
        <item x="275"/>
        <item x="560"/>
        <item x="308"/>
        <item x="153"/>
        <item x="5"/>
        <item x="504"/>
        <item x="285"/>
        <item x="513"/>
        <item x="583"/>
        <item x="228"/>
        <item x="89"/>
        <item x="241"/>
        <item x="121"/>
        <item x="73"/>
        <item x="193"/>
        <item x="601"/>
        <item x="485"/>
        <item x="1"/>
        <item x="434"/>
        <item x="203"/>
        <item x="36"/>
        <item x="604"/>
        <item x="311"/>
        <item x="180"/>
        <item x="46"/>
        <item x="143"/>
        <item x="55"/>
        <item x="369"/>
        <item x="298"/>
        <item x="423"/>
        <item x="515"/>
        <item x="204"/>
        <item x="258"/>
        <item x="500"/>
        <item x="141"/>
        <item x="444"/>
        <item x="452"/>
        <item x="278"/>
        <item x="162"/>
        <item x="435"/>
        <item x="188"/>
        <item x="94"/>
        <item x="287"/>
        <item x="489"/>
        <item x="332"/>
        <item x="209"/>
        <item x="187"/>
        <item x="441"/>
        <item x="377"/>
        <item x="537"/>
        <item x="183"/>
        <item x="402"/>
        <item x="82"/>
        <item x="578"/>
        <item x="118"/>
        <item x="132"/>
        <item x="370"/>
        <item x="455"/>
        <item x="330"/>
        <item x="293"/>
        <item x="526"/>
        <item x="306"/>
        <item x="114"/>
        <item x="380"/>
        <item x="368"/>
        <item x="497"/>
        <item x="539"/>
        <item x="110"/>
        <item x="617"/>
        <item x="234"/>
        <item x="177"/>
        <item x="508"/>
        <item x="561"/>
        <item x="288"/>
        <item x="129"/>
        <item x="486"/>
        <item x="405"/>
        <item x="151"/>
        <item x="535"/>
        <item x="325"/>
        <item x="42"/>
        <item x="493"/>
        <item x="217"/>
        <item x="102"/>
        <item x="454"/>
        <item x="232"/>
        <item x="96"/>
        <item x="443"/>
        <item x="619"/>
        <item x="24"/>
        <item x="552"/>
        <item x="540"/>
        <item x="523"/>
        <item x="109"/>
        <item x="499"/>
        <item x="257"/>
        <item x="390"/>
        <item x="411"/>
        <item x="340"/>
        <item x="417"/>
        <item x="394"/>
        <item x="319"/>
        <item x="100"/>
        <item x="280"/>
        <item x="79"/>
        <item x="271"/>
        <item x="609"/>
        <item x="171"/>
        <item x="364"/>
        <item x="210"/>
        <item x="437"/>
        <item x="572"/>
        <item x="484"/>
        <item x="474"/>
        <item x="161"/>
        <item x="78"/>
        <item x="337"/>
        <item x="215"/>
        <item x="196"/>
        <item x="446"/>
        <item x="321"/>
        <item x="355"/>
        <item x="50"/>
        <item x="157"/>
        <item x="412"/>
        <item x="224"/>
        <item x="378"/>
        <item x="226"/>
        <item x="14"/>
        <item x="611"/>
        <item x="238"/>
        <item x="302"/>
        <item x="137"/>
        <item x="124"/>
        <item x="548"/>
        <item x="119"/>
        <item x="64"/>
        <item x="490"/>
        <item x="269"/>
        <item x="414"/>
        <item x="596"/>
        <item x="44"/>
        <item x="352"/>
        <item x="23"/>
        <item x="519"/>
        <item x="429"/>
        <item x="498"/>
        <item x="41"/>
        <item x="477"/>
        <item x="481"/>
        <item x="388"/>
        <item x="615"/>
        <item x="310"/>
        <item x="248"/>
        <item x="360"/>
        <item x="291"/>
        <item x="507"/>
        <item x="62"/>
        <item x="549"/>
        <item x="145"/>
        <item x="478"/>
        <item x="316"/>
        <item x="76"/>
        <item x="459"/>
        <item x="555"/>
        <item x="534"/>
        <item x="528"/>
        <item x="416"/>
        <item x="185"/>
        <item x="229"/>
        <item x="550"/>
        <item x="492"/>
        <item x="189"/>
        <item x="510"/>
        <item x="309"/>
        <item x="349"/>
        <item x="284"/>
        <item x="195"/>
        <item x="221"/>
        <item x="320"/>
        <item x="108"/>
        <item x="182"/>
        <item x="266"/>
        <item x="495"/>
        <item x="401"/>
        <item x="270"/>
        <item x="211"/>
        <item x="2"/>
        <item x="254"/>
        <item x="34"/>
        <item x="329"/>
        <item x="54"/>
        <item x="381"/>
        <item x="160"/>
        <item x="70"/>
        <item x="176"/>
        <item x="625"/>
        <item x="514"/>
        <item x="170"/>
        <item x="117"/>
        <item x="230"/>
        <item x="565"/>
        <item x="29"/>
        <item x="227"/>
        <item x="57"/>
        <item x="592"/>
        <item x="300"/>
        <item x="81"/>
        <item x="440"/>
        <item x="468"/>
        <item x="267"/>
        <item x="49"/>
        <item x="567"/>
        <item x="111"/>
        <item x="45"/>
        <item x="301"/>
        <item x="356"/>
        <item x="65"/>
        <item x="200"/>
        <item x="83"/>
        <item x="590"/>
        <item x="607"/>
        <item x="449"/>
        <item x="128"/>
        <item x="520"/>
        <item x="66"/>
        <item x="77"/>
        <item x="407"/>
        <item x="33"/>
        <item x="566"/>
        <item x="38"/>
        <item x="214"/>
        <item x="345"/>
        <item x="589"/>
        <item x="458"/>
        <item x="571"/>
        <item x="606"/>
        <item x="517"/>
        <item x="0"/>
        <item x="541"/>
        <item x="279"/>
        <item x="184"/>
        <item x="260"/>
        <item x="101"/>
        <item x="10"/>
        <item x="191"/>
        <item x="618"/>
        <item x="506"/>
        <item x="307"/>
        <item x="236"/>
        <item x="131"/>
        <item x="545"/>
        <item x="466"/>
        <item x="614"/>
        <item x="359"/>
        <item x="289"/>
        <item x="115"/>
        <item x="201"/>
        <item x="324"/>
        <item x="60"/>
        <item x="624"/>
        <item x="261"/>
        <item x="559"/>
        <item x="263"/>
        <item x="243"/>
        <item x="558"/>
        <item x="30"/>
        <item x="6"/>
        <item x="584"/>
        <item x="104"/>
        <item x="502"/>
        <item x="524"/>
        <item x="331"/>
        <item x="9"/>
        <item x="154"/>
        <item x="585"/>
        <item x="144"/>
        <item x="341"/>
        <item x="371"/>
        <item x="265"/>
        <item x="554"/>
        <item x="8"/>
        <item x="533"/>
        <item x="281"/>
        <item x="383"/>
        <item x="568"/>
        <item x="422"/>
        <item x="13"/>
        <item x="563"/>
        <item x="336"/>
        <item x="112"/>
        <item x="430"/>
        <item x="213"/>
        <item x="152"/>
        <item x="71"/>
        <item x="140"/>
        <item x="627"/>
        <item x="103"/>
        <item x="593"/>
        <item x="27"/>
        <item x="18"/>
        <item x="581"/>
        <item x="239"/>
        <item x="512"/>
        <item x="564"/>
        <item x="599"/>
        <item x="296"/>
        <item x="116"/>
        <item x="483"/>
        <item x="158"/>
        <item x="629"/>
        <item x="465"/>
        <item x="518"/>
        <item x="166"/>
        <item x="43"/>
        <item x="608"/>
        <item x="588"/>
        <item x="413"/>
        <item x="283"/>
        <item x="382"/>
        <item x="207"/>
        <item x="47"/>
        <item x="573"/>
        <item x="357"/>
        <item x="164"/>
        <item x="295"/>
        <item x="569"/>
        <item x="323"/>
        <item x="344"/>
        <item x="516"/>
        <item x="350"/>
        <item x="525"/>
        <item x="135"/>
        <item x="149"/>
        <item x="367"/>
        <item x="39"/>
        <item x="51"/>
        <item x="175"/>
        <item x="212"/>
        <item x="451"/>
        <item x="351"/>
        <item x="579"/>
        <item x="12"/>
        <item x="603"/>
        <item x="343"/>
        <item x="347"/>
        <item x="384"/>
        <item x="199"/>
        <item x="305"/>
        <item x="299"/>
        <item x="225"/>
        <item x="623"/>
        <item x="379"/>
        <item x="396"/>
        <item x="442"/>
        <item x="427"/>
        <item x="290"/>
        <item x="389"/>
        <item x="425"/>
        <item x="223"/>
        <item x="595"/>
        <item x="582"/>
        <item x="393"/>
        <item x="557"/>
        <item x="461"/>
        <item x="282"/>
        <item x="255"/>
        <item x="53"/>
        <item x="322"/>
        <item x="146"/>
        <item x="251"/>
        <item x="22"/>
        <item x="297"/>
        <item x="580"/>
        <item x="605"/>
        <item x="318"/>
        <item x="150"/>
        <item x="253"/>
        <item x="522"/>
        <item x="313"/>
        <item x="450"/>
        <item x="292"/>
        <item x="612"/>
        <item x="312"/>
        <item x="473"/>
        <item x="52"/>
        <item x="87"/>
        <item x="19"/>
        <item x="69"/>
        <item x="453"/>
        <item x="63"/>
        <item x="127"/>
        <item x="403"/>
        <item x="574"/>
        <item x="587"/>
        <item x="575"/>
        <item x="28"/>
        <item x="375"/>
        <item x="314"/>
        <item x="470"/>
        <item x="169"/>
        <item x="353"/>
        <item x="327"/>
        <item x="621"/>
        <item x="372"/>
        <item x="20"/>
        <item x="328"/>
        <item x="511"/>
        <item x="415"/>
        <item x="409"/>
        <item x="436"/>
        <item x="361"/>
        <item x="3"/>
        <item x="21"/>
        <item x="521"/>
        <item x="138"/>
        <item x="432"/>
        <item x="134"/>
        <item x="26"/>
        <item x="400"/>
        <item x="610"/>
        <item x="387"/>
        <item x="247"/>
        <item x="494"/>
        <item x="202"/>
        <item x="147"/>
        <item x="334"/>
        <item x="218"/>
        <item x="626"/>
        <item x="419"/>
        <item x="398"/>
        <item x="391"/>
        <item x="551"/>
        <item x="335"/>
        <item x="155"/>
        <item x="240"/>
        <item x="208"/>
        <item x="346"/>
        <item x="358"/>
        <item x="107"/>
        <item x="179"/>
        <item x="463"/>
        <item x="186"/>
        <item x="4"/>
        <item x="105"/>
        <item x="91"/>
        <item x="165"/>
        <item x="106"/>
        <item x="501"/>
        <item x="181"/>
        <item x="333"/>
        <item x="469"/>
        <item x="113"/>
        <item x="628"/>
        <item x="562"/>
        <item x="273"/>
        <item x="97"/>
        <item x="244"/>
        <item x="445"/>
        <item x="406"/>
        <item x="37"/>
        <item x="613"/>
        <item x="362"/>
        <item x="136"/>
        <item x="420"/>
        <item x="252"/>
        <item x="536"/>
        <item x="99"/>
        <item x="509"/>
        <item x="354"/>
        <item x="130"/>
        <item x="192"/>
        <item x="168"/>
        <item x="84"/>
        <item x="264"/>
        <item x="496"/>
        <item x="482"/>
        <item x="620"/>
        <item x="242"/>
        <item x="421"/>
        <item x="602"/>
        <item x="190"/>
        <item x="122"/>
        <item x="276"/>
        <item x="532"/>
        <item x="543"/>
        <item x="366"/>
        <item x="25"/>
        <item x="245"/>
        <item x="424"/>
        <item x="616"/>
        <item x="139"/>
        <item x="576"/>
        <item x="553"/>
        <item x="148"/>
        <item x="577"/>
        <item x="418"/>
        <item x="373"/>
        <item x="95"/>
        <item x="438"/>
        <item x="126"/>
        <item x="98"/>
        <item x="7"/>
        <item x="120"/>
        <item x="591"/>
        <item x="286"/>
        <item x="503"/>
        <item x="173"/>
        <item x="194"/>
        <item x="233"/>
        <item x="219"/>
        <item x="385"/>
        <item x="167"/>
        <item x="404"/>
        <item x="456"/>
        <item x="529"/>
        <item x="342"/>
        <item x="80"/>
        <item x="67"/>
        <item x="339"/>
        <item x="156"/>
        <item x="338"/>
        <item x="174"/>
        <item x="600"/>
        <item x="570"/>
        <item x="178"/>
        <item x="48"/>
        <item x="315"/>
        <item x="531"/>
        <item x="586"/>
        <item x="467"/>
        <item x="304"/>
        <item x="392"/>
        <item x="58"/>
        <item x="88"/>
        <item x="216"/>
        <item x="72"/>
        <item x="256"/>
        <item x="86"/>
        <item x="365"/>
        <item x="40"/>
        <item x="74"/>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defaultSubtotal="0">
      <items count="5">
        <item x="0"/>
        <item x="1"/>
        <item x="2"/>
        <item x="3"/>
        <item x="4"/>
      </items>
    </pivotField>
  </pivotFields>
  <rowFields count="2">
    <field x="10"/>
    <field x="11"/>
  </rowFields>
  <rowItems count="638">
    <i>
      <x v="4"/>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x v="2"/>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x v="6"/>
    </i>
    <i r="1">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3"/>
    </i>
    <i r="1">
      <x v="624"/>
    </i>
    <i r="1">
      <x v="625"/>
    </i>
    <i r="1">
      <x v="626"/>
    </i>
    <i r="1">
      <x v="627"/>
    </i>
    <i r="1">
      <x v="628"/>
    </i>
    <i r="1">
      <x v="629"/>
    </i>
    <i>
      <x v="3"/>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x v="1"/>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x v="5"/>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r="1">
      <x v="524"/>
    </i>
    <i r="1">
      <x v="525"/>
    </i>
    <i r="1">
      <x v="526"/>
    </i>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t="grand">
      <x/>
    </i>
  </rowItems>
  <colFields count="1">
    <field x="-2"/>
  </colFields>
  <colItems count="3">
    <i>
      <x/>
    </i>
    <i i="1">
      <x v="1"/>
    </i>
    <i i="2">
      <x v="2"/>
    </i>
  </colItems>
  <dataFields count="3">
    <dataField name="Sum of GrossRevenue" fld="17" baseField="0" baseItem="0"/>
    <dataField name="Contribution" fld="17" baseField="10" baseItem="4" numFmtId="10">
      <extLst>
        <ext xmlns:x14="http://schemas.microsoft.com/office/spreadsheetml/2009/9/main" uri="{E15A36E0-9728-4e99-A89B-3F7291B0FE68}">
          <x14:dataField pivotShowAs="percentOfParentRow"/>
        </ext>
      </extLst>
    </dataField>
    <dataField name="Cumulative Revenue" fld="17" baseField="11" baseItem="4"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391" firstHeaderRow="0" firstDataRow="1" firstDataCol="1"/>
  <pivotFields count="29">
    <pivotField dataField="1"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pivotField showAll="0"/>
    <pivotField axis="axisRow" showAll="0">
      <items count="17">
        <item x="4"/>
        <item x="7"/>
        <item x="5"/>
        <item x="0"/>
        <item x="6"/>
        <item x="8"/>
        <item x="2"/>
        <item x="15"/>
        <item x="14"/>
        <item x="9"/>
        <item x="12"/>
        <item x="11"/>
        <item x="3"/>
        <item x="1"/>
        <item x="13"/>
        <item x="10"/>
        <item t="default"/>
      </items>
    </pivotField>
    <pivotField showAll="0"/>
    <pivotField showAll="0"/>
    <pivotField numFmtId="2" showAll="0"/>
    <pivotField numFmtId="2" showAll="0"/>
    <pivotField numFmtId="2" showAll="0"/>
    <pivotField numFmtId="10" showAll="0"/>
    <pivotField numFmtId="1" showAll="0"/>
    <pivotField dataField="1" numFmtId="2" showAll="0"/>
    <pivotField numFmtId="2" showAll="0"/>
    <pivotField dataField="1" numFmtId="2" showAll="0"/>
    <pivotField numFmtId="10" showAll="0"/>
    <pivotField numFmtId="165" showAll="0"/>
    <pivotField showAll="0"/>
    <pivotField showAll="0"/>
    <pivotField showAll="0"/>
    <pivotField axis="axisRow" numFmtId="166" showAll="0">
      <items count="34">
        <item x="0"/>
        <item x="1"/>
        <item x="2"/>
        <item x="3"/>
        <item x="4"/>
        <item x="5"/>
        <item x="6"/>
        <item x="7"/>
        <item x="8"/>
        <item x="9"/>
        <item x="10"/>
        <item x="11"/>
        <item x="12"/>
        <item x="13"/>
        <item x="29"/>
        <item x="14"/>
        <item x="15"/>
        <item x="16"/>
        <item x="17"/>
        <item x="18"/>
        <item x="19"/>
        <item x="32"/>
        <item x="20"/>
        <item x="30"/>
        <item x="21"/>
        <item x="22"/>
        <item x="23"/>
        <item x="24"/>
        <item x="25"/>
        <item x="31"/>
        <item x="26"/>
        <item x="27"/>
        <item x="28"/>
        <item t="default"/>
      </items>
    </pivotField>
    <pivotField numFmtId="14" showAll="0"/>
    <pivotField showAll="0"/>
    <pivotField showAll="0" defaultSubtotal="0">
      <items count="5">
        <item x="0"/>
        <item x="1"/>
        <item x="2"/>
        <item x="3"/>
        <item x="4"/>
      </items>
    </pivotField>
  </pivotFields>
  <rowFields count="2">
    <field x="9"/>
    <field x="25"/>
  </rowFields>
  <rowItems count="388">
    <i>
      <x/>
    </i>
    <i r="1">
      <x/>
    </i>
    <i r="1">
      <x v="2"/>
    </i>
    <i r="1">
      <x v="3"/>
    </i>
    <i r="1">
      <x v="4"/>
    </i>
    <i r="1">
      <x v="5"/>
    </i>
    <i r="1">
      <x v="6"/>
    </i>
    <i r="1">
      <x v="7"/>
    </i>
    <i r="1">
      <x v="8"/>
    </i>
    <i r="1">
      <x v="9"/>
    </i>
    <i r="1">
      <x v="11"/>
    </i>
    <i r="1">
      <x v="12"/>
    </i>
    <i r="1">
      <x v="13"/>
    </i>
    <i r="1">
      <x v="15"/>
    </i>
    <i r="1">
      <x v="16"/>
    </i>
    <i r="1">
      <x v="17"/>
    </i>
    <i r="1">
      <x v="18"/>
    </i>
    <i r="1">
      <x v="20"/>
    </i>
    <i r="1">
      <x v="21"/>
    </i>
    <i r="1">
      <x v="22"/>
    </i>
    <i r="1">
      <x v="28"/>
    </i>
    <i r="1">
      <x v="29"/>
    </i>
    <i r="1">
      <x v="31"/>
    </i>
    <i r="1">
      <x v="32"/>
    </i>
    <i>
      <x v="1"/>
    </i>
    <i r="1">
      <x/>
    </i>
    <i r="1">
      <x v="2"/>
    </i>
    <i r="1">
      <x v="3"/>
    </i>
    <i r="1">
      <x v="4"/>
    </i>
    <i r="1">
      <x v="6"/>
    </i>
    <i r="1">
      <x v="7"/>
    </i>
    <i r="1">
      <x v="8"/>
    </i>
    <i r="1">
      <x v="11"/>
    </i>
    <i r="1">
      <x v="12"/>
    </i>
    <i r="1">
      <x v="13"/>
    </i>
    <i r="1">
      <x v="14"/>
    </i>
    <i r="1">
      <x v="15"/>
    </i>
    <i r="1">
      <x v="16"/>
    </i>
    <i r="1">
      <x v="17"/>
    </i>
    <i r="1">
      <x v="19"/>
    </i>
    <i r="1">
      <x v="20"/>
    </i>
    <i r="1">
      <x v="21"/>
    </i>
    <i r="1">
      <x v="22"/>
    </i>
    <i r="1">
      <x v="23"/>
    </i>
    <i r="1">
      <x v="24"/>
    </i>
    <i r="1">
      <x v="25"/>
    </i>
    <i r="1">
      <x v="26"/>
    </i>
    <i r="1">
      <x v="27"/>
    </i>
    <i r="1">
      <x v="28"/>
    </i>
    <i r="1">
      <x v="29"/>
    </i>
    <i r="1">
      <x v="30"/>
    </i>
    <i r="1">
      <x v="31"/>
    </i>
    <i>
      <x v="2"/>
    </i>
    <i r="1">
      <x v="1"/>
    </i>
    <i r="1">
      <x v="2"/>
    </i>
    <i r="1">
      <x v="4"/>
    </i>
    <i r="1">
      <x v="5"/>
    </i>
    <i r="1">
      <x v="6"/>
    </i>
    <i r="1">
      <x v="9"/>
    </i>
    <i r="1">
      <x v="10"/>
    </i>
    <i r="1">
      <x v="11"/>
    </i>
    <i r="1">
      <x v="12"/>
    </i>
    <i r="1">
      <x v="13"/>
    </i>
    <i r="1">
      <x v="14"/>
    </i>
    <i r="1">
      <x v="15"/>
    </i>
    <i r="1">
      <x v="16"/>
    </i>
    <i r="1">
      <x v="17"/>
    </i>
    <i r="1">
      <x v="19"/>
    </i>
    <i r="1">
      <x v="21"/>
    </i>
    <i r="1">
      <x v="22"/>
    </i>
    <i r="1">
      <x v="23"/>
    </i>
    <i r="1">
      <x v="24"/>
    </i>
    <i r="1">
      <x v="25"/>
    </i>
    <i r="1">
      <x v="26"/>
    </i>
    <i r="1">
      <x v="27"/>
    </i>
    <i r="1">
      <x v="28"/>
    </i>
    <i r="1">
      <x v="29"/>
    </i>
    <i r="1">
      <x v="30"/>
    </i>
    <i r="1">
      <x v="32"/>
    </i>
    <i>
      <x v="3"/>
    </i>
    <i r="1">
      <x/>
    </i>
    <i r="1">
      <x v="1"/>
    </i>
    <i r="1">
      <x v="2"/>
    </i>
    <i r="1">
      <x v="3"/>
    </i>
    <i r="1">
      <x v="4"/>
    </i>
    <i r="1">
      <x v="6"/>
    </i>
    <i r="1">
      <x v="7"/>
    </i>
    <i r="1">
      <x v="8"/>
    </i>
    <i r="1">
      <x v="11"/>
    </i>
    <i r="1">
      <x v="12"/>
    </i>
    <i r="1">
      <x v="13"/>
    </i>
    <i r="1">
      <x v="15"/>
    </i>
    <i r="1">
      <x v="16"/>
    </i>
    <i r="1">
      <x v="17"/>
    </i>
    <i r="1">
      <x v="18"/>
    </i>
    <i r="1">
      <x v="19"/>
    </i>
    <i r="1">
      <x v="20"/>
    </i>
    <i r="1">
      <x v="22"/>
    </i>
    <i r="1">
      <x v="23"/>
    </i>
    <i r="1">
      <x v="25"/>
    </i>
    <i r="1">
      <x v="26"/>
    </i>
    <i r="1">
      <x v="27"/>
    </i>
    <i r="1">
      <x v="29"/>
    </i>
    <i r="1">
      <x v="30"/>
    </i>
    <i r="1">
      <x v="32"/>
    </i>
    <i>
      <x v="4"/>
    </i>
    <i r="1">
      <x v="3"/>
    </i>
    <i r="1">
      <x v="4"/>
    </i>
    <i r="1">
      <x v="5"/>
    </i>
    <i r="1">
      <x v="6"/>
    </i>
    <i r="1">
      <x v="10"/>
    </i>
    <i r="1">
      <x v="11"/>
    </i>
    <i r="1">
      <x v="12"/>
    </i>
    <i r="1">
      <x v="13"/>
    </i>
    <i r="1">
      <x v="14"/>
    </i>
    <i r="1">
      <x v="15"/>
    </i>
    <i r="1">
      <x v="16"/>
    </i>
    <i r="1">
      <x v="19"/>
    </i>
    <i r="1">
      <x v="20"/>
    </i>
    <i r="1">
      <x v="21"/>
    </i>
    <i r="1">
      <x v="22"/>
    </i>
    <i r="1">
      <x v="23"/>
    </i>
    <i r="1">
      <x v="24"/>
    </i>
    <i r="1">
      <x v="26"/>
    </i>
    <i r="1">
      <x v="27"/>
    </i>
    <i r="1">
      <x v="29"/>
    </i>
    <i r="1">
      <x v="31"/>
    </i>
    <i>
      <x v="5"/>
    </i>
    <i r="1">
      <x/>
    </i>
    <i r="1">
      <x v="1"/>
    </i>
    <i r="1">
      <x v="4"/>
    </i>
    <i r="1">
      <x v="5"/>
    </i>
    <i r="1">
      <x v="6"/>
    </i>
    <i r="1">
      <x v="7"/>
    </i>
    <i r="1">
      <x v="9"/>
    </i>
    <i r="1">
      <x v="10"/>
    </i>
    <i r="1">
      <x v="11"/>
    </i>
    <i r="1">
      <x v="12"/>
    </i>
    <i r="1">
      <x v="13"/>
    </i>
    <i r="1">
      <x v="14"/>
    </i>
    <i r="1">
      <x v="16"/>
    </i>
    <i r="1">
      <x v="17"/>
    </i>
    <i r="1">
      <x v="18"/>
    </i>
    <i r="1">
      <x v="19"/>
    </i>
    <i r="1">
      <x v="20"/>
    </i>
    <i r="1">
      <x v="21"/>
    </i>
    <i r="1">
      <x v="22"/>
    </i>
    <i r="1">
      <x v="23"/>
    </i>
    <i r="1">
      <x v="24"/>
    </i>
    <i r="1">
      <x v="25"/>
    </i>
    <i r="1">
      <x v="26"/>
    </i>
    <i r="1">
      <x v="27"/>
    </i>
    <i r="1">
      <x v="28"/>
    </i>
    <i r="1">
      <x v="31"/>
    </i>
    <i r="1">
      <x v="32"/>
    </i>
    <i>
      <x v="6"/>
    </i>
    <i r="1">
      <x/>
    </i>
    <i r="1">
      <x v="2"/>
    </i>
    <i r="1">
      <x v="3"/>
    </i>
    <i r="1">
      <x v="4"/>
    </i>
    <i r="1">
      <x v="6"/>
    </i>
    <i r="1">
      <x v="7"/>
    </i>
    <i r="1">
      <x v="9"/>
    </i>
    <i r="1">
      <x v="12"/>
    </i>
    <i r="1">
      <x v="13"/>
    </i>
    <i r="1">
      <x v="14"/>
    </i>
    <i r="1">
      <x v="16"/>
    </i>
    <i r="1">
      <x v="17"/>
    </i>
    <i r="1">
      <x v="18"/>
    </i>
    <i r="1">
      <x v="22"/>
    </i>
    <i r="1">
      <x v="23"/>
    </i>
    <i r="1">
      <x v="24"/>
    </i>
    <i r="1">
      <x v="26"/>
    </i>
    <i r="1">
      <x v="27"/>
    </i>
    <i r="1">
      <x v="28"/>
    </i>
    <i r="1">
      <x v="29"/>
    </i>
    <i r="1">
      <x v="30"/>
    </i>
    <i>
      <x v="7"/>
    </i>
    <i r="1">
      <x/>
    </i>
    <i r="1">
      <x v="1"/>
    </i>
    <i r="1">
      <x v="3"/>
    </i>
    <i r="1">
      <x v="4"/>
    </i>
    <i r="1">
      <x v="5"/>
    </i>
    <i r="1">
      <x v="9"/>
    </i>
    <i r="1">
      <x v="10"/>
    </i>
    <i r="1">
      <x v="11"/>
    </i>
    <i r="1">
      <x v="12"/>
    </i>
    <i r="1">
      <x v="13"/>
    </i>
    <i r="1">
      <x v="14"/>
    </i>
    <i r="1">
      <x v="16"/>
    </i>
    <i r="1">
      <x v="17"/>
    </i>
    <i r="1">
      <x v="18"/>
    </i>
    <i r="1">
      <x v="19"/>
    </i>
    <i r="1">
      <x v="20"/>
    </i>
    <i r="1">
      <x v="21"/>
    </i>
    <i r="1">
      <x v="22"/>
    </i>
    <i r="1">
      <x v="23"/>
    </i>
    <i r="1">
      <x v="24"/>
    </i>
    <i r="1">
      <x v="25"/>
    </i>
    <i r="1">
      <x v="26"/>
    </i>
    <i r="1">
      <x v="27"/>
    </i>
    <i r="1">
      <x v="28"/>
    </i>
    <i r="1">
      <x v="29"/>
    </i>
    <i r="1">
      <x v="30"/>
    </i>
    <i>
      <x v="8"/>
    </i>
    <i r="1">
      <x v="1"/>
    </i>
    <i r="1">
      <x v="2"/>
    </i>
    <i r="1">
      <x v="3"/>
    </i>
    <i r="1">
      <x v="5"/>
    </i>
    <i r="1">
      <x v="6"/>
    </i>
    <i r="1">
      <x v="7"/>
    </i>
    <i r="1">
      <x v="8"/>
    </i>
    <i r="1">
      <x v="9"/>
    </i>
    <i r="1">
      <x v="12"/>
    </i>
    <i r="1">
      <x v="13"/>
    </i>
    <i r="1">
      <x v="14"/>
    </i>
    <i r="1">
      <x v="16"/>
    </i>
    <i r="1">
      <x v="17"/>
    </i>
    <i r="1">
      <x v="18"/>
    </i>
    <i r="1">
      <x v="19"/>
    </i>
    <i r="1">
      <x v="21"/>
    </i>
    <i r="1">
      <x v="22"/>
    </i>
    <i r="1">
      <x v="24"/>
    </i>
    <i r="1">
      <x v="25"/>
    </i>
    <i r="1">
      <x v="26"/>
    </i>
    <i r="1">
      <x v="27"/>
    </i>
    <i r="1">
      <x v="29"/>
    </i>
    <i r="1">
      <x v="30"/>
    </i>
    <i r="1">
      <x v="31"/>
    </i>
    <i>
      <x v="9"/>
    </i>
    <i r="1">
      <x v="2"/>
    </i>
    <i r="1">
      <x v="3"/>
    </i>
    <i r="1">
      <x v="4"/>
    </i>
    <i r="1">
      <x v="5"/>
    </i>
    <i r="1">
      <x v="6"/>
    </i>
    <i r="1">
      <x v="7"/>
    </i>
    <i r="1">
      <x v="8"/>
    </i>
    <i r="1">
      <x v="9"/>
    </i>
    <i r="1">
      <x v="11"/>
    </i>
    <i r="1">
      <x v="12"/>
    </i>
    <i r="1">
      <x v="14"/>
    </i>
    <i r="1">
      <x v="17"/>
    </i>
    <i r="1">
      <x v="18"/>
    </i>
    <i r="1">
      <x v="19"/>
    </i>
    <i r="1">
      <x v="20"/>
    </i>
    <i r="1">
      <x v="21"/>
    </i>
    <i r="1">
      <x v="22"/>
    </i>
    <i r="1">
      <x v="23"/>
    </i>
    <i r="1">
      <x v="24"/>
    </i>
    <i r="1">
      <x v="26"/>
    </i>
    <i r="1">
      <x v="27"/>
    </i>
    <i r="1">
      <x v="28"/>
    </i>
    <i r="1">
      <x v="29"/>
    </i>
    <i r="1">
      <x v="30"/>
    </i>
    <i r="1">
      <x v="31"/>
    </i>
    <i r="1">
      <x v="32"/>
    </i>
    <i>
      <x v="10"/>
    </i>
    <i r="1">
      <x v="1"/>
    </i>
    <i r="1">
      <x v="2"/>
    </i>
    <i r="1">
      <x v="3"/>
    </i>
    <i r="1">
      <x v="4"/>
    </i>
    <i r="1">
      <x v="5"/>
    </i>
    <i r="1">
      <x v="7"/>
    </i>
    <i r="1">
      <x v="9"/>
    </i>
    <i r="1">
      <x v="10"/>
    </i>
    <i r="1">
      <x v="11"/>
    </i>
    <i r="1">
      <x v="12"/>
    </i>
    <i r="1">
      <x v="13"/>
    </i>
    <i r="1">
      <x v="14"/>
    </i>
    <i r="1">
      <x v="15"/>
    </i>
    <i r="1">
      <x v="16"/>
    </i>
    <i r="1">
      <x v="17"/>
    </i>
    <i r="1">
      <x v="19"/>
    </i>
    <i r="1">
      <x v="20"/>
    </i>
    <i r="1">
      <x v="23"/>
    </i>
    <i r="1">
      <x v="24"/>
    </i>
    <i r="1">
      <x v="25"/>
    </i>
    <i r="1">
      <x v="26"/>
    </i>
    <i r="1">
      <x v="27"/>
    </i>
    <i r="1">
      <x v="28"/>
    </i>
    <i r="1">
      <x v="30"/>
    </i>
    <i r="1">
      <x v="31"/>
    </i>
    <i r="1">
      <x v="32"/>
    </i>
    <i>
      <x v="11"/>
    </i>
    <i r="1">
      <x v="1"/>
    </i>
    <i r="1">
      <x v="2"/>
    </i>
    <i r="1">
      <x v="4"/>
    </i>
    <i r="1">
      <x v="6"/>
    </i>
    <i r="1">
      <x v="7"/>
    </i>
    <i r="1">
      <x v="9"/>
    </i>
    <i r="1">
      <x v="10"/>
    </i>
    <i r="1">
      <x v="11"/>
    </i>
    <i r="1">
      <x v="12"/>
    </i>
    <i r="1">
      <x v="13"/>
    </i>
    <i r="1">
      <x v="14"/>
    </i>
    <i r="1">
      <x v="16"/>
    </i>
    <i r="1">
      <x v="17"/>
    </i>
    <i r="1">
      <x v="19"/>
    </i>
    <i r="1">
      <x v="20"/>
    </i>
    <i r="1">
      <x v="21"/>
    </i>
    <i r="1">
      <x v="22"/>
    </i>
    <i r="1">
      <x v="23"/>
    </i>
    <i r="1">
      <x v="24"/>
    </i>
    <i r="1">
      <x v="25"/>
    </i>
    <i r="1">
      <x v="26"/>
    </i>
    <i r="1">
      <x v="27"/>
    </i>
    <i r="1">
      <x v="28"/>
    </i>
    <i r="1">
      <x v="29"/>
    </i>
    <i r="1">
      <x v="32"/>
    </i>
    <i>
      <x v="12"/>
    </i>
    <i r="1">
      <x/>
    </i>
    <i r="1">
      <x v="1"/>
    </i>
    <i r="1">
      <x v="3"/>
    </i>
    <i r="1">
      <x v="4"/>
    </i>
    <i r="1">
      <x v="5"/>
    </i>
    <i r="1">
      <x v="6"/>
    </i>
    <i r="1">
      <x v="7"/>
    </i>
    <i r="1">
      <x v="11"/>
    </i>
    <i r="1">
      <x v="14"/>
    </i>
    <i r="1">
      <x v="16"/>
    </i>
    <i r="1">
      <x v="17"/>
    </i>
    <i r="1">
      <x v="18"/>
    </i>
    <i r="1">
      <x v="19"/>
    </i>
    <i r="1">
      <x v="20"/>
    </i>
    <i r="1">
      <x v="21"/>
    </i>
    <i r="1">
      <x v="22"/>
    </i>
    <i r="1">
      <x v="23"/>
    </i>
    <i r="1">
      <x v="27"/>
    </i>
    <i r="1">
      <x v="28"/>
    </i>
    <i r="1">
      <x v="29"/>
    </i>
    <i r="1">
      <x v="30"/>
    </i>
    <i r="1">
      <x v="31"/>
    </i>
    <i r="1">
      <x v="32"/>
    </i>
    <i>
      <x v="13"/>
    </i>
    <i r="1">
      <x/>
    </i>
    <i r="1">
      <x v="1"/>
    </i>
    <i r="1">
      <x v="3"/>
    </i>
    <i r="1">
      <x v="5"/>
    </i>
    <i r="1">
      <x v="6"/>
    </i>
    <i r="1">
      <x v="7"/>
    </i>
    <i r="1">
      <x v="11"/>
    </i>
    <i r="1">
      <x v="12"/>
    </i>
    <i r="1">
      <x v="15"/>
    </i>
    <i r="1">
      <x v="16"/>
    </i>
    <i r="1">
      <x v="19"/>
    </i>
    <i r="1">
      <x v="20"/>
    </i>
    <i r="1">
      <x v="21"/>
    </i>
    <i r="1">
      <x v="25"/>
    </i>
    <i r="1">
      <x v="27"/>
    </i>
    <i r="1">
      <x v="29"/>
    </i>
    <i r="1">
      <x v="31"/>
    </i>
    <i r="1">
      <x v="32"/>
    </i>
    <i>
      <x v="14"/>
    </i>
    <i r="1">
      <x/>
    </i>
    <i r="1">
      <x v="2"/>
    </i>
    <i r="1">
      <x v="3"/>
    </i>
    <i r="1">
      <x v="4"/>
    </i>
    <i r="1">
      <x v="5"/>
    </i>
    <i r="1">
      <x v="7"/>
    </i>
    <i r="1">
      <x v="9"/>
    </i>
    <i r="1">
      <x v="11"/>
    </i>
    <i r="1">
      <x v="12"/>
    </i>
    <i r="1">
      <x v="13"/>
    </i>
    <i r="1">
      <x v="14"/>
    </i>
    <i r="1">
      <x v="15"/>
    </i>
    <i r="1">
      <x v="16"/>
    </i>
    <i r="1">
      <x v="17"/>
    </i>
    <i r="1">
      <x v="20"/>
    </i>
    <i r="1">
      <x v="21"/>
    </i>
    <i r="1">
      <x v="22"/>
    </i>
    <i r="1">
      <x v="23"/>
    </i>
    <i r="1">
      <x v="24"/>
    </i>
    <i r="1">
      <x v="25"/>
    </i>
    <i r="1">
      <x v="28"/>
    </i>
    <i r="1">
      <x v="29"/>
    </i>
    <i r="1">
      <x v="30"/>
    </i>
    <i r="1">
      <x v="31"/>
    </i>
    <i r="1">
      <x v="32"/>
    </i>
    <i>
      <x v="15"/>
    </i>
    <i r="1">
      <x v="6"/>
    </i>
    <i r="1">
      <x v="7"/>
    </i>
    <i r="1">
      <x v="9"/>
    </i>
    <i r="1">
      <x v="10"/>
    </i>
    <i r="1">
      <x v="12"/>
    </i>
    <i r="1">
      <x v="19"/>
    </i>
    <i r="1">
      <x v="29"/>
    </i>
    <i r="1">
      <x v="30"/>
    </i>
    <i t="grand">
      <x/>
    </i>
  </rowItems>
  <colFields count="1">
    <field x="-2"/>
  </colFields>
  <colItems count="3">
    <i>
      <x/>
    </i>
    <i i="1">
      <x v="1"/>
    </i>
    <i i="2">
      <x v="2"/>
    </i>
  </colItems>
  <dataFields count="3">
    <dataField name="Count of OrderID" fld="0" subtotal="count" baseField="0" baseItem="0"/>
    <dataField name="Sum of GrossRevenue" fld="17" baseField="0" baseItem="0"/>
    <dataField name="Sum of Gross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H9" firstHeaderRow="1" firstDataRow="2" firstDataCol="1"/>
  <pivotFields count="29">
    <pivotField showAll="0"/>
    <pivotField numFmtId="14" showAll="0"/>
    <pivotField numFmtId="14" showAll="0"/>
    <pivotField numFmtId="1" showAll="0"/>
    <pivotField axis="axisRow" showAll="0">
      <items count="5">
        <item x="3"/>
        <item x="0"/>
        <item x="1"/>
        <item x="2"/>
        <item t="default"/>
      </items>
    </pivotField>
    <pivotField showAll="0"/>
    <pivotField showAll="0"/>
    <pivotField showAll="0"/>
    <pivotField axis="axisCol" showAll="0">
      <items count="7">
        <item x="2"/>
        <item x="3"/>
        <item x="0"/>
        <item x="1"/>
        <item x="4"/>
        <item x="5"/>
        <item t="default"/>
      </items>
    </pivotField>
    <pivotField showAll="0"/>
    <pivotField showAll="0"/>
    <pivotField showAll="0"/>
    <pivotField numFmtId="2" showAll="0"/>
    <pivotField numFmtId="2" showAll="0"/>
    <pivotField numFmtId="2" showAll="0"/>
    <pivotField numFmtId="10" showAll="0"/>
    <pivotField numFmtId="1" showAll="0"/>
    <pivotField dataField="1" numFmtId="2" showAll="0"/>
    <pivotField numFmtId="2" showAll="0"/>
    <pivotField numFmtId="2" showAll="0"/>
    <pivotField numFmtId="10" showAll="0"/>
    <pivotField numFmtId="165" showAll="0"/>
    <pivotField showAll="0"/>
    <pivotField showAll="0"/>
    <pivotField showAll="0"/>
    <pivotField numFmtId="166" showAll="0"/>
    <pivotField numFmtId="14" showAll="0"/>
    <pivotField showAll="0"/>
    <pivotField showAll="0" defaultSubtotal="0"/>
  </pivotFields>
  <rowFields count="1">
    <field x="4"/>
  </rowFields>
  <rowItems count="5">
    <i>
      <x/>
    </i>
    <i>
      <x v="1"/>
    </i>
    <i>
      <x v="2"/>
    </i>
    <i>
      <x v="3"/>
    </i>
    <i t="grand">
      <x/>
    </i>
  </rowItems>
  <colFields count="1">
    <field x="8"/>
  </colFields>
  <colItems count="7">
    <i>
      <x/>
    </i>
    <i>
      <x v="1"/>
    </i>
    <i>
      <x v="2"/>
    </i>
    <i>
      <x v="3"/>
    </i>
    <i>
      <x v="4"/>
    </i>
    <i>
      <x v="5"/>
    </i>
    <i t="grand">
      <x/>
    </i>
  </colItems>
  <dataFields count="1">
    <dataField name="Sum of GrossReven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100" firstHeaderRow="0" firstDataRow="1" firstDataCol="1"/>
  <pivotFields count="29">
    <pivotField dataField="1" showAll="0"/>
    <pivotField numFmtId="14" showAll="0"/>
    <pivotField numFmtId="14" showAll="0"/>
    <pivotField numFmtId="1"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axis="axisRow" showAll="0">
      <items count="8">
        <item x="5"/>
        <item x="1"/>
        <item x="6"/>
        <item x="0"/>
        <item x="4"/>
        <item x="2"/>
        <item x="3"/>
        <item t="default"/>
      </items>
    </pivotField>
    <pivotField showAll="0"/>
    <pivotField numFmtId="2" showAll="0"/>
    <pivotField numFmtId="2" showAll="0"/>
    <pivotField numFmtId="2" showAll="0"/>
    <pivotField numFmtId="10" showAll="0"/>
    <pivotField numFmtId="1" showAll="0"/>
    <pivotField numFmtId="2" showAll="0"/>
    <pivotField numFmtId="2" showAll="0"/>
    <pivotField numFmtId="2" showAll="0"/>
    <pivotField numFmtId="10" showAll="0"/>
    <pivotField numFmtId="165" showAll="0"/>
    <pivotField showAll="0"/>
    <pivotField showAll="0"/>
    <pivotField showAll="0"/>
    <pivotField numFmtId="166" showAll="0"/>
    <pivotField numFmtId="14" showAll="0"/>
    <pivotField showAll="0"/>
    <pivotField dataField="1" showAll="0" defaultSubtotal="0"/>
  </pivotFields>
  <rowFields count="2">
    <field x="5"/>
    <field x="10"/>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Fields count="1">
    <field x="-2"/>
  </colFields>
  <colItems count="2">
    <i>
      <x/>
    </i>
    <i i="1">
      <x v="1"/>
    </i>
  </colItems>
  <dataFields count="2">
    <dataField name="Sum of ServiceLevel" fld="28" baseField="0" baseItem="0"/>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72" firstHeaderRow="0" firstDataRow="1" firstDataCol="1"/>
  <pivotFields count="30">
    <pivotField dataField="1" showAll="0"/>
    <pivotField numFmtId="14" showAll="0"/>
    <pivotField numFmtId="14" showAll="0"/>
    <pivotField numFmtId="1" showAll="0"/>
    <pivotField axis="axisRow" showAll="0">
      <items count="5">
        <item x="3"/>
        <item x="0"/>
        <item x="1"/>
        <item x="2"/>
        <item t="default"/>
      </items>
    </pivotField>
    <pivotField showAll="0"/>
    <pivotField showAll="0"/>
    <pivotField showAll="0"/>
    <pivotField showAll="0"/>
    <pivotField axis="axisRow" showAll="0">
      <items count="17">
        <item x="4"/>
        <item x="7"/>
        <item x="5"/>
        <item x="0"/>
        <item x="6"/>
        <item x="8"/>
        <item x="2"/>
        <item x="15"/>
        <item x="14"/>
        <item x="9"/>
        <item x="12"/>
        <item x="11"/>
        <item x="3"/>
        <item x="1"/>
        <item x="13"/>
        <item x="10"/>
        <item t="default"/>
      </items>
    </pivotField>
    <pivotField showAll="0"/>
    <pivotField showAll="0"/>
    <pivotField numFmtId="2" showAll="0"/>
    <pivotField numFmtId="2" showAll="0"/>
    <pivotField numFmtId="2" showAll="0"/>
    <pivotField numFmtId="10" showAll="0"/>
    <pivotField numFmtId="1" showAll="0"/>
    <pivotField numFmtId="2" showAll="0"/>
    <pivotField numFmtId="2" showAll="0"/>
    <pivotField numFmtId="2" showAll="0"/>
    <pivotField numFmtId="10" showAll="0"/>
    <pivotField numFmtId="165" showAll="0"/>
    <pivotField showAll="0"/>
    <pivotField showAll="0"/>
    <pivotField showAll="0"/>
    <pivotField numFmtId="166" showAll="0"/>
    <pivotField numFmtId="14" showAll="0"/>
    <pivotField showAll="0"/>
    <pivotField showAll="0"/>
    <pivotField dataField="1" showAll="0"/>
  </pivotFields>
  <rowFields count="2">
    <field x="4"/>
    <field x="9"/>
  </rowFields>
  <rowItems count="69">
    <i>
      <x/>
    </i>
    <i r="1">
      <x/>
    </i>
    <i r="1">
      <x v="1"/>
    </i>
    <i r="1">
      <x v="2"/>
    </i>
    <i r="1">
      <x v="3"/>
    </i>
    <i r="1">
      <x v="4"/>
    </i>
    <i r="1">
      <x v="5"/>
    </i>
    <i r="1">
      <x v="6"/>
    </i>
    <i r="1">
      <x v="7"/>
    </i>
    <i r="1">
      <x v="8"/>
    </i>
    <i r="1">
      <x v="9"/>
    </i>
    <i r="1">
      <x v="10"/>
    </i>
    <i r="1">
      <x v="11"/>
    </i>
    <i r="1">
      <x v="12"/>
    </i>
    <i r="1">
      <x v="13"/>
    </i>
    <i r="1">
      <x v="14"/>
    </i>
    <i r="1">
      <x v="15"/>
    </i>
    <i>
      <x v="1"/>
    </i>
    <i r="1">
      <x/>
    </i>
    <i r="1">
      <x v="1"/>
    </i>
    <i r="1">
      <x v="2"/>
    </i>
    <i r="1">
      <x v="3"/>
    </i>
    <i r="1">
      <x v="4"/>
    </i>
    <i r="1">
      <x v="5"/>
    </i>
    <i r="1">
      <x v="6"/>
    </i>
    <i r="1">
      <x v="7"/>
    </i>
    <i r="1">
      <x v="8"/>
    </i>
    <i r="1">
      <x v="9"/>
    </i>
    <i r="1">
      <x v="10"/>
    </i>
    <i r="1">
      <x v="11"/>
    </i>
    <i r="1">
      <x v="12"/>
    </i>
    <i r="1">
      <x v="13"/>
    </i>
    <i r="1">
      <x v="14"/>
    </i>
    <i r="1">
      <x v="15"/>
    </i>
    <i>
      <x v="2"/>
    </i>
    <i r="1">
      <x/>
    </i>
    <i r="1">
      <x v="1"/>
    </i>
    <i r="1">
      <x v="2"/>
    </i>
    <i r="1">
      <x v="3"/>
    </i>
    <i r="1">
      <x v="4"/>
    </i>
    <i r="1">
      <x v="5"/>
    </i>
    <i r="1">
      <x v="6"/>
    </i>
    <i r="1">
      <x v="7"/>
    </i>
    <i r="1">
      <x v="8"/>
    </i>
    <i r="1">
      <x v="9"/>
    </i>
    <i r="1">
      <x v="10"/>
    </i>
    <i r="1">
      <x v="11"/>
    </i>
    <i r="1">
      <x v="12"/>
    </i>
    <i r="1">
      <x v="13"/>
    </i>
    <i r="1">
      <x v="14"/>
    </i>
    <i r="1">
      <x v="15"/>
    </i>
    <i>
      <x v="3"/>
    </i>
    <i r="1">
      <x/>
    </i>
    <i r="1">
      <x v="1"/>
    </i>
    <i r="1">
      <x v="2"/>
    </i>
    <i r="1">
      <x v="3"/>
    </i>
    <i r="1">
      <x v="4"/>
    </i>
    <i r="1">
      <x v="5"/>
    </i>
    <i r="1">
      <x v="6"/>
    </i>
    <i r="1">
      <x v="7"/>
    </i>
    <i r="1">
      <x v="8"/>
    </i>
    <i r="1">
      <x v="9"/>
    </i>
    <i r="1">
      <x v="10"/>
    </i>
    <i r="1">
      <x v="11"/>
    </i>
    <i r="1">
      <x v="12"/>
    </i>
    <i r="1">
      <x v="13"/>
    </i>
    <i r="1">
      <x v="14"/>
    </i>
    <i r="1">
      <x v="15"/>
    </i>
    <i t="grand">
      <x/>
    </i>
  </rowItems>
  <colFields count="1">
    <field x="-2"/>
  </colFields>
  <colItems count="2">
    <i>
      <x/>
    </i>
    <i i="1">
      <x v="1"/>
    </i>
  </colItems>
  <dataFields count="2">
    <dataField name="Sum of HighDiscountFlag" fld="29" baseField="0" baseItem="0"/>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28" firstHeaderRow="1" firstDataRow="1" firstDataCol="1"/>
  <pivotFields count="39">
    <pivotField showAll="0"/>
    <pivotField axis="axisRow" numFmtId="14" showAll="0">
      <items count="15">
        <item x="0"/>
        <item x="1"/>
        <item x="2"/>
        <item x="3"/>
        <item x="4"/>
        <item x="5"/>
        <item x="6"/>
        <item x="7"/>
        <item x="8"/>
        <item x="9"/>
        <item x="10"/>
        <item x="11"/>
        <item x="12"/>
        <item x="13"/>
        <item t="default"/>
      </items>
    </pivotField>
    <pivotField numFmtId="14" showAll="0"/>
    <pivotField numFmtId="1" showAll="0"/>
    <pivotField showAll="0">
      <items count="5">
        <item x="3"/>
        <item x="0"/>
        <item x="1"/>
        <item x="2"/>
        <item t="default"/>
      </items>
    </pivotField>
    <pivotField showAll="0">
      <items count="13">
        <item x="0"/>
        <item x="1"/>
        <item x="2"/>
        <item x="3"/>
        <item x="4"/>
        <item x="5"/>
        <item x="6"/>
        <item x="7"/>
        <item x="8"/>
        <item x="9"/>
        <item x="10"/>
        <item x="11"/>
        <item t="default"/>
      </items>
    </pivotField>
    <pivotField showAll="0"/>
    <pivotField showAll="0"/>
    <pivotField showAll="0">
      <items count="7">
        <item x="2"/>
        <item x="3"/>
        <item x="0"/>
        <item x="1"/>
        <item x="4"/>
        <item x="5"/>
        <item t="default"/>
      </items>
    </pivotField>
    <pivotField showAll="0">
      <items count="17">
        <item h="1" x="4"/>
        <item h="1" x="7"/>
        <item h="1" x="5"/>
        <item h="1" x="0"/>
        <item x="6"/>
        <item h="1" x="8"/>
        <item h="1" x="2"/>
        <item h="1" x="15"/>
        <item h="1" x="14"/>
        <item h="1" x="9"/>
        <item h="1" x="12"/>
        <item h="1" x="11"/>
        <item h="1" x="3"/>
        <item h="1" x="1"/>
        <item h="1" x="13"/>
        <item h="1" x="10"/>
        <item t="default"/>
      </items>
    </pivotField>
    <pivotField showAll="0">
      <items count="8">
        <item x="5"/>
        <item x="1"/>
        <item x="6"/>
        <item x="0"/>
        <item x="4"/>
        <item x="2"/>
        <item x="3"/>
        <item t="default"/>
      </items>
    </pivotField>
    <pivotField showAll="0"/>
    <pivotField numFmtId="2" showAll="0"/>
    <pivotField numFmtId="2" showAll="0"/>
    <pivotField numFmtId="2" showAll="0"/>
    <pivotField numFmtId="10" showAll="0"/>
    <pivotField numFmtId="1" showAll="0"/>
    <pivotField dataField="1" numFmtId="2" showAll="0"/>
    <pivotField numFmtId="2" showAll="0"/>
    <pivotField numFmtId="2" showAll="0"/>
    <pivotField numFmtId="10" showAll="0"/>
    <pivotField numFmtId="165" showAll="0"/>
    <pivotField showAll="0"/>
    <pivotField showAll="0"/>
    <pivotField showAll="0"/>
    <pivotField numFmtId="166" showAll="0">
      <items count="34">
        <item x="0"/>
        <item x="1"/>
        <item x="2"/>
        <item x="3"/>
        <item x="4"/>
        <item x="5"/>
        <item x="6"/>
        <item x="7"/>
        <item x="8"/>
        <item x="9"/>
        <item x="10"/>
        <item x="11"/>
        <item x="12"/>
        <item x="13"/>
        <item x="29"/>
        <item x="14"/>
        <item x="15"/>
        <item x="16"/>
        <item x="17"/>
        <item x="18"/>
        <item x="19"/>
        <item x="32"/>
        <item x="20"/>
        <item x="30"/>
        <item x="21"/>
        <item x="22"/>
        <item x="23"/>
        <item x="24"/>
        <item x="25"/>
        <item x="31"/>
        <item x="26"/>
        <item x="27"/>
        <item x="28"/>
        <item t="default"/>
      </items>
    </pivotField>
    <pivotField numFmtId="14" showAll="0"/>
    <pivotField showAll="0"/>
    <pivotField showAll="0"/>
    <pivotField showAll="0"/>
    <pivotField showAll="0"/>
    <pivotField showAll="0"/>
    <pivotField showAll="0"/>
    <pivotField showAll="0"/>
    <pivotField numFmtId="10" showAll="0"/>
    <pivotField showAll="0"/>
    <pivotField showAll="0"/>
    <pivotField showAll="0"/>
    <pivotField axis="axisRow" showAll="0" defaultSubtotal="0">
      <items count="5">
        <item x="0"/>
        <item x="1"/>
        <item x="2"/>
        <item x="3"/>
        <item x="4"/>
      </items>
    </pivotField>
  </pivotFields>
  <rowFields count="2">
    <field x="38"/>
    <field x="1"/>
  </rowFields>
  <rowItems count="25">
    <i>
      <x v="1"/>
    </i>
    <i r="1">
      <x v="4"/>
    </i>
    <i r="1">
      <x v="5"/>
    </i>
    <i r="1">
      <x v="6"/>
    </i>
    <i r="1">
      <x v="7"/>
    </i>
    <i r="1">
      <x v="11"/>
    </i>
    <i r="1">
      <x v="12"/>
    </i>
    <i>
      <x v="2"/>
    </i>
    <i r="1">
      <x v="1"/>
    </i>
    <i r="1">
      <x v="2"/>
    </i>
    <i r="1">
      <x v="3"/>
    </i>
    <i r="1">
      <x v="4"/>
    </i>
    <i r="1">
      <x v="5"/>
    </i>
    <i r="1">
      <x v="8"/>
    </i>
    <i r="1">
      <x v="9"/>
    </i>
    <i r="1">
      <x v="10"/>
    </i>
    <i r="1">
      <x v="11"/>
    </i>
    <i r="1">
      <x v="12"/>
    </i>
    <i>
      <x v="3"/>
    </i>
    <i r="1">
      <x v="1"/>
    </i>
    <i r="1">
      <x v="3"/>
    </i>
    <i r="1">
      <x v="4"/>
    </i>
    <i r="1">
      <x v="6"/>
    </i>
    <i r="1">
      <x v="8"/>
    </i>
    <i t="grand">
      <x/>
    </i>
  </rowItems>
  <colItems count="1">
    <i/>
  </colItems>
  <dataFields count="1">
    <dataField name="Sum of GrossRevenue" fld="17"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H9" firstHeaderRow="1" firstDataRow="2" firstDataCol="1"/>
  <pivotFields count="39">
    <pivotField showAll="0"/>
    <pivotField numFmtId="14" showAll="0"/>
    <pivotField numFmtId="14" showAll="0"/>
    <pivotField numFmtId="1" showAll="0"/>
    <pivotField axis="axisRow" showAll="0">
      <items count="5">
        <item x="3"/>
        <item x="0"/>
        <item x="1"/>
        <item x="2"/>
        <item t="default"/>
      </items>
    </pivotField>
    <pivotField showAll="0">
      <items count="13">
        <item x="0"/>
        <item x="1"/>
        <item x="2"/>
        <item x="3"/>
        <item x="4"/>
        <item x="5"/>
        <item x="6"/>
        <item x="7"/>
        <item x="8"/>
        <item x="9"/>
        <item x="10"/>
        <item x="11"/>
        <item t="default"/>
      </items>
    </pivotField>
    <pivotField showAll="0"/>
    <pivotField showAll="0"/>
    <pivotField axis="axisCol" showAll="0">
      <items count="7">
        <item x="2"/>
        <item x="3"/>
        <item x="0"/>
        <item x="1"/>
        <item x="4"/>
        <item x="5"/>
        <item t="default"/>
      </items>
    </pivotField>
    <pivotField showAll="0">
      <items count="17">
        <item h="1" x="4"/>
        <item h="1" x="7"/>
        <item h="1" x="5"/>
        <item h="1" x="0"/>
        <item x="6"/>
        <item h="1" x="8"/>
        <item h="1" x="2"/>
        <item h="1" x="15"/>
        <item h="1" x="14"/>
        <item h="1" x="9"/>
        <item h="1" x="12"/>
        <item h="1" x="11"/>
        <item h="1" x="3"/>
        <item h="1" x="1"/>
        <item h="1" x="13"/>
        <item h="1" x="10"/>
        <item t="default"/>
      </items>
    </pivotField>
    <pivotField showAll="0">
      <items count="8">
        <item x="5"/>
        <item x="1"/>
        <item x="6"/>
        <item x="0"/>
        <item x="4"/>
        <item x="2"/>
        <item x="3"/>
        <item t="default"/>
      </items>
    </pivotField>
    <pivotField showAll="0"/>
    <pivotField numFmtId="2" showAll="0"/>
    <pivotField numFmtId="2" showAll="0"/>
    <pivotField numFmtId="2" showAll="0"/>
    <pivotField numFmtId="10" showAll="0"/>
    <pivotField numFmtId="1" showAll="0"/>
    <pivotField numFmtId="2" showAll="0"/>
    <pivotField numFmtId="2" showAll="0"/>
    <pivotField dataField="1" numFmtId="2" showAll="0"/>
    <pivotField numFmtId="10" showAll="0"/>
    <pivotField numFmtId="165" showAll="0"/>
    <pivotField showAll="0"/>
    <pivotField showAll="0"/>
    <pivotField showAll="0"/>
    <pivotField numFmtId="166" showAll="0">
      <items count="34">
        <item x="0"/>
        <item x="1"/>
        <item x="2"/>
        <item x="3"/>
        <item x="4"/>
        <item x="5"/>
        <item x="6"/>
        <item x="7"/>
        <item x="8"/>
        <item x="9"/>
        <item x="10"/>
        <item x="11"/>
        <item x="12"/>
        <item x="13"/>
        <item x="29"/>
        <item x="14"/>
        <item x="15"/>
        <item x="16"/>
        <item x="17"/>
        <item x="18"/>
        <item x="19"/>
        <item x="32"/>
        <item x="20"/>
        <item x="30"/>
        <item x="21"/>
        <item x="22"/>
        <item x="23"/>
        <item x="24"/>
        <item x="25"/>
        <item x="31"/>
        <item x="26"/>
        <item x="27"/>
        <item x="28"/>
        <item t="default"/>
      </items>
    </pivotField>
    <pivotField numFmtId="14" showAll="0"/>
    <pivotField showAll="0"/>
    <pivotField showAll="0"/>
    <pivotField showAll="0"/>
    <pivotField showAll="0"/>
    <pivotField showAll="0"/>
    <pivotField showAll="0"/>
    <pivotField showAll="0"/>
    <pivotField numFmtId="10" showAll="0"/>
    <pivotField showAll="0"/>
    <pivotField showAll="0"/>
    <pivotField showAll="0"/>
    <pivotField showAll="0" defaultSubtotal="0"/>
  </pivotFields>
  <rowFields count="1">
    <field x="4"/>
  </rowFields>
  <rowItems count="5">
    <i>
      <x/>
    </i>
    <i>
      <x v="1"/>
    </i>
    <i>
      <x v="2"/>
    </i>
    <i>
      <x v="3"/>
    </i>
    <i t="grand">
      <x/>
    </i>
  </rowItems>
  <colFields count="1">
    <field x="8"/>
  </colFields>
  <colItems count="7">
    <i>
      <x/>
    </i>
    <i>
      <x v="1"/>
    </i>
    <i>
      <x v="2"/>
    </i>
    <i>
      <x v="3"/>
    </i>
    <i>
      <x v="4"/>
    </i>
    <i>
      <x v="5"/>
    </i>
    <i t="grand">
      <x/>
    </i>
  </colItems>
  <dataFields count="1">
    <dataField name="Sum of GrossProfit" fld="19" baseField="0" baseItem="0"/>
  </dataField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6" format="10" series="1">
      <pivotArea type="data" outline="0" fieldPosition="0">
        <references count="2">
          <reference field="4294967294" count="1" selected="0">
            <x v="0"/>
          </reference>
          <reference field="8" count="1" selected="0">
            <x v="0"/>
          </reference>
        </references>
      </pivotArea>
    </chartFormat>
    <chartFormat chart="6" format="11" series="1">
      <pivotArea type="data" outline="0" fieldPosition="0">
        <references count="2">
          <reference field="4294967294" count="1" selected="0">
            <x v="0"/>
          </reference>
          <reference field="8" count="1" selected="0">
            <x v="1"/>
          </reference>
        </references>
      </pivotArea>
    </chartFormat>
    <chartFormat chart="6" format="12" series="1">
      <pivotArea type="data" outline="0" fieldPosition="0">
        <references count="2">
          <reference field="4294967294" count="1" selected="0">
            <x v="0"/>
          </reference>
          <reference field="8" count="1" selected="0">
            <x v="2"/>
          </reference>
        </references>
      </pivotArea>
    </chartFormat>
    <chartFormat chart="6" format="13" series="1">
      <pivotArea type="data" outline="0" fieldPosition="0">
        <references count="2">
          <reference field="4294967294" count="1" selected="0">
            <x v="0"/>
          </reference>
          <reference field="8" count="1" selected="0">
            <x v="3"/>
          </reference>
        </references>
      </pivotArea>
    </chartFormat>
    <chartFormat chart="6" format="14" series="1">
      <pivotArea type="data" outline="0" fieldPosition="0">
        <references count="2">
          <reference field="4294967294" count="1" selected="0">
            <x v="0"/>
          </reference>
          <reference field="8" count="1" selected="0">
            <x v="4"/>
          </reference>
        </references>
      </pivotArea>
    </chartFormat>
    <chartFormat chart="6" format="15" series="1">
      <pivotArea type="data" outline="0" fieldPosition="0">
        <references count="2">
          <reference field="4294967294" count="1" selected="0">
            <x v="0"/>
          </reference>
          <reference field="8" count="1" selected="0">
            <x v="5"/>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4" firstHeaderRow="1" firstDataRow="1" firstDataCol="1"/>
  <pivotFields count="39">
    <pivotField showAll="0"/>
    <pivotField numFmtId="14" showAll="0"/>
    <pivotField numFmtId="14" showAll="0"/>
    <pivotField numFmtId="1" showAll="0"/>
    <pivotField showAll="0">
      <items count="5">
        <item x="3"/>
        <item x="0"/>
        <item x="1"/>
        <item x="2"/>
        <item t="default"/>
      </items>
    </pivotField>
    <pivotField showAll="0">
      <items count="13">
        <item x="0"/>
        <item x="1"/>
        <item x="2"/>
        <item x="3"/>
        <item x="4"/>
        <item x="5"/>
        <item x="6"/>
        <item x="7"/>
        <item x="8"/>
        <item x="9"/>
        <item x="10"/>
        <item x="11"/>
        <item t="default"/>
      </items>
    </pivotField>
    <pivotField showAll="0"/>
    <pivotField showAll="0"/>
    <pivotField showAll="0">
      <items count="7">
        <item x="2"/>
        <item x="3"/>
        <item x="0"/>
        <item x="1"/>
        <item x="4"/>
        <item x="5"/>
        <item t="default"/>
      </items>
    </pivotField>
    <pivotField showAll="0">
      <items count="17">
        <item h="1" x="4"/>
        <item h="1" x="7"/>
        <item h="1" x="5"/>
        <item h="1" x="0"/>
        <item x="6"/>
        <item h="1" x="8"/>
        <item h="1" x="2"/>
        <item h="1" x="15"/>
        <item h="1" x="14"/>
        <item h="1" x="9"/>
        <item h="1" x="12"/>
        <item h="1" x="11"/>
        <item h="1" x="3"/>
        <item h="1" x="1"/>
        <item h="1" x="13"/>
        <item h="1" x="10"/>
        <item t="default"/>
      </items>
    </pivotField>
    <pivotField showAll="0">
      <items count="8">
        <item x="5"/>
        <item x="1"/>
        <item x="6"/>
        <item x="0"/>
        <item x="4"/>
        <item x="2"/>
        <item x="3"/>
        <item t="default"/>
      </items>
    </pivotField>
    <pivotField axis="axisRow" showAll="0" measureFilter="1">
      <items count="631">
        <item x="125"/>
        <item x="433"/>
        <item x="546"/>
        <item x="303"/>
        <item x="395"/>
        <item x="374"/>
        <item x="277"/>
        <item x="542"/>
        <item x="376"/>
        <item x="198"/>
        <item x="426"/>
        <item x="59"/>
        <item x="220"/>
        <item x="205"/>
        <item x="222"/>
        <item x="431"/>
        <item x="487"/>
        <item x="92"/>
        <item x="348"/>
        <item x="235"/>
        <item x="16"/>
        <item x="317"/>
        <item x="68"/>
        <item x="386"/>
        <item x="457"/>
        <item x="274"/>
        <item x="547"/>
        <item x="475"/>
        <item x="163"/>
        <item x="75"/>
        <item x="597"/>
        <item x="15"/>
        <item x="527"/>
        <item x="133"/>
        <item x="538"/>
        <item x="11"/>
        <item x="476"/>
        <item x="249"/>
        <item x="471"/>
        <item x="399"/>
        <item x="480"/>
        <item x="35"/>
        <item x="622"/>
        <item x="272"/>
        <item x="262"/>
        <item x="397"/>
        <item x="159"/>
        <item x="598"/>
        <item x="428"/>
        <item x="250"/>
        <item x="460"/>
        <item x="488"/>
        <item x="17"/>
        <item x="447"/>
        <item x="197"/>
        <item x="246"/>
        <item x="505"/>
        <item x="90"/>
        <item x="237"/>
        <item x="172"/>
        <item x="85"/>
        <item x="61"/>
        <item x="142"/>
        <item x="594"/>
        <item x="294"/>
        <item x="408"/>
        <item x="462"/>
        <item x="326"/>
        <item x="556"/>
        <item x="206"/>
        <item x="231"/>
        <item x="259"/>
        <item x="56"/>
        <item x="448"/>
        <item x="439"/>
        <item x="544"/>
        <item x="93"/>
        <item x="32"/>
        <item x="479"/>
        <item x="464"/>
        <item x="530"/>
        <item x="31"/>
        <item x="268"/>
        <item x="491"/>
        <item x="472"/>
        <item x="363"/>
        <item x="123"/>
        <item x="410"/>
        <item x="275"/>
        <item x="560"/>
        <item x="308"/>
        <item x="153"/>
        <item x="5"/>
        <item x="504"/>
        <item x="285"/>
        <item x="513"/>
        <item x="583"/>
        <item x="228"/>
        <item x="89"/>
        <item x="241"/>
        <item x="121"/>
        <item x="73"/>
        <item x="193"/>
        <item x="601"/>
        <item x="485"/>
        <item x="1"/>
        <item x="434"/>
        <item x="203"/>
        <item x="36"/>
        <item x="604"/>
        <item x="311"/>
        <item x="180"/>
        <item x="46"/>
        <item x="143"/>
        <item x="55"/>
        <item x="369"/>
        <item x="298"/>
        <item x="423"/>
        <item x="515"/>
        <item x="204"/>
        <item x="258"/>
        <item x="500"/>
        <item x="141"/>
        <item x="444"/>
        <item x="452"/>
        <item x="278"/>
        <item x="162"/>
        <item x="435"/>
        <item x="188"/>
        <item x="94"/>
        <item x="287"/>
        <item x="489"/>
        <item x="332"/>
        <item x="209"/>
        <item x="187"/>
        <item x="441"/>
        <item x="377"/>
        <item x="537"/>
        <item x="183"/>
        <item x="402"/>
        <item x="82"/>
        <item x="578"/>
        <item x="118"/>
        <item x="132"/>
        <item x="370"/>
        <item x="455"/>
        <item x="330"/>
        <item x="293"/>
        <item x="526"/>
        <item x="306"/>
        <item x="114"/>
        <item x="380"/>
        <item x="368"/>
        <item x="497"/>
        <item x="539"/>
        <item x="110"/>
        <item x="617"/>
        <item x="234"/>
        <item x="177"/>
        <item x="508"/>
        <item x="561"/>
        <item x="288"/>
        <item x="129"/>
        <item x="486"/>
        <item x="405"/>
        <item x="151"/>
        <item x="535"/>
        <item x="325"/>
        <item x="42"/>
        <item x="493"/>
        <item x="217"/>
        <item x="102"/>
        <item x="454"/>
        <item x="232"/>
        <item x="96"/>
        <item x="443"/>
        <item x="619"/>
        <item x="24"/>
        <item x="552"/>
        <item x="540"/>
        <item x="523"/>
        <item x="109"/>
        <item x="499"/>
        <item x="257"/>
        <item x="390"/>
        <item x="411"/>
        <item x="340"/>
        <item x="417"/>
        <item x="394"/>
        <item x="319"/>
        <item x="100"/>
        <item x="280"/>
        <item x="79"/>
        <item x="271"/>
        <item x="609"/>
        <item x="171"/>
        <item x="364"/>
        <item x="210"/>
        <item x="437"/>
        <item x="572"/>
        <item x="484"/>
        <item x="474"/>
        <item x="161"/>
        <item x="78"/>
        <item x="337"/>
        <item x="215"/>
        <item x="196"/>
        <item x="446"/>
        <item x="321"/>
        <item x="355"/>
        <item x="50"/>
        <item x="157"/>
        <item x="412"/>
        <item x="224"/>
        <item x="378"/>
        <item x="226"/>
        <item x="14"/>
        <item x="611"/>
        <item x="238"/>
        <item x="302"/>
        <item x="137"/>
        <item x="124"/>
        <item x="548"/>
        <item x="119"/>
        <item x="64"/>
        <item x="490"/>
        <item x="269"/>
        <item x="414"/>
        <item x="596"/>
        <item x="44"/>
        <item x="352"/>
        <item x="23"/>
        <item x="519"/>
        <item x="429"/>
        <item x="498"/>
        <item x="41"/>
        <item x="477"/>
        <item x="481"/>
        <item x="388"/>
        <item x="615"/>
        <item x="310"/>
        <item x="248"/>
        <item x="360"/>
        <item x="291"/>
        <item x="507"/>
        <item x="62"/>
        <item x="549"/>
        <item x="145"/>
        <item x="478"/>
        <item x="316"/>
        <item x="76"/>
        <item x="459"/>
        <item x="555"/>
        <item x="534"/>
        <item x="528"/>
        <item x="416"/>
        <item x="185"/>
        <item x="229"/>
        <item x="550"/>
        <item x="492"/>
        <item x="189"/>
        <item x="510"/>
        <item x="309"/>
        <item x="349"/>
        <item x="284"/>
        <item x="195"/>
        <item x="221"/>
        <item x="320"/>
        <item x="108"/>
        <item x="182"/>
        <item x="266"/>
        <item x="495"/>
        <item x="401"/>
        <item x="270"/>
        <item x="211"/>
        <item x="2"/>
        <item x="254"/>
        <item x="34"/>
        <item x="329"/>
        <item x="54"/>
        <item x="381"/>
        <item x="160"/>
        <item x="70"/>
        <item x="176"/>
        <item x="625"/>
        <item x="514"/>
        <item x="170"/>
        <item x="117"/>
        <item x="230"/>
        <item x="565"/>
        <item x="29"/>
        <item x="227"/>
        <item x="57"/>
        <item x="592"/>
        <item x="300"/>
        <item x="81"/>
        <item x="440"/>
        <item x="468"/>
        <item x="267"/>
        <item x="49"/>
        <item x="567"/>
        <item x="111"/>
        <item x="45"/>
        <item x="301"/>
        <item x="356"/>
        <item x="65"/>
        <item x="200"/>
        <item x="83"/>
        <item x="590"/>
        <item x="607"/>
        <item x="449"/>
        <item x="128"/>
        <item x="520"/>
        <item x="66"/>
        <item x="77"/>
        <item x="407"/>
        <item x="33"/>
        <item x="566"/>
        <item x="38"/>
        <item x="214"/>
        <item x="345"/>
        <item x="589"/>
        <item x="458"/>
        <item x="571"/>
        <item x="606"/>
        <item x="517"/>
        <item x="0"/>
        <item x="541"/>
        <item x="279"/>
        <item x="184"/>
        <item x="260"/>
        <item x="101"/>
        <item x="10"/>
        <item x="191"/>
        <item x="618"/>
        <item x="506"/>
        <item x="307"/>
        <item x="236"/>
        <item x="131"/>
        <item x="545"/>
        <item x="466"/>
        <item x="614"/>
        <item x="359"/>
        <item x="289"/>
        <item x="115"/>
        <item x="201"/>
        <item x="324"/>
        <item x="60"/>
        <item x="624"/>
        <item x="261"/>
        <item x="559"/>
        <item x="263"/>
        <item x="243"/>
        <item x="558"/>
        <item x="30"/>
        <item x="6"/>
        <item x="584"/>
        <item x="104"/>
        <item x="502"/>
        <item x="524"/>
        <item x="331"/>
        <item x="9"/>
        <item x="154"/>
        <item x="585"/>
        <item x="144"/>
        <item x="341"/>
        <item x="371"/>
        <item x="265"/>
        <item x="554"/>
        <item x="8"/>
        <item x="533"/>
        <item x="281"/>
        <item x="383"/>
        <item x="568"/>
        <item x="422"/>
        <item x="13"/>
        <item x="563"/>
        <item x="336"/>
        <item x="112"/>
        <item x="430"/>
        <item x="213"/>
        <item x="152"/>
        <item x="71"/>
        <item x="140"/>
        <item x="627"/>
        <item x="103"/>
        <item x="593"/>
        <item x="27"/>
        <item x="18"/>
        <item x="581"/>
        <item x="239"/>
        <item x="512"/>
        <item x="564"/>
        <item x="599"/>
        <item x="296"/>
        <item x="116"/>
        <item x="483"/>
        <item x="158"/>
        <item x="629"/>
        <item x="465"/>
        <item x="518"/>
        <item x="166"/>
        <item x="43"/>
        <item x="608"/>
        <item x="588"/>
        <item x="413"/>
        <item x="283"/>
        <item x="382"/>
        <item x="207"/>
        <item x="47"/>
        <item x="573"/>
        <item x="357"/>
        <item x="164"/>
        <item x="295"/>
        <item x="569"/>
        <item x="323"/>
        <item x="344"/>
        <item x="516"/>
        <item x="350"/>
        <item x="525"/>
        <item x="135"/>
        <item x="149"/>
        <item x="367"/>
        <item x="39"/>
        <item x="51"/>
        <item x="175"/>
        <item x="212"/>
        <item x="451"/>
        <item x="351"/>
        <item x="579"/>
        <item x="12"/>
        <item x="603"/>
        <item x="343"/>
        <item x="347"/>
        <item x="384"/>
        <item x="199"/>
        <item x="305"/>
        <item x="299"/>
        <item x="225"/>
        <item x="623"/>
        <item x="379"/>
        <item x="396"/>
        <item x="442"/>
        <item x="427"/>
        <item x="290"/>
        <item x="389"/>
        <item x="425"/>
        <item x="223"/>
        <item x="595"/>
        <item x="582"/>
        <item x="393"/>
        <item x="557"/>
        <item x="461"/>
        <item x="282"/>
        <item x="255"/>
        <item x="53"/>
        <item x="322"/>
        <item x="146"/>
        <item x="251"/>
        <item x="22"/>
        <item x="297"/>
        <item x="580"/>
        <item x="605"/>
        <item x="318"/>
        <item x="150"/>
        <item x="253"/>
        <item x="522"/>
        <item x="313"/>
        <item x="450"/>
        <item x="292"/>
        <item x="612"/>
        <item x="312"/>
        <item x="473"/>
        <item x="52"/>
        <item x="87"/>
        <item x="19"/>
        <item x="69"/>
        <item x="453"/>
        <item x="63"/>
        <item x="127"/>
        <item x="403"/>
        <item x="574"/>
        <item x="587"/>
        <item x="575"/>
        <item x="28"/>
        <item x="375"/>
        <item x="314"/>
        <item x="470"/>
        <item x="169"/>
        <item x="353"/>
        <item x="327"/>
        <item x="621"/>
        <item x="372"/>
        <item x="20"/>
        <item x="328"/>
        <item x="511"/>
        <item x="415"/>
        <item x="409"/>
        <item x="436"/>
        <item x="361"/>
        <item x="3"/>
        <item x="21"/>
        <item x="521"/>
        <item x="138"/>
        <item x="432"/>
        <item x="134"/>
        <item x="26"/>
        <item x="400"/>
        <item x="610"/>
        <item x="387"/>
        <item x="247"/>
        <item x="494"/>
        <item x="202"/>
        <item x="147"/>
        <item x="334"/>
        <item x="218"/>
        <item x="626"/>
        <item x="419"/>
        <item x="398"/>
        <item x="391"/>
        <item x="551"/>
        <item x="335"/>
        <item x="155"/>
        <item x="240"/>
        <item x="208"/>
        <item x="346"/>
        <item x="358"/>
        <item x="107"/>
        <item x="179"/>
        <item x="463"/>
        <item x="186"/>
        <item x="4"/>
        <item x="105"/>
        <item x="91"/>
        <item x="165"/>
        <item x="106"/>
        <item x="501"/>
        <item x="181"/>
        <item x="333"/>
        <item x="469"/>
        <item x="113"/>
        <item x="628"/>
        <item x="562"/>
        <item x="273"/>
        <item x="97"/>
        <item x="244"/>
        <item x="445"/>
        <item x="406"/>
        <item x="37"/>
        <item x="613"/>
        <item x="362"/>
        <item x="136"/>
        <item x="420"/>
        <item x="252"/>
        <item x="536"/>
        <item x="99"/>
        <item x="509"/>
        <item x="354"/>
        <item x="130"/>
        <item x="192"/>
        <item x="168"/>
        <item x="84"/>
        <item x="264"/>
        <item x="496"/>
        <item x="482"/>
        <item x="620"/>
        <item x="242"/>
        <item x="421"/>
        <item x="602"/>
        <item x="190"/>
        <item x="122"/>
        <item x="276"/>
        <item x="532"/>
        <item x="543"/>
        <item x="366"/>
        <item x="25"/>
        <item x="245"/>
        <item x="424"/>
        <item x="616"/>
        <item x="139"/>
        <item x="576"/>
        <item x="553"/>
        <item x="148"/>
        <item x="577"/>
        <item x="418"/>
        <item x="373"/>
        <item x="95"/>
        <item x="438"/>
        <item x="126"/>
        <item x="98"/>
        <item x="7"/>
        <item x="120"/>
        <item x="591"/>
        <item x="286"/>
        <item x="503"/>
        <item x="173"/>
        <item x="194"/>
        <item x="233"/>
        <item x="219"/>
        <item x="385"/>
        <item x="167"/>
        <item x="404"/>
        <item x="456"/>
        <item x="529"/>
        <item x="342"/>
        <item x="80"/>
        <item x="67"/>
        <item x="339"/>
        <item x="156"/>
        <item x="338"/>
        <item x="174"/>
        <item x="600"/>
        <item x="570"/>
        <item x="178"/>
        <item x="48"/>
        <item x="315"/>
        <item x="531"/>
        <item x="586"/>
        <item x="467"/>
        <item x="304"/>
        <item x="392"/>
        <item x="58"/>
        <item x="88"/>
        <item x="216"/>
        <item x="72"/>
        <item x="256"/>
        <item x="86"/>
        <item x="365"/>
        <item x="40"/>
        <item x="74"/>
        <item t="default"/>
      </items>
    </pivotField>
    <pivotField numFmtId="2" showAll="0"/>
    <pivotField numFmtId="2" showAll="0"/>
    <pivotField numFmtId="2" showAll="0"/>
    <pivotField numFmtId="10" showAll="0"/>
    <pivotField numFmtId="1" showAll="0"/>
    <pivotField dataField="1" numFmtId="2" showAll="0"/>
    <pivotField numFmtId="2" showAll="0"/>
    <pivotField numFmtId="2" showAll="0"/>
    <pivotField numFmtId="10" showAll="0"/>
    <pivotField numFmtId="165" showAll="0"/>
    <pivotField showAll="0"/>
    <pivotField showAll="0"/>
    <pivotField showAll="0"/>
    <pivotField numFmtId="166" showAll="0">
      <items count="34">
        <item x="0"/>
        <item x="1"/>
        <item x="2"/>
        <item x="3"/>
        <item x="4"/>
        <item x="5"/>
        <item x="6"/>
        <item x="7"/>
        <item x="8"/>
        <item x="9"/>
        <item x="10"/>
        <item x="11"/>
        <item x="12"/>
        <item x="13"/>
        <item x="29"/>
        <item x="14"/>
        <item x="15"/>
        <item x="16"/>
        <item x="17"/>
        <item x="18"/>
        <item x="19"/>
        <item x="32"/>
        <item x="20"/>
        <item x="30"/>
        <item x="21"/>
        <item x="22"/>
        <item x="23"/>
        <item x="24"/>
        <item x="25"/>
        <item x="31"/>
        <item x="26"/>
        <item x="27"/>
        <item x="28"/>
        <item t="default"/>
      </items>
    </pivotField>
    <pivotField numFmtId="14" showAll="0"/>
    <pivotField showAll="0"/>
    <pivotField showAll="0"/>
    <pivotField showAll="0"/>
    <pivotField showAll="0"/>
    <pivotField showAll="0"/>
    <pivotField showAll="0"/>
    <pivotField showAll="0"/>
    <pivotField numFmtId="10" showAll="0"/>
    <pivotField showAll="0"/>
    <pivotField showAll="0"/>
    <pivotField showAll="0"/>
    <pivotField showAll="0" defaultSubtotal="0"/>
  </pivotFields>
  <rowFields count="1">
    <field x="11"/>
  </rowFields>
  <rowItems count="11">
    <i>
      <x v="95"/>
    </i>
    <i>
      <x v="97"/>
    </i>
    <i>
      <x v="123"/>
    </i>
    <i>
      <x v="237"/>
    </i>
    <i>
      <x v="246"/>
    </i>
    <i>
      <x v="266"/>
    </i>
    <i>
      <x v="281"/>
    </i>
    <i>
      <x v="350"/>
    </i>
    <i>
      <x v="523"/>
    </i>
    <i>
      <x v="622"/>
    </i>
    <i t="grand">
      <x/>
    </i>
  </rowItems>
  <colItems count="1">
    <i/>
  </colItems>
  <dataFields count="1">
    <dataField name="Sum of GrossRevenue"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38" firstHeaderRow="1" firstDataRow="1" firstDataCol="1"/>
  <pivotFields count="39">
    <pivotField axis="axisRow" showAll="0">
      <items count="632">
        <item x="326"/>
        <item x="273"/>
        <item x="438"/>
        <item x="441"/>
        <item x="77"/>
        <item x="445"/>
        <item x="596"/>
        <item x="595"/>
        <item x="323"/>
        <item x="487"/>
        <item x="383"/>
        <item x="109"/>
        <item x="483"/>
        <item x="446"/>
        <item x="76"/>
        <item x="120"/>
        <item x="589"/>
        <item x="538"/>
        <item x="588"/>
        <item x="400"/>
        <item x="546"/>
        <item x="113"/>
        <item x="226"/>
        <item x="168"/>
        <item x="21"/>
        <item x="541"/>
        <item x="452"/>
        <item x="280"/>
        <item x="227"/>
        <item x="164"/>
        <item x="225"/>
        <item x="19"/>
        <item x="324"/>
        <item x="167"/>
        <item x="5"/>
        <item x="285"/>
        <item x="391"/>
        <item x="11"/>
        <item x="533"/>
        <item x="329"/>
        <item x="395"/>
        <item x="1"/>
        <item x="597"/>
        <item x="396"/>
        <item x="64"/>
        <item x="485"/>
        <item x="394"/>
        <item x="583"/>
        <item x="331"/>
        <item x="537"/>
        <item x="165"/>
        <item x="532"/>
        <item x="598"/>
        <item x="279"/>
        <item x="265"/>
        <item x="8"/>
        <item x="449"/>
        <item x="162"/>
        <item x="72"/>
        <item x="223"/>
        <item x="66"/>
        <item x="327"/>
        <item x="121"/>
        <item x="493"/>
        <item x="70"/>
        <item x="384"/>
        <item x="7"/>
        <item x="542"/>
        <item x="398"/>
        <item x="587"/>
        <item x="581"/>
        <item x="489"/>
        <item x="536"/>
        <item x="221"/>
        <item x="163"/>
        <item x="16"/>
        <item x="388"/>
        <item x="215"/>
        <item x="115"/>
        <item x="528"/>
        <item x="284"/>
        <item x="6"/>
        <item x="332"/>
        <item x="166"/>
        <item x="224"/>
        <item x="335"/>
        <item x="269"/>
        <item x="216"/>
        <item x="278"/>
        <item x="447"/>
        <item x="484"/>
        <item x="75"/>
        <item x="490"/>
        <item x="534"/>
        <item x="451"/>
        <item x="276"/>
        <item x="222"/>
        <item x="262"/>
        <item x="494"/>
        <item x="393"/>
        <item x="330"/>
        <item x="440"/>
        <item x="530"/>
        <item x="117"/>
        <item x="14"/>
        <item x="281"/>
        <item x="63"/>
        <item x="333"/>
        <item x="540"/>
        <item x="337"/>
        <item x="267"/>
        <item x="213"/>
        <item x="170"/>
        <item x="340"/>
        <item x="20"/>
        <item x="382"/>
        <item x="4"/>
        <item x="9"/>
        <item x="593"/>
        <item x="338"/>
        <item x="169"/>
        <item x="592"/>
        <item x="73"/>
        <item x="114"/>
        <item x="220"/>
        <item x="328"/>
        <item x="387"/>
        <item x="211"/>
        <item x="119"/>
        <item x="584"/>
        <item x="18"/>
        <item x="491"/>
        <item x="334"/>
        <item x="12"/>
        <item x="443"/>
        <item x="444"/>
        <item x="496"/>
        <item x="591"/>
        <item x="17"/>
        <item x="545"/>
        <item x="448"/>
        <item x="543"/>
        <item x="586"/>
        <item x="544"/>
        <item x="123"/>
        <item x="271"/>
        <item x="482"/>
        <item x="106"/>
        <item x="219"/>
        <item x="488"/>
        <item x="497"/>
        <item x="71"/>
        <item x="590"/>
        <item x="275"/>
        <item x="62"/>
        <item x="159"/>
        <item x="283"/>
        <item x="450"/>
        <item x="529"/>
        <item x="107"/>
        <item x="3"/>
        <item x="495"/>
        <item x="325"/>
        <item x="397"/>
        <item x="585"/>
        <item x="67"/>
        <item x="527"/>
        <item x="217"/>
        <item x="172"/>
        <item x="110"/>
        <item x="212"/>
        <item x="171"/>
        <item x="339"/>
        <item x="492"/>
        <item x="499"/>
        <item x="10"/>
        <item x="386"/>
        <item x="498"/>
        <item x="500"/>
        <item x="399"/>
        <item x="277"/>
        <item x="263"/>
        <item x="108"/>
        <item x="582"/>
        <item x="0"/>
        <item x="264"/>
        <item x="161"/>
        <item x="13"/>
        <item x="160"/>
        <item x="112"/>
        <item x="272"/>
        <item x="531"/>
        <item x="2"/>
        <item x="111"/>
        <item x="118"/>
        <item x="157"/>
        <item x="214"/>
        <item x="116"/>
        <item x="15"/>
        <item x="158"/>
        <item x="68"/>
        <item x="389"/>
        <item x="442"/>
        <item x="266"/>
        <item x="594"/>
        <item x="270"/>
        <item x="539"/>
        <item x="69"/>
        <item x="122"/>
        <item x="535"/>
        <item x="392"/>
        <item x="218"/>
        <item x="390"/>
        <item x="274"/>
        <item x="486"/>
        <item x="385"/>
        <item x="268"/>
        <item x="439"/>
        <item x="228"/>
        <item x="282"/>
        <item x="22"/>
        <item x="501"/>
        <item x="336"/>
        <item x="74"/>
        <item x="65"/>
        <item x="360"/>
        <item x="341"/>
        <item x="25"/>
        <item x="130"/>
        <item x="350"/>
        <item x="564"/>
        <item x="287"/>
        <item x="508"/>
        <item x="621"/>
        <item x="566"/>
        <item x="410"/>
        <item x="513"/>
        <item x="89"/>
        <item x="306"/>
        <item x="191"/>
        <item x="344"/>
        <item x="404"/>
        <item x="180"/>
        <item x="33"/>
        <item x="194"/>
        <item x="24"/>
        <item x="601"/>
        <item x="607"/>
        <item x="548"/>
        <item x="354"/>
        <item x="231"/>
        <item x="237"/>
        <item x="615"/>
        <item x="32"/>
        <item x="28"/>
        <item x="81"/>
        <item x="555"/>
        <item x="40"/>
        <item x="125"/>
        <item x="138"/>
        <item x="454"/>
        <item x="457"/>
        <item x="301"/>
        <item x="620"/>
        <item x="605"/>
        <item x="93"/>
        <item x="300"/>
        <item x="424"/>
        <item x="405"/>
        <item x="505"/>
        <item x="342"/>
        <item x="557"/>
        <item x="235"/>
        <item x="246"/>
        <item x="502"/>
        <item x="613"/>
        <item x="186"/>
        <item x="455"/>
        <item x="422"/>
        <item x="182"/>
        <item x="425"/>
        <item x="602"/>
        <item x="179"/>
        <item x="421"/>
        <item x="307"/>
        <item x="413"/>
        <item x="128"/>
        <item x="345"/>
        <item x="359"/>
        <item x="617"/>
        <item x="78"/>
        <item x="233"/>
        <item x="141"/>
        <item x="467"/>
        <item x="406"/>
        <item x="229"/>
        <item x="91"/>
        <item x="181"/>
        <item x="244"/>
        <item x="193"/>
        <item x="84"/>
        <item x="82"/>
        <item x="304"/>
        <item x="184"/>
        <item x="239"/>
        <item x="30"/>
        <item x="506"/>
        <item x="463"/>
        <item x="510"/>
        <item x="614"/>
        <item x="603"/>
        <item x="87"/>
        <item x="414"/>
        <item x="38"/>
        <item x="292"/>
        <item x="35"/>
        <item x="31"/>
        <item x="295"/>
        <item x="90"/>
        <item x="133"/>
        <item x="126"/>
        <item x="248"/>
        <item x="92"/>
        <item x="563"/>
        <item x="23"/>
        <item x="611"/>
        <item x="559"/>
        <item x="36"/>
        <item x="29"/>
        <item x="423"/>
        <item x="88"/>
        <item x="27"/>
        <item x="291"/>
        <item x="26"/>
        <item x="459"/>
        <item x="343"/>
        <item x="353"/>
        <item x="352"/>
        <item x="79"/>
        <item x="554"/>
        <item x="86"/>
        <item x="298"/>
        <item x="408"/>
        <item x="461"/>
        <item x="551"/>
        <item x="356"/>
        <item x="134"/>
        <item x="346"/>
        <item x="294"/>
        <item x="511"/>
        <item x="135"/>
        <item x="241"/>
        <item x="34"/>
        <item x="39"/>
        <item x="458"/>
        <item x="355"/>
        <item x="129"/>
        <item x="456"/>
        <item x="289"/>
        <item x="612"/>
        <item x="348"/>
        <item x="616"/>
        <item x="131"/>
        <item x="550"/>
        <item x="243"/>
        <item x="460"/>
        <item x="466"/>
        <item x="552"/>
        <item x="290"/>
        <item x="401"/>
        <item x="145"/>
        <item x="303"/>
        <item x="618"/>
        <item x="358"/>
        <item x="185"/>
        <item x="515"/>
        <item x="606"/>
        <item x="418"/>
        <item x="417"/>
        <item x="610"/>
        <item x="234"/>
        <item x="556"/>
        <item x="411"/>
        <item x="599"/>
        <item x="139"/>
        <item x="558"/>
        <item x="140"/>
        <item x="619"/>
        <item x="242"/>
        <item x="236"/>
        <item x="230"/>
        <item x="188"/>
        <item x="124"/>
        <item x="175"/>
        <item x="189"/>
        <item x="137"/>
        <item x="302"/>
        <item x="37"/>
        <item x="190"/>
        <item x="462"/>
        <item x="192"/>
        <item x="80"/>
        <item x="187"/>
        <item x="357"/>
        <item x="416"/>
        <item x="144"/>
        <item x="419"/>
        <item x="176"/>
        <item x="296"/>
        <item x="409"/>
        <item x="240"/>
        <item x="407"/>
        <item x="178"/>
        <item x="143"/>
        <item x="468"/>
        <item x="504"/>
        <item x="288"/>
        <item x="293"/>
        <item x="453"/>
        <item x="415"/>
        <item x="238"/>
        <item x="299"/>
        <item x="245"/>
        <item x="127"/>
        <item x="286"/>
        <item x="412"/>
        <item x="173"/>
        <item x="83"/>
        <item x="174"/>
        <item x="503"/>
        <item x="183"/>
        <item x="347"/>
        <item x="609"/>
        <item x="85"/>
        <item x="247"/>
        <item x="177"/>
        <item x="549"/>
        <item x="132"/>
        <item x="351"/>
        <item x="512"/>
        <item x="547"/>
        <item x="562"/>
        <item x="565"/>
        <item x="507"/>
        <item x="560"/>
        <item x="349"/>
        <item x="608"/>
        <item x="232"/>
        <item x="604"/>
        <item x="142"/>
        <item x="561"/>
        <item x="465"/>
        <item x="403"/>
        <item x="509"/>
        <item x="305"/>
        <item x="514"/>
        <item x="553"/>
        <item x="402"/>
        <item x="136"/>
        <item x="297"/>
        <item x="464"/>
        <item x="420"/>
        <item x="600"/>
        <item x="203"/>
        <item x="368"/>
        <item x="102"/>
        <item x="308"/>
        <item x="200"/>
        <item x="426"/>
        <item x="41"/>
        <item x="577"/>
        <item x="432"/>
        <item x="473"/>
        <item x="370"/>
        <item x="312"/>
        <item x="574"/>
        <item x="260"/>
        <item x="152"/>
        <item x="207"/>
        <item x="96"/>
        <item x="567"/>
        <item x="148"/>
        <item x="204"/>
        <item x="379"/>
        <item x="437"/>
        <item x="95"/>
        <item x="52"/>
        <item x="381"/>
        <item x="255"/>
        <item x="372"/>
        <item x="521"/>
        <item x="320"/>
        <item x="571"/>
        <item x="624"/>
        <item x="575"/>
        <item x="198"/>
        <item x="103"/>
        <item x="629"/>
        <item x="518"/>
        <item x="99"/>
        <item x="523"/>
        <item x="313"/>
        <item x="147"/>
        <item x="570"/>
        <item x="149"/>
        <item x="428"/>
        <item x="250"/>
        <item x="146"/>
        <item x="628"/>
        <item x="257"/>
        <item x="317"/>
        <item x="362"/>
        <item x="210"/>
        <item x="375"/>
        <item x="155"/>
        <item x="57"/>
        <item x="474"/>
        <item x="469"/>
        <item x="517"/>
        <item x="627"/>
        <item x="525"/>
        <item x="319"/>
        <item x="309"/>
        <item x="520"/>
        <item x="374"/>
        <item x="369"/>
        <item x="46"/>
        <item x="626"/>
        <item x="377"/>
        <item x="471"/>
        <item x="150"/>
        <item x="310"/>
        <item x="361"/>
        <item x="202"/>
        <item x="318"/>
        <item x="366"/>
        <item x="579"/>
        <item x="253"/>
        <item x="154"/>
        <item x="195"/>
        <item x="199"/>
        <item x="427"/>
        <item x="196"/>
        <item x="476"/>
        <item x="101"/>
        <item x="526"/>
        <item x="576"/>
        <item x="430"/>
        <item x="311"/>
        <item x="371"/>
        <item x="479"/>
        <item x="321"/>
        <item x="516"/>
        <item x="205"/>
        <item x="50"/>
        <item x="378"/>
        <item x="623"/>
        <item x="433"/>
        <item x="45"/>
        <item x="478"/>
        <item x="156"/>
        <item x="622"/>
        <item x="569"/>
        <item x="429"/>
        <item x="61"/>
        <item x="314"/>
        <item x="261"/>
        <item x="259"/>
        <item x="524"/>
        <item x="47"/>
        <item x="208"/>
        <item x="365"/>
        <item x="367"/>
        <item x="98"/>
        <item x="519"/>
        <item x="376"/>
        <item x="94"/>
        <item x="151"/>
        <item x="436"/>
        <item x="364"/>
        <item x="580"/>
        <item x="573"/>
        <item x="373"/>
        <item x="48"/>
        <item x="53"/>
        <item x="435"/>
        <item x="431"/>
        <item x="49"/>
        <item x="249"/>
        <item x="201"/>
        <item x="54"/>
        <item x="380"/>
        <item x="153"/>
        <item x="578"/>
        <item x="258"/>
        <item x="481"/>
        <item x="256"/>
        <item x="104"/>
        <item x="60"/>
        <item x="475"/>
        <item x="322"/>
        <item x="59"/>
        <item x="56"/>
        <item x="572"/>
        <item x="206"/>
        <item x="625"/>
        <item x="434"/>
        <item x="315"/>
        <item x="97"/>
        <item x="470"/>
        <item x="105"/>
        <item x="363"/>
        <item x="51"/>
        <item x="522"/>
        <item x="42"/>
        <item x="43"/>
        <item x="480"/>
        <item x="251"/>
        <item x="477"/>
        <item x="44"/>
        <item x="197"/>
        <item x="472"/>
        <item x="254"/>
        <item x="252"/>
        <item x="58"/>
        <item x="100"/>
        <item x="630"/>
        <item x="568"/>
        <item x="316"/>
        <item x="209"/>
        <item x="55"/>
        <item t="default"/>
      </items>
    </pivotField>
    <pivotField numFmtId="14" showAll="0"/>
    <pivotField numFmtId="14" showAll="0"/>
    <pivotField numFmtId="1" showAll="0"/>
    <pivotField showAll="0">
      <items count="5">
        <item x="3"/>
        <item x="0"/>
        <item x="1"/>
        <item x="2"/>
        <item t="default"/>
      </items>
    </pivotField>
    <pivotField showAll="0">
      <items count="13">
        <item x="0"/>
        <item x="1"/>
        <item x="2"/>
        <item x="3"/>
        <item x="4"/>
        <item x="5"/>
        <item x="6"/>
        <item x="7"/>
        <item x="8"/>
        <item x="9"/>
        <item x="10"/>
        <item x="11"/>
        <item t="default"/>
      </items>
    </pivotField>
    <pivotField showAll="0"/>
    <pivotField showAll="0"/>
    <pivotField showAll="0">
      <items count="7">
        <item x="2"/>
        <item x="3"/>
        <item x="0"/>
        <item x="1"/>
        <item x="4"/>
        <item x="5"/>
        <item t="default"/>
      </items>
    </pivotField>
    <pivotField showAll="0">
      <items count="17">
        <item h="1" x="4"/>
        <item h="1" x="7"/>
        <item h="1" x="5"/>
        <item h="1" x="0"/>
        <item x="6"/>
        <item h="1" x="8"/>
        <item h="1" x="2"/>
        <item h="1" x="15"/>
        <item h="1" x="14"/>
        <item h="1" x="9"/>
        <item h="1" x="12"/>
        <item h="1" x="11"/>
        <item h="1" x="3"/>
        <item h="1" x="1"/>
        <item h="1" x="13"/>
        <item h="1" x="10"/>
        <item t="default"/>
      </items>
    </pivotField>
    <pivotField showAll="0">
      <items count="8">
        <item x="5"/>
        <item x="1"/>
        <item x="6"/>
        <item x="0"/>
        <item x="4"/>
        <item x="2"/>
        <item x="3"/>
        <item t="default"/>
      </items>
    </pivotField>
    <pivotField showAll="0"/>
    <pivotField numFmtId="2" showAll="0"/>
    <pivotField numFmtId="2" showAll="0"/>
    <pivotField numFmtId="2" showAll="0"/>
    <pivotField dataField="1" numFmtId="10" showAll="0"/>
    <pivotField numFmtId="1" showAll="0"/>
    <pivotField numFmtId="2" showAll="0"/>
    <pivotField numFmtId="2" showAll="0"/>
    <pivotField numFmtId="2" showAll="0"/>
    <pivotField numFmtId="10" showAll="0"/>
    <pivotField numFmtId="165" showAll="0"/>
    <pivotField showAll="0"/>
    <pivotField showAll="0"/>
    <pivotField showAll="0"/>
    <pivotField numFmtId="166" showAll="0">
      <items count="34">
        <item x="0"/>
        <item x="1"/>
        <item x="2"/>
        <item x="3"/>
        <item x="4"/>
        <item x="5"/>
        <item x="6"/>
        <item x="7"/>
        <item x="8"/>
        <item x="9"/>
        <item x="10"/>
        <item x="11"/>
        <item x="12"/>
        <item x="13"/>
        <item x="29"/>
        <item x="14"/>
        <item x="15"/>
        <item x="16"/>
        <item x="17"/>
        <item x="18"/>
        <item x="19"/>
        <item x="32"/>
        <item x="20"/>
        <item x="30"/>
        <item x="21"/>
        <item x="22"/>
        <item x="23"/>
        <item x="24"/>
        <item x="25"/>
        <item x="31"/>
        <item x="26"/>
        <item x="27"/>
        <item x="28"/>
        <item t="default"/>
      </items>
    </pivotField>
    <pivotField numFmtId="14" showAll="0"/>
    <pivotField showAll="0"/>
    <pivotField showAll="0"/>
    <pivotField showAll="0"/>
    <pivotField showAll="0"/>
    <pivotField showAll="0"/>
    <pivotField showAll="0"/>
    <pivotField showAll="0"/>
    <pivotField numFmtId="10" showAll="0"/>
    <pivotField showAll="0"/>
    <pivotField showAll="0"/>
    <pivotField showAll="0"/>
    <pivotField showAll="0" defaultSubtotal="0"/>
  </pivotFields>
  <rowFields count="1">
    <field x="0"/>
  </rowFields>
  <rowItems count="35">
    <i>
      <x v="1"/>
    </i>
    <i>
      <x v="60"/>
    </i>
    <i>
      <x v="66"/>
    </i>
    <i>
      <x v="73"/>
    </i>
    <i>
      <x v="123"/>
    </i>
    <i>
      <x v="135"/>
    </i>
    <i>
      <x v="174"/>
    </i>
    <i>
      <x v="188"/>
    </i>
    <i>
      <x v="189"/>
    </i>
    <i>
      <x v="190"/>
    </i>
    <i>
      <x v="212"/>
    </i>
    <i>
      <x v="218"/>
    </i>
    <i>
      <x v="236"/>
    </i>
    <i>
      <x v="246"/>
    </i>
    <i>
      <x v="282"/>
    </i>
    <i>
      <x v="284"/>
    </i>
    <i>
      <x v="292"/>
    </i>
    <i>
      <x v="323"/>
    </i>
    <i>
      <x v="326"/>
    </i>
    <i>
      <x v="328"/>
    </i>
    <i>
      <x v="330"/>
    </i>
    <i>
      <x v="390"/>
    </i>
    <i>
      <x v="407"/>
    </i>
    <i>
      <x v="410"/>
    </i>
    <i>
      <x v="424"/>
    </i>
    <i>
      <x v="436"/>
    </i>
    <i>
      <x v="464"/>
    </i>
    <i>
      <x v="509"/>
    </i>
    <i>
      <x v="536"/>
    </i>
    <i>
      <x v="539"/>
    </i>
    <i>
      <x v="540"/>
    </i>
    <i>
      <x v="595"/>
    </i>
    <i>
      <x v="623"/>
    </i>
    <i>
      <x v="629"/>
    </i>
    <i t="grand">
      <x/>
    </i>
  </rowItems>
  <colItems count="1">
    <i/>
  </colItems>
  <dataFields count="1">
    <dataField name="Sum of DiscountPc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0" name="PivotTable1"/>
    <pivotTable tabId="24" name="PivotTable5"/>
    <pivotTable tabId="21" name="PivotTable2"/>
    <pivotTable tabId="22" name="PivotTable3"/>
  </pivotTables>
  <data>
    <tabular pivotCacheId="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0" name="PivotTable1"/>
    <pivotTable tabId="24" name="PivotTable5"/>
    <pivotTable tabId="21" name="PivotTable2"/>
    <pivotTable tabId="22" name="PivotTable3"/>
  </pivotTables>
  <data>
    <tabular pivotCacheId="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20" name="PivotTable1"/>
    <pivotTable tabId="24" name="PivotTable5"/>
    <pivotTable tabId="21" name="PivotTable2"/>
    <pivotTable tabId="22" name="PivotTable3"/>
  </pivotTables>
  <data>
    <tabular pivotCacheId="1">
      <items count="6">
        <i x="2" s="1"/>
        <i x="3" s="1"/>
        <i x="0" s="1"/>
        <i x="1"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20" name="PivotTable1"/>
    <pivotTable tabId="24" name="PivotTable5"/>
    <pivotTable tabId="21" name="PivotTable2"/>
    <pivotTable tabId="22" name="PivotTable3"/>
  </pivotTables>
  <data>
    <tabular pivotCacheId="1">
      <items count="16">
        <i x="4"/>
        <i x="7"/>
        <i x="5"/>
        <i x="0"/>
        <i x="6" s="1"/>
        <i x="8"/>
        <i x="2"/>
        <i x="15"/>
        <i x="14"/>
        <i x="9"/>
        <i x="12"/>
        <i x="11"/>
        <i x="3"/>
        <i x="1"/>
        <i x="13"/>
        <i x="1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roductCategory" sourceName="ProductCategory">
  <pivotTables>
    <pivotTable tabId="20" name="PivotTable1"/>
    <pivotTable tabId="24" name="PivotTable5"/>
    <pivotTable tabId="21" name="PivotTable2"/>
    <pivotTable tabId="22" name="PivotTable3"/>
  </pivotTables>
  <data>
    <tabular pivotCacheId="1">
      <items count="7">
        <i x="5" s="1"/>
        <i x="1" s="1"/>
        <i x="6" s="1"/>
        <i x="0" s="1"/>
        <i x="4"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OrderMonth" sourceName="OrderMonth">
  <pivotTables>
    <pivotTable tabId="20" name="PivotTable1"/>
    <pivotTable tabId="24" name="PivotTable5"/>
    <pivotTable tabId="21" name="PivotTable2"/>
    <pivotTable tabId="22" name="PivotTable3"/>
  </pivotTables>
  <data>
    <tabular pivotCacheId="1">
      <items count="33">
        <i x="3" s="1"/>
        <i x="4" s="1"/>
        <i x="5" s="1"/>
        <i x="6" s="1"/>
        <i x="10" s="1"/>
        <i x="11" s="1"/>
        <i x="12" s="1"/>
        <i x="13" s="1"/>
        <i x="29" s="1"/>
        <i x="14" s="1"/>
        <i x="15" s="1"/>
        <i x="18" s="1"/>
        <i x="19" s="1"/>
        <i x="32" s="1"/>
        <i x="20" s="1"/>
        <i x="30" s="1"/>
        <i x="21" s="1"/>
        <i x="23" s="1"/>
        <i x="24" s="1"/>
        <i x="31" s="1"/>
        <i x="27" s="1"/>
        <i x="0" s="1" nd="1"/>
        <i x="1" s="1" nd="1"/>
        <i x="2" s="1" nd="1"/>
        <i x="7" s="1" nd="1"/>
        <i x="8" s="1" nd="1"/>
        <i x="9" s="1" nd="1"/>
        <i x="16" s="1" nd="1"/>
        <i x="17" s="1" nd="1"/>
        <i x="22" s="1" nd="1"/>
        <i x="25" s="1" nd="1"/>
        <i x="26" s="1" nd="1"/>
        <i x="2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Dark2" rowHeight="241300"/>
  <slicer name="Country" cache="Slicer_Country" caption="Country" style="SlicerStyleDark2" rowHeight="241300"/>
  <slicer name="Channel" cache="Slicer_Channel" caption="Channel" style="SlicerStyleDark2" rowHeight="241300"/>
  <slicer name="Salesperson" cache="Slicer_Salesperson" caption="Salesperson" style="SlicerStyleDark2" rowHeight="241300"/>
  <slicer name="ProductCategory" cache="Slicer_ProductCategory" caption="ProductCategory" style="SlicerStyleDark2" rowHeight="241300"/>
  <slicer name="OrderMonth" cache="Slicer_OrderMonth" caption="OrderMonth"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Dark2" rowHeight="241300"/>
  <slicer name="Country 1" cache="Slicer_Country" caption="Country" startItem="7" style="SlicerStyleDark2" rowHeight="241300"/>
  <slicer name="Channel 1" cache="Slicer_Channel" caption="Channel" style="SlicerStyleDark2" rowHeight="241300"/>
  <slicer name="Salesperson 1" cache="Slicer_Salesperson" caption="Salesperson" startItem="6" style="SlicerStyleDark2" rowHeight="241300"/>
  <slicer name="ProductCategory 1" cache="Slicer_ProductCategory" caption="ProductCategory" style="SlicerStyleDark2" rowHeight="241300"/>
  <slicer name="OrderMonth 1" cache="Slicer_OrderMonth" caption="OrderMonth"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33"/>
  <sheetViews>
    <sheetView workbookViewId="0">
      <selection activeCell="N7" sqref="N7"/>
    </sheetView>
  </sheetViews>
  <sheetFormatPr defaultRowHeight="15" x14ac:dyDescent="0.25"/>
  <cols>
    <col min="1" max="1" width="15.85546875" bestFit="1" customWidth="1"/>
    <col min="2" max="2" width="10.140625" bestFit="1" customWidth="1"/>
    <col min="3" max="3" width="12.42578125" bestFit="1" customWidth="1"/>
    <col min="14" max="14" width="10.8554687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2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2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2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2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2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2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2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2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2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2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2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2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2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2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2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2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2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2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2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2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2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2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2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2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2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2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2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2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2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2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2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2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2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2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2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2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2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2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2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2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2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2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2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2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2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2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2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2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2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2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2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2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2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2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2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2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2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2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2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2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2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2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2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2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2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2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2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2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2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2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2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2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2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2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2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2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2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2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2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2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2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2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2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2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2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2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2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2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2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2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2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2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2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2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2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2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2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2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2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2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2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2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2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2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2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2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2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2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2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2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2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2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2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2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2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2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2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2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2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2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2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2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2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2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2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2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2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2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2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2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2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2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2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2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2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2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2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2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2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2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2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2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2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2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2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2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2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2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2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2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2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2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2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2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2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2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2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2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2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2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2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2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2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2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2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2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2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2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2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2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2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2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2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2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2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2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2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2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2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2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2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2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2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2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2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2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2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2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2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2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2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2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2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2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2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2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2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2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2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2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2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2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2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2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2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2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2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2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2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2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2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2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2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2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2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2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2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2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2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2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2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2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2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2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2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2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2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2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2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2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2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2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2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2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2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2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2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2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2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2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2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2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2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2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2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2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2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2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2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2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2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2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2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2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2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2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2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2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2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2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2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2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2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2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2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2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2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2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2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2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2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2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2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2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2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2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2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2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2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2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2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2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2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2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2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2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2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2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2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2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2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2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2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2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2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2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2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2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2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2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2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2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2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2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2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2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2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2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2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2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2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2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2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2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2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2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2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2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2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2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2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2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2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2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2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2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2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2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2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2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2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2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2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2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2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2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2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2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2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2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2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2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2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2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2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2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2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2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2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2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2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2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2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2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2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2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2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2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2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2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2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2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2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2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2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2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2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2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2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2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2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2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2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2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2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2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2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2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2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2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2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2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2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2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2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2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2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2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2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2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2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2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2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2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2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2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2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2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2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2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2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2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2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2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2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2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2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2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2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2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2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2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2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2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2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2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2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2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2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2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2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2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2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2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2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2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2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2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2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2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2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2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2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2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2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2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2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2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2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2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2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25">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2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2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2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2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2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2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2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2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2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2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2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2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2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2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2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2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2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2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2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2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2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2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2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2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2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2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2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2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2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2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2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2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2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2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2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2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2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2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2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2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2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2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2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2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2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2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2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2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2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2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2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2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2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2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2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2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2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2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2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2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2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2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2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2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2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2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2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2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2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2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2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2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2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2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2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2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2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2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2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2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2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2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2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2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2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2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2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2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2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2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2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2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2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2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2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2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2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2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2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2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2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2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2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2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2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2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2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2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2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2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2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2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2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2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2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2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2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2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2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2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2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2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2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2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2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2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2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2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2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2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2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2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2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2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2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2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2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2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2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2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2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2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2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2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2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2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2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2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2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2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2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2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2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2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2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2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2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2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2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2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2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2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2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2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2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2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2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2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2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2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2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2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2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2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2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2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2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2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2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2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2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2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2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2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2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2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2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2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2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I29"/>
  <sheetViews>
    <sheetView topLeftCell="A3" workbookViewId="0">
      <selection activeCell="E16" sqref="E16"/>
    </sheetView>
  </sheetViews>
  <sheetFormatPr defaultRowHeight="15" x14ac:dyDescent="0.25"/>
  <cols>
    <col min="1" max="1" width="20.7109375" bestFit="1" customWidth="1"/>
    <col min="2" max="2" width="16.28515625" customWidth="1"/>
    <col min="3" max="34" width="12" customWidth="1"/>
    <col min="35" max="36" width="12" bestFit="1" customWidth="1"/>
  </cols>
  <sheetData>
    <row r="3" spans="1:35" x14ac:dyDescent="0.25">
      <c r="A3" s="18" t="s">
        <v>1434</v>
      </c>
      <c r="B3" s="18" t="s">
        <v>1433</v>
      </c>
    </row>
    <row r="4" spans="1:35" x14ac:dyDescent="0.25">
      <c r="A4" s="18" t="s">
        <v>1431</v>
      </c>
      <c r="B4" t="s">
        <v>1437</v>
      </c>
      <c r="C4">
        <v>1</v>
      </c>
      <c r="D4">
        <v>2</v>
      </c>
      <c r="E4">
        <v>3</v>
      </c>
      <c r="F4">
        <v>4</v>
      </c>
      <c r="G4">
        <v>5</v>
      </c>
      <c r="H4">
        <v>6</v>
      </c>
      <c r="I4">
        <v>7</v>
      </c>
      <c r="J4">
        <v>8</v>
      </c>
      <c r="K4">
        <v>9</v>
      </c>
      <c r="L4">
        <v>10</v>
      </c>
      <c r="M4">
        <v>11</v>
      </c>
      <c r="N4">
        <v>12</v>
      </c>
      <c r="O4">
        <v>13</v>
      </c>
      <c r="P4">
        <v>14</v>
      </c>
      <c r="Q4">
        <v>15</v>
      </c>
      <c r="R4">
        <v>16</v>
      </c>
      <c r="S4">
        <v>17</v>
      </c>
      <c r="T4">
        <v>18</v>
      </c>
      <c r="U4">
        <v>19</v>
      </c>
      <c r="V4">
        <v>20</v>
      </c>
      <c r="W4">
        <v>21</v>
      </c>
      <c r="X4">
        <v>22</v>
      </c>
      <c r="Y4">
        <v>23</v>
      </c>
      <c r="Z4">
        <v>24</v>
      </c>
      <c r="AA4">
        <v>25</v>
      </c>
      <c r="AB4">
        <v>26</v>
      </c>
      <c r="AC4">
        <v>27</v>
      </c>
      <c r="AD4">
        <v>28</v>
      </c>
      <c r="AE4">
        <v>29</v>
      </c>
      <c r="AF4">
        <v>30</v>
      </c>
      <c r="AG4">
        <v>31</v>
      </c>
      <c r="AH4">
        <v>32</v>
      </c>
      <c r="AI4" t="s">
        <v>1432</v>
      </c>
    </row>
    <row r="5" spans="1:35" x14ac:dyDescent="0.25">
      <c r="A5" s="19" t="s">
        <v>655</v>
      </c>
      <c r="B5" s="6">
        <v>1801.4076000000002</v>
      </c>
      <c r="C5" s="6">
        <v>24894.430559999997</v>
      </c>
      <c r="D5" s="6">
        <v>24523.006720000001</v>
      </c>
      <c r="E5" s="6">
        <v>12248.675999999999</v>
      </c>
      <c r="F5" s="6">
        <v>27194.152039999997</v>
      </c>
      <c r="G5" s="6">
        <v>46991.747199999998</v>
      </c>
      <c r="H5" s="6">
        <v>93430.735400000005</v>
      </c>
      <c r="I5" s="6">
        <v>37330.00275</v>
      </c>
      <c r="J5" s="6">
        <v>7071.6331400000008</v>
      </c>
      <c r="K5" s="6">
        <v>16213.632800000001</v>
      </c>
      <c r="L5" s="6">
        <v>24161.26311</v>
      </c>
      <c r="M5" s="6">
        <v>61471.696860000004</v>
      </c>
      <c r="N5" s="6">
        <v>8567.3924999999999</v>
      </c>
      <c r="O5" s="6">
        <v>39349.347099999999</v>
      </c>
      <c r="P5" s="6"/>
      <c r="Q5" s="6">
        <v>57491.062559999998</v>
      </c>
      <c r="R5" s="6">
        <v>9469.7678000000014</v>
      </c>
      <c r="S5" s="6">
        <v>41658.527040000008</v>
      </c>
      <c r="T5" s="6">
        <v>10937.519999999999</v>
      </c>
      <c r="U5" s="6">
        <v>41358.420049999993</v>
      </c>
      <c r="V5" s="6">
        <v>85419.017859999993</v>
      </c>
      <c r="W5" s="6"/>
      <c r="X5" s="6">
        <v>11939.431199999999</v>
      </c>
      <c r="Y5" s="6"/>
      <c r="Z5" s="6">
        <v>22987.3279</v>
      </c>
      <c r="AA5" s="6">
        <v>70563.592109999998</v>
      </c>
      <c r="AB5" s="6">
        <v>16257.340180000001</v>
      </c>
      <c r="AC5" s="6">
        <v>68920.107260000004</v>
      </c>
      <c r="AD5" s="6">
        <v>67158.244760000001</v>
      </c>
      <c r="AE5" s="6"/>
      <c r="AF5" s="6">
        <v>38096.18406</v>
      </c>
      <c r="AG5" s="6">
        <v>45754.744080000004</v>
      </c>
      <c r="AH5" s="6">
        <v>24172.044580000002</v>
      </c>
      <c r="AI5" s="6">
        <v>1037432.45522</v>
      </c>
    </row>
    <row r="6" spans="1:35" x14ac:dyDescent="0.25">
      <c r="A6" s="21">
        <v>44927</v>
      </c>
      <c r="B6" s="6">
        <v>1801.4076000000002</v>
      </c>
      <c r="C6" s="6">
        <v>24894.430559999997</v>
      </c>
      <c r="D6" s="6">
        <v>24523.006720000001</v>
      </c>
      <c r="E6" s="6">
        <v>12248.675999999999</v>
      </c>
      <c r="F6" s="6">
        <v>27194.152039999997</v>
      </c>
      <c r="G6" s="6">
        <v>46991.747199999998</v>
      </c>
      <c r="H6" s="6">
        <v>93430.735400000005</v>
      </c>
      <c r="I6" s="6">
        <v>37330.00275</v>
      </c>
      <c r="J6" s="6">
        <v>7071.6331400000008</v>
      </c>
      <c r="K6" s="6">
        <v>16213.632800000001</v>
      </c>
      <c r="L6" s="6">
        <v>24161.26311</v>
      </c>
      <c r="M6" s="6">
        <v>61471.696860000004</v>
      </c>
      <c r="N6" s="6">
        <v>8567.3924999999999</v>
      </c>
      <c r="O6" s="6">
        <v>39349.347099999999</v>
      </c>
      <c r="P6" s="6"/>
      <c r="Q6" s="6">
        <v>57491.062559999998</v>
      </c>
      <c r="R6" s="6">
        <v>9469.7678000000014</v>
      </c>
      <c r="S6" s="6">
        <v>41658.527040000008</v>
      </c>
      <c r="T6" s="6">
        <v>10937.519999999999</v>
      </c>
      <c r="U6" s="6">
        <v>41358.420049999993</v>
      </c>
      <c r="V6" s="6">
        <v>85419.017859999993</v>
      </c>
      <c r="W6" s="6"/>
      <c r="X6" s="6">
        <v>11939.431199999999</v>
      </c>
      <c r="Y6" s="6"/>
      <c r="Z6" s="6">
        <v>22987.3279</v>
      </c>
      <c r="AA6" s="6">
        <v>70563.592109999998</v>
      </c>
      <c r="AB6" s="6">
        <v>16257.340180000001</v>
      </c>
      <c r="AC6" s="6">
        <v>68920.107260000004</v>
      </c>
      <c r="AD6" s="6">
        <v>67158.244760000001</v>
      </c>
      <c r="AE6" s="6"/>
      <c r="AF6" s="6">
        <v>38096.18406</v>
      </c>
      <c r="AG6" s="6">
        <v>45754.744080000004</v>
      </c>
      <c r="AH6" s="6">
        <v>24172.044580000002</v>
      </c>
      <c r="AI6" s="6">
        <v>1037432.45522</v>
      </c>
    </row>
    <row r="7" spans="1:35" x14ac:dyDescent="0.25">
      <c r="A7" s="19" t="s">
        <v>653</v>
      </c>
      <c r="B7" s="6">
        <v>4141.7599999999993</v>
      </c>
      <c r="C7" s="6">
        <v>26150.364320000001</v>
      </c>
      <c r="D7" s="6">
        <v>17453.3436</v>
      </c>
      <c r="E7" s="6">
        <v>15618.84504</v>
      </c>
      <c r="F7" s="6"/>
      <c r="G7" s="6">
        <v>46226.11952</v>
      </c>
      <c r="H7" s="6">
        <v>29536.716</v>
      </c>
      <c r="I7" s="6">
        <v>52625.804160000007</v>
      </c>
      <c r="J7" s="6">
        <v>15530.929919999999</v>
      </c>
      <c r="K7" s="6">
        <v>27756.432000000001</v>
      </c>
      <c r="L7" s="6"/>
      <c r="M7" s="6">
        <v>14466.95104</v>
      </c>
      <c r="N7" s="6">
        <v>19139.594240000002</v>
      </c>
      <c r="O7" s="6">
        <v>9774.3888000000006</v>
      </c>
      <c r="P7" s="6">
        <v>21931.50405</v>
      </c>
      <c r="Q7" s="6"/>
      <c r="R7" s="6">
        <v>17930.494560000003</v>
      </c>
      <c r="S7" s="6">
        <v>55516.603510000001</v>
      </c>
      <c r="T7" s="6">
        <v>79082.507010000001</v>
      </c>
      <c r="U7" s="6">
        <v>7466.3063999999986</v>
      </c>
      <c r="V7" s="6">
        <v>64160.245439999999</v>
      </c>
      <c r="W7" s="6"/>
      <c r="X7" s="6">
        <v>60697.470840000002</v>
      </c>
      <c r="Y7" s="6">
        <v>20713.040080000002</v>
      </c>
      <c r="Z7" s="6"/>
      <c r="AA7" s="6">
        <v>8128.5187499999993</v>
      </c>
      <c r="AB7" s="6"/>
      <c r="AC7" s="6">
        <v>7901.5041599999995</v>
      </c>
      <c r="AD7" s="6">
        <v>76122.593299999993</v>
      </c>
      <c r="AE7" s="6">
        <v>5335.5655499999993</v>
      </c>
      <c r="AF7" s="6">
        <v>141645.56601000001</v>
      </c>
      <c r="AG7" s="6">
        <v>24972.288</v>
      </c>
      <c r="AH7" s="6">
        <v>12597.52224</v>
      </c>
      <c r="AI7" s="6">
        <v>882622.97853999969</v>
      </c>
    </row>
    <row r="8" spans="1:35" x14ac:dyDescent="0.25">
      <c r="A8" s="21">
        <v>44927</v>
      </c>
      <c r="B8" s="6">
        <v>4141.7599999999993</v>
      </c>
      <c r="C8" s="6">
        <v>26150.364320000001</v>
      </c>
      <c r="D8" s="6">
        <v>17453.3436</v>
      </c>
      <c r="E8" s="6">
        <v>15618.84504</v>
      </c>
      <c r="F8" s="6"/>
      <c r="G8" s="6">
        <v>46226.11952</v>
      </c>
      <c r="H8" s="6">
        <v>29536.716</v>
      </c>
      <c r="I8" s="6">
        <v>52625.804160000007</v>
      </c>
      <c r="J8" s="6">
        <v>15530.929919999999</v>
      </c>
      <c r="K8" s="6">
        <v>27756.432000000001</v>
      </c>
      <c r="L8" s="6"/>
      <c r="M8" s="6">
        <v>14466.95104</v>
      </c>
      <c r="N8" s="6">
        <v>19139.594240000002</v>
      </c>
      <c r="O8" s="6">
        <v>9774.3888000000006</v>
      </c>
      <c r="P8" s="6">
        <v>21931.50405</v>
      </c>
      <c r="Q8" s="6"/>
      <c r="R8" s="6">
        <v>17930.494560000003</v>
      </c>
      <c r="S8" s="6">
        <v>55516.603510000001</v>
      </c>
      <c r="T8" s="6">
        <v>79082.507010000001</v>
      </c>
      <c r="U8" s="6">
        <v>7466.3063999999986</v>
      </c>
      <c r="V8" s="6">
        <v>64160.245439999999</v>
      </c>
      <c r="W8" s="6"/>
      <c r="X8" s="6">
        <v>60697.470840000002</v>
      </c>
      <c r="Y8" s="6">
        <v>20713.040080000002</v>
      </c>
      <c r="Z8" s="6"/>
      <c r="AA8" s="6">
        <v>8128.5187499999993</v>
      </c>
      <c r="AB8" s="6"/>
      <c r="AC8" s="6">
        <v>7901.5041599999995</v>
      </c>
      <c r="AD8" s="6">
        <v>76122.593299999993</v>
      </c>
      <c r="AE8" s="6">
        <v>5335.5655499999993</v>
      </c>
      <c r="AF8" s="6">
        <v>141645.56601000001</v>
      </c>
      <c r="AG8" s="6">
        <v>24972.288</v>
      </c>
      <c r="AH8" s="6">
        <v>12597.52224</v>
      </c>
      <c r="AI8" s="6">
        <v>882622.97853999969</v>
      </c>
    </row>
    <row r="9" spans="1:35" x14ac:dyDescent="0.25">
      <c r="A9" s="19" t="s">
        <v>659</v>
      </c>
      <c r="B9" s="6">
        <v>11406.96</v>
      </c>
      <c r="C9" s="6">
        <v>10869.182940000001</v>
      </c>
      <c r="D9" s="6">
        <v>13437.300239999999</v>
      </c>
      <c r="E9" s="6">
        <v>23379.011199999997</v>
      </c>
      <c r="F9" s="6">
        <v>49097.717240000005</v>
      </c>
      <c r="G9" s="6">
        <v>5769.2758000000003</v>
      </c>
      <c r="H9" s="6"/>
      <c r="I9" s="6">
        <v>64096.7353</v>
      </c>
      <c r="J9" s="6">
        <v>14108.16791</v>
      </c>
      <c r="K9" s="6">
        <v>62366.338009999999</v>
      </c>
      <c r="L9" s="6"/>
      <c r="M9" s="6">
        <v>23668.560000000001</v>
      </c>
      <c r="N9" s="6"/>
      <c r="O9" s="6">
        <v>79081.561010000005</v>
      </c>
      <c r="P9" s="6">
        <v>45749.975680000003</v>
      </c>
      <c r="Q9" s="6">
        <v>14197.064400000001</v>
      </c>
      <c r="R9" s="6"/>
      <c r="S9" s="6">
        <v>70180.55992</v>
      </c>
      <c r="T9" s="6">
        <v>50774.406560000003</v>
      </c>
      <c r="U9" s="6"/>
      <c r="V9" s="6">
        <v>21270.482609999999</v>
      </c>
      <c r="W9" s="6">
        <v>68861.979880000014</v>
      </c>
      <c r="X9" s="6">
        <v>4071.8</v>
      </c>
      <c r="Y9" s="6">
        <v>77129.274059999996</v>
      </c>
      <c r="Z9" s="6">
        <v>56274.47408</v>
      </c>
      <c r="AA9" s="6"/>
      <c r="AB9" s="6">
        <v>9378.6258099999995</v>
      </c>
      <c r="AC9" s="6"/>
      <c r="AD9" s="6">
        <v>9684.8756000000012</v>
      </c>
      <c r="AE9" s="6">
        <v>55548.646980000005</v>
      </c>
      <c r="AF9" s="6">
        <v>20703.052239999997</v>
      </c>
      <c r="AG9" s="6">
        <v>33684.350699999995</v>
      </c>
      <c r="AH9" s="6"/>
      <c r="AI9" s="6">
        <v>894790.37816999981</v>
      </c>
    </row>
    <row r="10" spans="1:35" x14ac:dyDescent="0.25">
      <c r="A10" s="21">
        <v>44927</v>
      </c>
      <c r="B10" s="6">
        <v>11406.96</v>
      </c>
      <c r="C10" s="6">
        <v>10869.182940000001</v>
      </c>
      <c r="D10" s="6">
        <v>13437.300239999999</v>
      </c>
      <c r="E10" s="6">
        <v>23379.011199999997</v>
      </c>
      <c r="F10" s="6">
        <v>49097.717240000005</v>
      </c>
      <c r="G10" s="6">
        <v>5769.2758000000003</v>
      </c>
      <c r="H10" s="6"/>
      <c r="I10" s="6">
        <v>64096.7353</v>
      </c>
      <c r="J10" s="6">
        <v>14108.16791</v>
      </c>
      <c r="K10" s="6">
        <v>62366.338009999999</v>
      </c>
      <c r="L10" s="6"/>
      <c r="M10" s="6">
        <v>23668.560000000001</v>
      </c>
      <c r="N10" s="6"/>
      <c r="O10" s="6">
        <v>79081.561010000005</v>
      </c>
      <c r="P10" s="6">
        <v>45749.975680000003</v>
      </c>
      <c r="Q10" s="6">
        <v>14197.064400000001</v>
      </c>
      <c r="R10" s="6"/>
      <c r="S10" s="6">
        <v>70180.55992</v>
      </c>
      <c r="T10" s="6">
        <v>50774.406560000003</v>
      </c>
      <c r="U10" s="6"/>
      <c r="V10" s="6">
        <v>21270.482609999999</v>
      </c>
      <c r="W10" s="6">
        <v>68861.979880000014</v>
      </c>
      <c r="X10" s="6">
        <v>4071.8</v>
      </c>
      <c r="Y10" s="6">
        <v>77129.274059999996</v>
      </c>
      <c r="Z10" s="6">
        <v>56274.47408</v>
      </c>
      <c r="AA10" s="6"/>
      <c r="AB10" s="6">
        <v>9378.6258099999995</v>
      </c>
      <c r="AC10" s="6"/>
      <c r="AD10" s="6">
        <v>9684.8756000000012</v>
      </c>
      <c r="AE10" s="6">
        <v>55548.646980000005</v>
      </c>
      <c r="AF10" s="6">
        <v>20703.052239999997</v>
      </c>
      <c r="AG10" s="6">
        <v>33684.350699999995</v>
      </c>
      <c r="AH10" s="6"/>
      <c r="AI10" s="6">
        <v>894790.37816999981</v>
      </c>
    </row>
    <row r="11" spans="1:35" x14ac:dyDescent="0.25">
      <c r="A11" s="19" t="s">
        <v>657</v>
      </c>
      <c r="B11" s="6">
        <v>9847.2358600000007</v>
      </c>
      <c r="C11" s="6">
        <v>39546.774539999999</v>
      </c>
      <c r="D11" s="6"/>
      <c r="E11" s="6">
        <v>40811.05186</v>
      </c>
      <c r="F11" s="6"/>
      <c r="G11" s="6">
        <v>10388.429999999998</v>
      </c>
      <c r="H11" s="6">
        <v>60768.60312</v>
      </c>
      <c r="I11" s="6">
        <v>36549.429260000004</v>
      </c>
      <c r="J11" s="6">
        <v>14877.464000000002</v>
      </c>
      <c r="K11" s="6">
        <v>5159.7893599999998</v>
      </c>
      <c r="L11" s="6">
        <v>22983.34563</v>
      </c>
      <c r="M11" s="6">
        <v>28412.100360000004</v>
      </c>
      <c r="N11" s="6">
        <v>29263.361400000002</v>
      </c>
      <c r="O11" s="6">
        <v>20654.544699999999</v>
      </c>
      <c r="P11" s="6">
        <v>45104.930900000007</v>
      </c>
      <c r="Q11" s="6">
        <v>16219.34496</v>
      </c>
      <c r="R11" s="6">
        <v>43635.435039999997</v>
      </c>
      <c r="S11" s="6"/>
      <c r="T11" s="6">
        <v>27907.424580000003</v>
      </c>
      <c r="U11" s="6">
        <v>9189.1634999999987</v>
      </c>
      <c r="V11" s="6"/>
      <c r="W11" s="6">
        <v>41419.524249999995</v>
      </c>
      <c r="X11" s="6">
        <v>67281.056590000007</v>
      </c>
      <c r="Y11" s="6">
        <v>32011.666519999995</v>
      </c>
      <c r="Z11" s="6">
        <v>20050.102040000002</v>
      </c>
      <c r="AA11" s="6">
        <v>12040.64352</v>
      </c>
      <c r="AB11" s="6"/>
      <c r="AC11" s="6">
        <v>33208.325400000002</v>
      </c>
      <c r="AD11" s="6">
        <v>5331.6696000000002</v>
      </c>
      <c r="AE11" s="6">
        <v>17419.586900000002</v>
      </c>
      <c r="AF11" s="6"/>
      <c r="AG11" s="6">
        <v>68199.913</v>
      </c>
      <c r="AH11" s="6"/>
      <c r="AI11" s="6">
        <v>758280.91689000023</v>
      </c>
    </row>
    <row r="12" spans="1:35" x14ac:dyDescent="0.25">
      <c r="A12" s="21">
        <v>44927</v>
      </c>
      <c r="B12" s="6">
        <v>9847.2358600000007</v>
      </c>
      <c r="C12" s="6">
        <v>39546.774539999999</v>
      </c>
      <c r="D12" s="6"/>
      <c r="E12" s="6">
        <v>40811.05186</v>
      </c>
      <c r="F12" s="6"/>
      <c r="G12" s="6">
        <v>10388.429999999998</v>
      </c>
      <c r="H12" s="6">
        <v>60768.60312</v>
      </c>
      <c r="I12" s="6">
        <v>36549.429260000004</v>
      </c>
      <c r="J12" s="6">
        <v>14877.464000000002</v>
      </c>
      <c r="K12" s="6">
        <v>5159.7893599999998</v>
      </c>
      <c r="L12" s="6">
        <v>22983.34563</v>
      </c>
      <c r="M12" s="6">
        <v>28412.100360000004</v>
      </c>
      <c r="N12" s="6">
        <v>29263.361400000002</v>
      </c>
      <c r="O12" s="6">
        <v>20654.544699999999</v>
      </c>
      <c r="P12" s="6">
        <v>45104.930900000007</v>
      </c>
      <c r="Q12" s="6">
        <v>16219.34496</v>
      </c>
      <c r="R12" s="6">
        <v>43635.435039999997</v>
      </c>
      <c r="S12" s="6"/>
      <c r="T12" s="6">
        <v>27907.424580000003</v>
      </c>
      <c r="U12" s="6">
        <v>9189.1634999999987</v>
      </c>
      <c r="V12" s="6"/>
      <c r="W12" s="6">
        <v>41419.524249999995</v>
      </c>
      <c r="X12" s="6">
        <v>67281.056590000007</v>
      </c>
      <c r="Y12" s="6">
        <v>32011.666519999995</v>
      </c>
      <c r="Z12" s="6">
        <v>20050.102040000002</v>
      </c>
      <c r="AA12" s="6">
        <v>12040.64352</v>
      </c>
      <c r="AB12" s="6"/>
      <c r="AC12" s="6">
        <v>33208.325400000002</v>
      </c>
      <c r="AD12" s="6">
        <v>5331.6696000000002</v>
      </c>
      <c r="AE12" s="6">
        <v>17419.586900000002</v>
      </c>
      <c r="AF12" s="6"/>
      <c r="AG12" s="6">
        <v>68199.913</v>
      </c>
      <c r="AH12" s="6"/>
      <c r="AI12" s="6">
        <v>758280.91689000023</v>
      </c>
    </row>
    <row r="13" spans="1:35" x14ac:dyDescent="0.25">
      <c r="A13" s="19" t="s">
        <v>656</v>
      </c>
      <c r="B13" s="6">
        <v>13921.506140000001</v>
      </c>
      <c r="C13" s="6">
        <v>142962.67473</v>
      </c>
      <c r="D13" s="6">
        <v>6271.3801999999996</v>
      </c>
      <c r="E13" s="6">
        <v>104633.05091000001</v>
      </c>
      <c r="F13" s="6">
        <v>17964.4038</v>
      </c>
      <c r="G13" s="6">
        <v>5189.8836000000001</v>
      </c>
      <c r="H13" s="6">
        <v>14114.068500000001</v>
      </c>
      <c r="I13" s="6">
        <v>215.19839999999996</v>
      </c>
      <c r="J13" s="6"/>
      <c r="K13" s="6"/>
      <c r="L13" s="6">
        <v>7643.2649999999994</v>
      </c>
      <c r="M13" s="6">
        <v>56963.241009999998</v>
      </c>
      <c r="N13" s="6">
        <v>41020.909639999998</v>
      </c>
      <c r="O13" s="6">
        <v>321.93290999999999</v>
      </c>
      <c r="P13" s="6">
        <v>68292.728009999992</v>
      </c>
      <c r="Q13" s="6">
        <v>37482.345600000001</v>
      </c>
      <c r="R13" s="6">
        <v>32187.988280000001</v>
      </c>
      <c r="S13" s="6">
        <v>65111.38614000001</v>
      </c>
      <c r="T13" s="6"/>
      <c r="U13" s="6">
        <v>47066.843850000005</v>
      </c>
      <c r="V13" s="6"/>
      <c r="W13" s="6"/>
      <c r="X13" s="6">
        <v>12955.824749999998</v>
      </c>
      <c r="Y13" s="6">
        <v>78869.293640000004</v>
      </c>
      <c r="Z13" s="6"/>
      <c r="AA13" s="6">
        <v>30546.068040000002</v>
      </c>
      <c r="AB13" s="6">
        <v>16870.419779999997</v>
      </c>
      <c r="AC13" s="6">
        <v>5810.4844599999997</v>
      </c>
      <c r="AD13" s="6">
        <v>10666.229420000001</v>
      </c>
      <c r="AE13" s="6">
        <v>56166.983609999996</v>
      </c>
      <c r="AF13" s="6"/>
      <c r="AG13" s="6">
        <v>56176.777799999996</v>
      </c>
      <c r="AH13" s="6"/>
      <c r="AI13" s="6">
        <v>929424.88822000008</v>
      </c>
    </row>
    <row r="14" spans="1:35" x14ac:dyDescent="0.25">
      <c r="A14" s="21">
        <v>44927</v>
      </c>
      <c r="B14" s="6">
        <v>13921.506140000001</v>
      </c>
      <c r="C14" s="6">
        <v>142962.67473</v>
      </c>
      <c r="D14" s="6">
        <v>6271.3801999999996</v>
      </c>
      <c r="E14" s="6">
        <v>104633.05091000001</v>
      </c>
      <c r="F14" s="6">
        <v>17964.4038</v>
      </c>
      <c r="G14" s="6">
        <v>5189.8836000000001</v>
      </c>
      <c r="H14" s="6">
        <v>14114.068500000001</v>
      </c>
      <c r="I14" s="6">
        <v>215.19839999999996</v>
      </c>
      <c r="J14" s="6"/>
      <c r="K14" s="6"/>
      <c r="L14" s="6">
        <v>7643.2649999999994</v>
      </c>
      <c r="M14" s="6">
        <v>56963.241009999998</v>
      </c>
      <c r="N14" s="6">
        <v>41020.909639999998</v>
      </c>
      <c r="O14" s="6">
        <v>321.93290999999999</v>
      </c>
      <c r="P14" s="6">
        <v>68292.728009999992</v>
      </c>
      <c r="Q14" s="6">
        <v>37482.345600000001</v>
      </c>
      <c r="R14" s="6">
        <v>32187.988280000001</v>
      </c>
      <c r="S14" s="6">
        <v>65111.38614000001</v>
      </c>
      <c r="T14" s="6"/>
      <c r="U14" s="6">
        <v>47066.843850000005</v>
      </c>
      <c r="V14" s="6"/>
      <c r="W14" s="6"/>
      <c r="X14" s="6">
        <v>12955.824749999998</v>
      </c>
      <c r="Y14" s="6">
        <v>78869.293640000004</v>
      </c>
      <c r="Z14" s="6"/>
      <c r="AA14" s="6">
        <v>30546.068040000002</v>
      </c>
      <c r="AB14" s="6">
        <v>16870.419779999997</v>
      </c>
      <c r="AC14" s="6">
        <v>5810.4844599999997</v>
      </c>
      <c r="AD14" s="6">
        <v>10666.229420000001</v>
      </c>
      <c r="AE14" s="6">
        <v>56166.983609999996</v>
      </c>
      <c r="AF14" s="6"/>
      <c r="AG14" s="6">
        <v>56176.777799999996</v>
      </c>
      <c r="AH14" s="6"/>
      <c r="AI14" s="6">
        <v>929424.88822000008</v>
      </c>
    </row>
    <row r="15" spans="1:35" x14ac:dyDescent="0.25">
      <c r="A15" s="19" t="s">
        <v>654</v>
      </c>
      <c r="B15" s="6">
        <v>26759.28775</v>
      </c>
      <c r="C15" s="6">
        <v>22044.871499999997</v>
      </c>
      <c r="D15" s="6">
        <v>6631.6443100000006</v>
      </c>
      <c r="E15" s="6">
        <v>32506.559399999998</v>
      </c>
      <c r="F15" s="6">
        <v>249678.13581999997</v>
      </c>
      <c r="G15" s="6">
        <v>4577.1480000000001</v>
      </c>
      <c r="H15" s="6">
        <v>12462.65055</v>
      </c>
      <c r="I15" s="6">
        <v>7105.3528000000006</v>
      </c>
      <c r="J15" s="6">
        <v>42824.196989999997</v>
      </c>
      <c r="K15" s="6">
        <v>34805.040549999998</v>
      </c>
      <c r="L15" s="6">
        <v>39388.573900000003</v>
      </c>
      <c r="M15" s="6">
        <v>35984.636809999996</v>
      </c>
      <c r="N15" s="6">
        <v>33792.866320000001</v>
      </c>
      <c r="O15" s="6">
        <v>24305.882859999998</v>
      </c>
      <c r="P15" s="6">
        <v>12668.50728</v>
      </c>
      <c r="Q15" s="6"/>
      <c r="R15" s="6">
        <v>35554.10024</v>
      </c>
      <c r="S15" s="6">
        <v>31513.423040000001</v>
      </c>
      <c r="T15" s="6">
        <v>30229.994880000002</v>
      </c>
      <c r="U15" s="6">
        <v>43785.68778</v>
      </c>
      <c r="V15" s="6">
        <v>20028.787380000002</v>
      </c>
      <c r="W15" s="6">
        <v>599.53200000000004</v>
      </c>
      <c r="X15" s="6">
        <v>91856.869250000003</v>
      </c>
      <c r="Y15" s="6">
        <v>40695.91504</v>
      </c>
      <c r="Z15" s="6">
        <v>33308.550000000003</v>
      </c>
      <c r="AA15" s="6">
        <v>7120.6486400000003</v>
      </c>
      <c r="AB15" s="6">
        <v>24075.089819999997</v>
      </c>
      <c r="AC15" s="6">
        <v>4856.35725</v>
      </c>
      <c r="AD15" s="6">
        <v>62421.224639999986</v>
      </c>
      <c r="AE15" s="6">
        <v>39717.144100000005</v>
      </c>
      <c r="AF15" s="6"/>
      <c r="AG15" s="6">
        <v>11006.647559999999</v>
      </c>
      <c r="AH15" s="6">
        <v>29627.320319999999</v>
      </c>
      <c r="AI15" s="6">
        <v>1091932.6467800001</v>
      </c>
    </row>
    <row r="16" spans="1:35" x14ac:dyDescent="0.25">
      <c r="A16" s="21">
        <v>44927</v>
      </c>
      <c r="B16" s="6">
        <v>26759.28775</v>
      </c>
      <c r="C16" s="6">
        <v>22044.871499999997</v>
      </c>
      <c r="D16" s="6">
        <v>6631.6443100000006</v>
      </c>
      <c r="E16" s="6">
        <v>32506.559399999998</v>
      </c>
      <c r="F16" s="6">
        <v>249678.13581999997</v>
      </c>
      <c r="G16" s="6">
        <v>4577.1480000000001</v>
      </c>
      <c r="H16" s="6">
        <v>12462.65055</v>
      </c>
      <c r="I16" s="6">
        <v>7105.3528000000006</v>
      </c>
      <c r="J16" s="6">
        <v>42824.196989999997</v>
      </c>
      <c r="K16" s="6">
        <v>34805.040549999998</v>
      </c>
      <c r="L16" s="6">
        <v>39388.573900000003</v>
      </c>
      <c r="M16" s="6">
        <v>35984.636809999996</v>
      </c>
      <c r="N16" s="6">
        <v>33792.866320000001</v>
      </c>
      <c r="O16" s="6">
        <v>24305.882859999998</v>
      </c>
      <c r="P16" s="6">
        <v>12668.50728</v>
      </c>
      <c r="Q16" s="6"/>
      <c r="R16" s="6">
        <v>35554.10024</v>
      </c>
      <c r="S16" s="6">
        <v>31513.423040000001</v>
      </c>
      <c r="T16" s="6">
        <v>30229.994880000002</v>
      </c>
      <c r="U16" s="6">
        <v>43785.68778</v>
      </c>
      <c r="V16" s="6">
        <v>20028.787380000002</v>
      </c>
      <c r="W16" s="6">
        <v>599.53200000000004</v>
      </c>
      <c r="X16" s="6">
        <v>91856.869250000003</v>
      </c>
      <c r="Y16" s="6">
        <v>40695.91504</v>
      </c>
      <c r="Z16" s="6">
        <v>33308.550000000003</v>
      </c>
      <c r="AA16" s="6">
        <v>7120.6486400000003</v>
      </c>
      <c r="AB16" s="6">
        <v>24075.089819999997</v>
      </c>
      <c r="AC16" s="6">
        <v>4856.35725</v>
      </c>
      <c r="AD16" s="6">
        <v>62421.224639999986</v>
      </c>
      <c r="AE16" s="6">
        <v>39717.144100000005</v>
      </c>
      <c r="AF16" s="6"/>
      <c r="AG16" s="6">
        <v>11006.647559999999</v>
      </c>
      <c r="AH16" s="6">
        <v>29627.320319999999</v>
      </c>
      <c r="AI16" s="6">
        <v>1091932.6467800001</v>
      </c>
    </row>
    <row r="17" spans="1:35" x14ac:dyDescent="0.25">
      <c r="A17" s="19" t="s">
        <v>652</v>
      </c>
      <c r="B17" s="6">
        <v>31024.83872</v>
      </c>
      <c r="C17" s="6">
        <v>21196.913249999998</v>
      </c>
      <c r="D17" s="6">
        <v>9062.34692</v>
      </c>
      <c r="E17" s="6">
        <v>4603.0824400000001</v>
      </c>
      <c r="F17" s="6">
        <v>32142.113530000002</v>
      </c>
      <c r="G17" s="6"/>
      <c r="H17" s="6">
        <v>31130.741829999995</v>
      </c>
      <c r="I17" s="6">
        <v>14527.748400000002</v>
      </c>
      <c r="J17" s="6">
        <v>14268.607679999999</v>
      </c>
      <c r="K17" s="6">
        <v>38506.52882</v>
      </c>
      <c r="L17" s="6">
        <v>67110.666420000009</v>
      </c>
      <c r="M17" s="6">
        <v>15253.069799999999</v>
      </c>
      <c r="N17" s="6"/>
      <c r="O17" s="6"/>
      <c r="P17" s="6">
        <v>14287.896349999999</v>
      </c>
      <c r="Q17" s="6">
        <v>68665.574250000005</v>
      </c>
      <c r="R17" s="6">
        <v>23449.833500000001</v>
      </c>
      <c r="S17" s="6">
        <v>82602.550499999998</v>
      </c>
      <c r="T17" s="6">
        <v>50582.705609999997</v>
      </c>
      <c r="U17" s="6">
        <v>29808.424959999997</v>
      </c>
      <c r="V17" s="6"/>
      <c r="W17" s="6">
        <v>18641.222160000001</v>
      </c>
      <c r="X17" s="6">
        <v>15705.464199999999</v>
      </c>
      <c r="Y17" s="6">
        <v>7955.6342199999999</v>
      </c>
      <c r="Z17" s="6">
        <v>49494.318980000004</v>
      </c>
      <c r="AA17" s="6">
        <v>20606.46444</v>
      </c>
      <c r="AB17" s="6">
        <v>63856.506820000002</v>
      </c>
      <c r="AC17" s="6">
        <v>11984.891250000001</v>
      </c>
      <c r="AD17" s="6">
        <v>9315.4974099999999</v>
      </c>
      <c r="AE17" s="6">
        <v>34082.864639999993</v>
      </c>
      <c r="AF17" s="6">
        <v>74882.385600000009</v>
      </c>
      <c r="AG17" s="6"/>
      <c r="AH17" s="6"/>
      <c r="AI17" s="6">
        <v>854748.89270000008</v>
      </c>
    </row>
    <row r="18" spans="1:35" x14ac:dyDescent="0.25">
      <c r="A18" s="21">
        <v>44986</v>
      </c>
      <c r="B18" s="6">
        <v>31024.83872</v>
      </c>
      <c r="C18" s="6">
        <v>21196.913249999998</v>
      </c>
      <c r="D18" s="6">
        <v>9062.34692</v>
      </c>
      <c r="E18" s="6">
        <v>4603.0824400000001</v>
      </c>
      <c r="F18" s="6">
        <v>32142.113530000002</v>
      </c>
      <c r="G18" s="6"/>
      <c r="H18" s="6">
        <v>31130.741829999995</v>
      </c>
      <c r="I18" s="6">
        <v>14527.748400000002</v>
      </c>
      <c r="J18" s="6">
        <v>14268.607679999999</v>
      </c>
      <c r="K18" s="6">
        <v>38506.52882</v>
      </c>
      <c r="L18" s="6">
        <v>67110.666420000009</v>
      </c>
      <c r="M18" s="6">
        <v>15253.069799999999</v>
      </c>
      <c r="N18" s="6"/>
      <c r="O18" s="6"/>
      <c r="P18" s="6">
        <v>14287.896349999999</v>
      </c>
      <c r="Q18" s="6">
        <v>68665.574250000005</v>
      </c>
      <c r="R18" s="6">
        <v>23449.833500000001</v>
      </c>
      <c r="S18" s="6">
        <v>82602.550499999998</v>
      </c>
      <c r="T18" s="6">
        <v>50582.705609999997</v>
      </c>
      <c r="U18" s="6">
        <v>29808.424959999997</v>
      </c>
      <c r="V18" s="6"/>
      <c r="W18" s="6">
        <v>18641.222160000001</v>
      </c>
      <c r="X18" s="6">
        <v>15705.464199999999</v>
      </c>
      <c r="Y18" s="6">
        <v>7955.6342199999999</v>
      </c>
      <c r="Z18" s="6">
        <v>49494.318980000004</v>
      </c>
      <c r="AA18" s="6">
        <v>20606.46444</v>
      </c>
      <c r="AB18" s="6">
        <v>63856.506820000002</v>
      </c>
      <c r="AC18" s="6">
        <v>11984.891250000001</v>
      </c>
      <c r="AD18" s="6">
        <v>9315.4974099999999</v>
      </c>
      <c r="AE18" s="6">
        <v>34082.864639999993</v>
      </c>
      <c r="AF18" s="6">
        <v>74882.385600000009</v>
      </c>
      <c r="AG18" s="6"/>
      <c r="AH18" s="6"/>
      <c r="AI18" s="6">
        <v>854748.89270000008</v>
      </c>
    </row>
    <row r="19" spans="1:35" x14ac:dyDescent="0.25">
      <c r="A19" s="19" t="s">
        <v>650</v>
      </c>
      <c r="B19" s="6">
        <v>47962.717579999997</v>
      </c>
      <c r="C19" s="6">
        <v>3115.3609199999996</v>
      </c>
      <c r="D19" s="6">
        <v>70602.927789999987</v>
      </c>
      <c r="E19" s="6">
        <v>11003.7672</v>
      </c>
      <c r="F19" s="6">
        <v>10946.711730000001</v>
      </c>
      <c r="G19" s="6">
        <v>3799.8031499999997</v>
      </c>
      <c r="H19" s="6">
        <v>36649.808400000002</v>
      </c>
      <c r="I19" s="6">
        <v>667.74</v>
      </c>
      <c r="J19" s="6">
        <v>1030.7574</v>
      </c>
      <c r="K19" s="6">
        <v>38264.510399999999</v>
      </c>
      <c r="L19" s="6"/>
      <c r="M19" s="6">
        <v>16061.972879999999</v>
      </c>
      <c r="N19" s="6"/>
      <c r="O19" s="6">
        <v>66852.128960000002</v>
      </c>
      <c r="P19" s="6">
        <v>4866.3287999999993</v>
      </c>
      <c r="Q19" s="6">
        <v>24447.95865</v>
      </c>
      <c r="R19" s="6">
        <v>13108.78584</v>
      </c>
      <c r="S19" s="6">
        <v>181608.69623999999</v>
      </c>
      <c r="T19" s="6">
        <v>27763.018220000002</v>
      </c>
      <c r="U19" s="6">
        <v>3823.6151599999998</v>
      </c>
      <c r="V19" s="6">
        <v>52863.98113</v>
      </c>
      <c r="W19" s="6">
        <v>50650.005999999994</v>
      </c>
      <c r="X19" s="6">
        <v>123535.74428000001</v>
      </c>
      <c r="Y19" s="6"/>
      <c r="Z19" s="6">
        <v>52609.065839999996</v>
      </c>
      <c r="AA19" s="6">
        <v>15860.782080000001</v>
      </c>
      <c r="AB19" s="6">
        <v>13669.81</v>
      </c>
      <c r="AC19" s="6">
        <v>17731.623</v>
      </c>
      <c r="AD19" s="6">
        <v>4569.8508000000002</v>
      </c>
      <c r="AE19" s="6"/>
      <c r="AF19" s="6">
        <v>17867.219160000001</v>
      </c>
      <c r="AG19" s="6">
        <v>15174.425699999998</v>
      </c>
      <c r="AH19" s="6">
        <v>9050.5052999999989</v>
      </c>
      <c r="AI19" s="6">
        <v>936159.62261000019</v>
      </c>
    </row>
    <row r="20" spans="1:35" x14ac:dyDescent="0.25">
      <c r="A20" s="21">
        <v>44927</v>
      </c>
      <c r="B20" s="6">
        <v>47962.717579999997</v>
      </c>
      <c r="C20" s="6">
        <v>3115.3609199999996</v>
      </c>
      <c r="D20" s="6">
        <v>70602.927789999987</v>
      </c>
      <c r="E20" s="6">
        <v>11003.7672</v>
      </c>
      <c r="F20" s="6">
        <v>10946.711730000001</v>
      </c>
      <c r="G20" s="6">
        <v>3799.8031499999997</v>
      </c>
      <c r="H20" s="6">
        <v>36649.808400000002</v>
      </c>
      <c r="I20" s="6">
        <v>667.74</v>
      </c>
      <c r="J20" s="6">
        <v>1030.7574</v>
      </c>
      <c r="K20" s="6">
        <v>38264.510399999999</v>
      </c>
      <c r="L20" s="6"/>
      <c r="M20" s="6">
        <v>16061.972879999999</v>
      </c>
      <c r="N20" s="6"/>
      <c r="O20" s="6">
        <v>66852.128960000002</v>
      </c>
      <c r="P20" s="6">
        <v>4866.3287999999993</v>
      </c>
      <c r="Q20" s="6">
        <v>24447.95865</v>
      </c>
      <c r="R20" s="6">
        <v>13108.78584</v>
      </c>
      <c r="S20" s="6">
        <v>181608.69623999999</v>
      </c>
      <c r="T20" s="6">
        <v>27763.018220000002</v>
      </c>
      <c r="U20" s="6">
        <v>3823.6151599999998</v>
      </c>
      <c r="V20" s="6">
        <v>52863.98113</v>
      </c>
      <c r="W20" s="6">
        <v>50650.005999999994</v>
      </c>
      <c r="X20" s="6">
        <v>123535.74428000001</v>
      </c>
      <c r="Y20" s="6"/>
      <c r="Z20" s="6">
        <v>52609.065839999996</v>
      </c>
      <c r="AA20" s="6">
        <v>15860.782080000001</v>
      </c>
      <c r="AB20" s="6">
        <v>13669.81</v>
      </c>
      <c r="AC20" s="6">
        <v>17731.623</v>
      </c>
      <c r="AD20" s="6">
        <v>4569.8508000000002</v>
      </c>
      <c r="AE20" s="6"/>
      <c r="AF20" s="6">
        <v>17867.219160000001</v>
      </c>
      <c r="AG20" s="6">
        <v>15174.425699999998</v>
      </c>
      <c r="AH20" s="6">
        <v>9050.5052999999989</v>
      </c>
      <c r="AI20" s="6">
        <v>936159.62261000019</v>
      </c>
    </row>
    <row r="21" spans="1:35" x14ac:dyDescent="0.25">
      <c r="A21" s="19" t="s">
        <v>651</v>
      </c>
      <c r="B21" s="6">
        <v>685.06776000000002</v>
      </c>
      <c r="C21" s="6">
        <v>4737.2198399999997</v>
      </c>
      <c r="D21" s="6"/>
      <c r="E21" s="6">
        <v>32280.32474</v>
      </c>
      <c r="F21" s="6">
        <v>43539.233140000004</v>
      </c>
      <c r="G21" s="6">
        <v>7135.57</v>
      </c>
      <c r="H21" s="6">
        <v>112088.8161</v>
      </c>
      <c r="I21" s="6">
        <v>24833.097520000003</v>
      </c>
      <c r="J21" s="6"/>
      <c r="K21" s="6">
        <v>10786.32144</v>
      </c>
      <c r="L21" s="6"/>
      <c r="M21" s="6">
        <v>27158.894079999998</v>
      </c>
      <c r="N21" s="6"/>
      <c r="O21" s="6"/>
      <c r="P21" s="6">
        <v>28041.02492</v>
      </c>
      <c r="Q21" s="6">
        <v>48850.80702</v>
      </c>
      <c r="R21" s="6">
        <v>68626.652039999986</v>
      </c>
      <c r="S21" s="6">
        <v>15009.056700000001</v>
      </c>
      <c r="T21" s="6"/>
      <c r="U21" s="6"/>
      <c r="V21" s="6">
        <v>2879.9836</v>
      </c>
      <c r="W21" s="6">
        <v>100069.71684000001</v>
      </c>
      <c r="X21" s="6"/>
      <c r="Y21" s="6">
        <v>12967.958640000001</v>
      </c>
      <c r="Z21" s="6"/>
      <c r="AA21" s="6">
        <v>23687.576009999997</v>
      </c>
      <c r="AB21" s="6">
        <v>52727.976460000005</v>
      </c>
      <c r="AC21" s="6">
        <v>40139.874619999995</v>
      </c>
      <c r="AD21" s="6">
        <v>1010.3759200000001</v>
      </c>
      <c r="AE21" s="6">
        <v>55110.619960000004</v>
      </c>
      <c r="AF21" s="6">
        <v>119970.84924</v>
      </c>
      <c r="AG21" s="6">
        <v>49501.660319999995</v>
      </c>
      <c r="AH21" s="6"/>
      <c r="AI21" s="6">
        <v>881838.67691000004</v>
      </c>
    </row>
    <row r="22" spans="1:35" x14ac:dyDescent="0.25">
      <c r="A22" s="21">
        <v>44927</v>
      </c>
      <c r="B22" s="6">
        <v>685.06776000000002</v>
      </c>
      <c r="C22" s="6">
        <v>4737.2198399999997</v>
      </c>
      <c r="D22" s="6"/>
      <c r="E22" s="6">
        <v>32280.32474</v>
      </c>
      <c r="F22" s="6">
        <v>43539.233140000004</v>
      </c>
      <c r="G22" s="6">
        <v>7135.57</v>
      </c>
      <c r="H22" s="6">
        <v>112088.8161</v>
      </c>
      <c r="I22" s="6">
        <v>24833.097520000003</v>
      </c>
      <c r="J22" s="6"/>
      <c r="K22" s="6">
        <v>10786.32144</v>
      </c>
      <c r="L22" s="6"/>
      <c r="M22" s="6">
        <v>27158.894079999998</v>
      </c>
      <c r="N22" s="6"/>
      <c r="O22" s="6"/>
      <c r="P22" s="6">
        <v>28041.02492</v>
      </c>
      <c r="Q22" s="6">
        <v>48850.80702</v>
      </c>
      <c r="R22" s="6">
        <v>68626.652039999986</v>
      </c>
      <c r="S22" s="6">
        <v>15009.056700000001</v>
      </c>
      <c r="T22" s="6"/>
      <c r="U22" s="6"/>
      <c r="V22" s="6">
        <v>2879.9836</v>
      </c>
      <c r="W22" s="6">
        <v>100069.71684000001</v>
      </c>
      <c r="X22" s="6"/>
      <c r="Y22" s="6">
        <v>12967.958640000001</v>
      </c>
      <c r="Z22" s="6"/>
      <c r="AA22" s="6">
        <v>23687.576009999997</v>
      </c>
      <c r="AB22" s="6">
        <v>52727.976460000005</v>
      </c>
      <c r="AC22" s="6">
        <v>40139.874619999995</v>
      </c>
      <c r="AD22" s="6">
        <v>1010.3759200000001</v>
      </c>
      <c r="AE22" s="6">
        <v>55110.619960000004</v>
      </c>
      <c r="AF22" s="6">
        <v>119970.84924</v>
      </c>
      <c r="AG22" s="6">
        <v>49501.660319999995</v>
      </c>
      <c r="AH22" s="6"/>
      <c r="AI22" s="6">
        <v>881838.67691000004</v>
      </c>
    </row>
    <row r="23" spans="1:35" x14ac:dyDescent="0.25">
      <c r="A23" s="19" t="s">
        <v>661</v>
      </c>
      <c r="B23" s="6">
        <v>3116.21</v>
      </c>
      <c r="C23" s="6">
        <v>86597.081299999991</v>
      </c>
      <c r="D23" s="6">
        <v>29618.551199999998</v>
      </c>
      <c r="E23" s="6"/>
      <c r="F23" s="6">
        <v>15187.14126</v>
      </c>
      <c r="G23" s="6"/>
      <c r="H23" s="6">
        <v>78566.392940000005</v>
      </c>
      <c r="I23" s="6">
        <v>58520.369639999997</v>
      </c>
      <c r="J23" s="6"/>
      <c r="K23" s="6">
        <v>434.45248000000004</v>
      </c>
      <c r="L23" s="6">
        <v>12954.358080000002</v>
      </c>
      <c r="M23" s="6">
        <v>79406.784939999983</v>
      </c>
      <c r="N23" s="6">
        <v>54214.972160000005</v>
      </c>
      <c r="O23" s="6"/>
      <c r="P23" s="6">
        <v>4826.5396199999996</v>
      </c>
      <c r="Q23" s="6">
        <v>20171.63305</v>
      </c>
      <c r="R23" s="6">
        <v>14032.850879999998</v>
      </c>
      <c r="S23" s="6">
        <v>39907.476419999999</v>
      </c>
      <c r="T23" s="6"/>
      <c r="U23" s="6">
        <v>27331.829999999998</v>
      </c>
      <c r="V23" s="6">
        <v>12972.00222</v>
      </c>
      <c r="W23" s="6">
        <v>18061.204320000004</v>
      </c>
      <c r="X23" s="6"/>
      <c r="Y23" s="6"/>
      <c r="Z23" s="6">
        <v>6576.298960000001</v>
      </c>
      <c r="AA23" s="6"/>
      <c r="AB23" s="6">
        <v>5565.3272500000003</v>
      </c>
      <c r="AC23" s="6">
        <v>1886.9915999999998</v>
      </c>
      <c r="AD23" s="6">
        <v>31556.187599999997</v>
      </c>
      <c r="AE23" s="6">
        <v>88311.186580000009</v>
      </c>
      <c r="AF23" s="6">
        <v>76636.156479999991</v>
      </c>
      <c r="AG23" s="6"/>
      <c r="AH23" s="6">
        <v>13185.543</v>
      </c>
      <c r="AI23" s="6">
        <v>779637.54197999986</v>
      </c>
    </row>
    <row r="24" spans="1:35" x14ac:dyDescent="0.25">
      <c r="A24" s="21">
        <v>44927</v>
      </c>
      <c r="B24" s="6">
        <v>3116.21</v>
      </c>
      <c r="C24" s="6">
        <v>86597.081299999991</v>
      </c>
      <c r="D24" s="6">
        <v>29618.551199999998</v>
      </c>
      <c r="E24" s="6"/>
      <c r="F24" s="6">
        <v>15187.14126</v>
      </c>
      <c r="G24" s="6"/>
      <c r="H24" s="6">
        <v>78566.392940000005</v>
      </c>
      <c r="I24" s="6">
        <v>58520.369639999997</v>
      </c>
      <c r="J24" s="6"/>
      <c r="K24" s="6">
        <v>434.45248000000004</v>
      </c>
      <c r="L24" s="6">
        <v>12954.358080000002</v>
      </c>
      <c r="M24" s="6">
        <v>79406.784939999983</v>
      </c>
      <c r="N24" s="6">
        <v>54214.972160000005</v>
      </c>
      <c r="O24" s="6"/>
      <c r="P24" s="6">
        <v>4826.5396199999996</v>
      </c>
      <c r="Q24" s="6">
        <v>20171.63305</v>
      </c>
      <c r="R24" s="6">
        <v>14032.850879999998</v>
      </c>
      <c r="S24" s="6">
        <v>39907.476419999999</v>
      </c>
      <c r="T24" s="6"/>
      <c r="U24" s="6">
        <v>27331.829999999998</v>
      </c>
      <c r="V24" s="6">
        <v>12972.00222</v>
      </c>
      <c r="W24" s="6">
        <v>18061.204320000004</v>
      </c>
      <c r="X24" s="6"/>
      <c r="Y24" s="6"/>
      <c r="Z24" s="6">
        <v>6576.298960000001</v>
      </c>
      <c r="AA24" s="6"/>
      <c r="AB24" s="6">
        <v>5565.3272500000003</v>
      </c>
      <c r="AC24" s="6">
        <v>1886.9915999999998</v>
      </c>
      <c r="AD24" s="6">
        <v>31556.187599999997</v>
      </c>
      <c r="AE24" s="6">
        <v>88311.186580000009</v>
      </c>
      <c r="AF24" s="6">
        <v>76636.156479999991</v>
      </c>
      <c r="AG24" s="6"/>
      <c r="AH24" s="6">
        <v>13185.543</v>
      </c>
      <c r="AI24" s="6">
        <v>779637.54197999986</v>
      </c>
    </row>
    <row r="25" spans="1:35" x14ac:dyDescent="0.25">
      <c r="A25" s="19" t="s">
        <v>658</v>
      </c>
      <c r="B25" s="6">
        <v>27965.366600000001</v>
      </c>
      <c r="C25" s="6">
        <v>4132.0325200000007</v>
      </c>
      <c r="D25" s="6">
        <v>16013.681599999998</v>
      </c>
      <c r="E25" s="6">
        <v>66551.125379999983</v>
      </c>
      <c r="F25" s="6">
        <v>19800.88896</v>
      </c>
      <c r="G25" s="6">
        <v>29905.537640000002</v>
      </c>
      <c r="H25" s="6">
        <v>48616.566040000005</v>
      </c>
      <c r="I25" s="6">
        <v>31801.900560000002</v>
      </c>
      <c r="J25" s="6"/>
      <c r="K25" s="6">
        <v>26003.218060000003</v>
      </c>
      <c r="L25" s="6">
        <v>5610.0923999999995</v>
      </c>
      <c r="M25" s="6"/>
      <c r="N25" s="6">
        <v>27424.450400000002</v>
      </c>
      <c r="O25" s="6"/>
      <c r="P25" s="6">
        <v>33938.142760000002</v>
      </c>
      <c r="Q25" s="6">
        <v>20646.6109</v>
      </c>
      <c r="R25" s="6">
        <v>114279.15346</v>
      </c>
      <c r="S25" s="6">
        <v>65319.420119999995</v>
      </c>
      <c r="T25" s="6"/>
      <c r="U25" s="6">
        <v>23687.524440000001</v>
      </c>
      <c r="V25" s="6">
        <v>25249.613219999999</v>
      </c>
      <c r="W25" s="6">
        <v>91431.437760000001</v>
      </c>
      <c r="X25" s="6">
        <v>44605.988639999996</v>
      </c>
      <c r="Y25" s="6">
        <v>61319.075339999996</v>
      </c>
      <c r="Z25" s="6">
        <v>11332.142999999998</v>
      </c>
      <c r="AA25" s="6">
        <v>35720.318400000004</v>
      </c>
      <c r="AB25" s="6">
        <v>21062.61248</v>
      </c>
      <c r="AC25" s="6">
        <v>96832.738060000003</v>
      </c>
      <c r="AD25" s="6">
        <v>39263.702919999996</v>
      </c>
      <c r="AE25" s="6">
        <v>52414.751029999999</v>
      </c>
      <c r="AF25" s="6">
        <v>62736.308879999997</v>
      </c>
      <c r="AG25" s="6">
        <v>853.32276999999988</v>
      </c>
      <c r="AH25" s="6">
        <v>8764.4065599999994</v>
      </c>
      <c r="AI25" s="6">
        <v>1113282.1309</v>
      </c>
    </row>
    <row r="26" spans="1:35" x14ac:dyDescent="0.25">
      <c r="A26" s="21">
        <v>44927</v>
      </c>
      <c r="B26" s="6">
        <v>27965.366600000001</v>
      </c>
      <c r="C26" s="6">
        <v>4132.0325200000007</v>
      </c>
      <c r="D26" s="6">
        <v>16013.681599999998</v>
      </c>
      <c r="E26" s="6">
        <v>66551.125379999983</v>
      </c>
      <c r="F26" s="6">
        <v>19800.88896</v>
      </c>
      <c r="G26" s="6">
        <v>29905.537640000002</v>
      </c>
      <c r="H26" s="6">
        <v>48616.566040000005</v>
      </c>
      <c r="I26" s="6">
        <v>31801.900560000002</v>
      </c>
      <c r="J26" s="6"/>
      <c r="K26" s="6">
        <v>26003.218060000003</v>
      </c>
      <c r="L26" s="6">
        <v>5610.0923999999995</v>
      </c>
      <c r="M26" s="6"/>
      <c r="N26" s="6">
        <v>27424.450400000002</v>
      </c>
      <c r="O26" s="6"/>
      <c r="P26" s="6">
        <v>33938.142760000002</v>
      </c>
      <c r="Q26" s="6">
        <v>20646.6109</v>
      </c>
      <c r="R26" s="6">
        <v>114279.15346</v>
      </c>
      <c r="S26" s="6">
        <v>65319.420119999995</v>
      </c>
      <c r="T26" s="6"/>
      <c r="U26" s="6">
        <v>23687.524440000001</v>
      </c>
      <c r="V26" s="6">
        <v>25249.613219999999</v>
      </c>
      <c r="W26" s="6">
        <v>91431.437760000001</v>
      </c>
      <c r="X26" s="6">
        <v>44605.988639999996</v>
      </c>
      <c r="Y26" s="6">
        <v>61319.075339999996</v>
      </c>
      <c r="Z26" s="6">
        <v>11332.142999999998</v>
      </c>
      <c r="AA26" s="6">
        <v>35720.318400000004</v>
      </c>
      <c r="AB26" s="6">
        <v>21062.61248</v>
      </c>
      <c r="AC26" s="6">
        <v>96832.738060000003</v>
      </c>
      <c r="AD26" s="6">
        <v>39263.702919999996</v>
      </c>
      <c r="AE26" s="6">
        <v>52414.751029999999</v>
      </c>
      <c r="AF26" s="6">
        <v>62736.308879999997</v>
      </c>
      <c r="AG26" s="6">
        <v>853.32276999999988</v>
      </c>
      <c r="AH26" s="6">
        <v>8764.4065599999994</v>
      </c>
      <c r="AI26" s="6">
        <v>1113282.1309</v>
      </c>
    </row>
    <row r="27" spans="1:35" x14ac:dyDescent="0.25">
      <c r="A27" s="19" t="s">
        <v>660</v>
      </c>
      <c r="B27" s="6">
        <v>31035.217859999997</v>
      </c>
      <c r="C27" s="6">
        <v>68738.647320000004</v>
      </c>
      <c r="D27" s="6"/>
      <c r="E27" s="6">
        <v>11375.257759999999</v>
      </c>
      <c r="F27" s="6">
        <v>27431.638109999996</v>
      </c>
      <c r="G27" s="6">
        <v>71887.464219999994</v>
      </c>
      <c r="H27" s="6">
        <v>32086.37586</v>
      </c>
      <c r="I27" s="6">
        <v>25299.040000000001</v>
      </c>
      <c r="J27" s="6">
        <v>14692.623000000001</v>
      </c>
      <c r="K27" s="6">
        <v>5533.6230000000005</v>
      </c>
      <c r="L27" s="6"/>
      <c r="M27" s="6"/>
      <c r="N27" s="6">
        <v>18566.16</v>
      </c>
      <c r="O27" s="6">
        <v>52311.007679999995</v>
      </c>
      <c r="P27" s="6">
        <v>108770.27859</v>
      </c>
      <c r="Q27" s="6"/>
      <c r="R27" s="6">
        <v>53872.641179999999</v>
      </c>
      <c r="S27" s="6"/>
      <c r="T27" s="6">
        <v>25483.91488</v>
      </c>
      <c r="U27" s="6">
        <v>97443.477979999996</v>
      </c>
      <c r="V27" s="6">
        <v>12186.368600000002</v>
      </c>
      <c r="W27" s="6">
        <v>16023.123</v>
      </c>
      <c r="X27" s="6"/>
      <c r="Y27" s="6">
        <v>12031.491680000001</v>
      </c>
      <c r="Z27" s="6">
        <v>4654.7743</v>
      </c>
      <c r="AA27" s="6">
        <v>9984.7160999999978</v>
      </c>
      <c r="AB27" s="6"/>
      <c r="AC27" s="6">
        <v>38240.697249999997</v>
      </c>
      <c r="AD27" s="6">
        <v>3644.3212800000006</v>
      </c>
      <c r="AE27" s="6"/>
      <c r="AF27" s="6"/>
      <c r="AG27" s="6">
        <v>27401.727929999997</v>
      </c>
      <c r="AH27" s="6"/>
      <c r="AI27" s="6">
        <v>768694.58758000005</v>
      </c>
    </row>
    <row r="28" spans="1:35" x14ac:dyDescent="0.25">
      <c r="A28" s="21">
        <v>44927</v>
      </c>
      <c r="B28" s="6">
        <v>31035.217859999997</v>
      </c>
      <c r="C28" s="6">
        <v>68738.647320000004</v>
      </c>
      <c r="D28" s="6"/>
      <c r="E28" s="6">
        <v>11375.257759999999</v>
      </c>
      <c r="F28" s="6">
        <v>27431.638109999996</v>
      </c>
      <c r="G28" s="6">
        <v>71887.464219999994</v>
      </c>
      <c r="H28" s="6">
        <v>32086.37586</v>
      </c>
      <c r="I28" s="6">
        <v>25299.040000000001</v>
      </c>
      <c r="J28" s="6">
        <v>14692.623000000001</v>
      </c>
      <c r="K28" s="6">
        <v>5533.6230000000005</v>
      </c>
      <c r="L28" s="6"/>
      <c r="M28" s="6"/>
      <c r="N28" s="6">
        <v>18566.16</v>
      </c>
      <c r="O28" s="6">
        <v>52311.007679999995</v>
      </c>
      <c r="P28" s="6">
        <v>108770.27859</v>
      </c>
      <c r="Q28" s="6"/>
      <c r="R28" s="6">
        <v>53872.641179999999</v>
      </c>
      <c r="S28" s="6"/>
      <c r="T28" s="6">
        <v>25483.91488</v>
      </c>
      <c r="U28" s="6">
        <v>97443.477979999996</v>
      </c>
      <c r="V28" s="6">
        <v>12186.368600000002</v>
      </c>
      <c r="W28" s="6">
        <v>16023.123</v>
      </c>
      <c r="X28" s="6"/>
      <c r="Y28" s="6">
        <v>12031.491680000001</v>
      </c>
      <c r="Z28" s="6">
        <v>4654.7743</v>
      </c>
      <c r="AA28" s="6">
        <v>9984.7160999999978</v>
      </c>
      <c r="AB28" s="6"/>
      <c r="AC28" s="6">
        <v>38240.697249999997</v>
      </c>
      <c r="AD28" s="6">
        <v>3644.3212800000006</v>
      </c>
      <c r="AE28" s="6"/>
      <c r="AF28" s="6"/>
      <c r="AG28" s="6">
        <v>27401.727929999997</v>
      </c>
      <c r="AH28" s="6"/>
      <c r="AI28" s="6">
        <v>768694.58758000005</v>
      </c>
    </row>
    <row r="29" spans="1:35" x14ac:dyDescent="0.25">
      <c r="A29" s="19" t="s">
        <v>1432</v>
      </c>
      <c r="B29" s="6">
        <v>209667.57587</v>
      </c>
      <c r="C29" s="6">
        <v>454985.55374</v>
      </c>
      <c r="D29" s="6">
        <v>193614.18257999996</v>
      </c>
      <c r="E29" s="6">
        <v>355010.75193000003</v>
      </c>
      <c r="F29" s="6">
        <v>492982.13563000003</v>
      </c>
      <c r="G29" s="6">
        <v>231870.97912999999</v>
      </c>
      <c r="H29" s="6">
        <v>549451.47473999998</v>
      </c>
      <c r="I29" s="6">
        <v>353572.41878999997</v>
      </c>
      <c r="J29" s="6">
        <v>124404.38004000002</v>
      </c>
      <c r="K29" s="6">
        <v>265829.88692000002</v>
      </c>
      <c r="L29" s="6">
        <v>179851.56453999999</v>
      </c>
      <c r="M29" s="6">
        <v>358847.90777999995</v>
      </c>
      <c r="N29" s="6">
        <v>231989.70666000003</v>
      </c>
      <c r="O29" s="6">
        <v>292650.79401999997</v>
      </c>
      <c r="P29" s="6">
        <v>388477.85696</v>
      </c>
      <c r="Q29" s="6">
        <v>308172.40139000001</v>
      </c>
      <c r="R29" s="6">
        <v>426147.70281999995</v>
      </c>
      <c r="S29" s="6">
        <v>648427.69962999993</v>
      </c>
      <c r="T29" s="6">
        <v>302761.49174000003</v>
      </c>
      <c r="U29" s="6">
        <v>330961.29411999998</v>
      </c>
      <c r="V29" s="6">
        <v>297030.48206000001</v>
      </c>
      <c r="W29" s="6">
        <v>405757.74621000007</v>
      </c>
      <c r="X29" s="6">
        <v>432649.64974999998</v>
      </c>
      <c r="Y29" s="6">
        <v>343693.34921999997</v>
      </c>
      <c r="Z29" s="6">
        <v>257287.05510000003</v>
      </c>
      <c r="AA29" s="6">
        <v>234259.32809</v>
      </c>
      <c r="AB29" s="6">
        <v>223463.70860000001</v>
      </c>
      <c r="AC29" s="6">
        <v>327513.59430999996</v>
      </c>
      <c r="AD29" s="6">
        <v>320744.77324999991</v>
      </c>
      <c r="AE29" s="6">
        <v>404107.34934999997</v>
      </c>
      <c r="AF29" s="6">
        <v>552537.72167</v>
      </c>
      <c r="AG29" s="6">
        <v>332725.85785999999</v>
      </c>
      <c r="AH29" s="6">
        <v>97397.342000000019</v>
      </c>
      <c r="AI29" s="6">
        <v>10928845.716499999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641"/>
  <sheetViews>
    <sheetView workbookViewId="0">
      <selection activeCell="G3" sqref="G3"/>
    </sheetView>
  </sheetViews>
  <sheetFormatPr defaultRowHeight="15" x14ac:dyDescent="0.25"/>
  <cols>
    <col min="1" max="1" width="14.140625" bestFit="1" customWidth="1"/>
    <col min="2" max="2" width="20.7109375" bestFit="1" customWidth="1"/>
    <col min="3" max="3" width="12.28515625" bestFit="1" customWidth="1"/>
    <col min="4" max="4" width="19.7109375" bestFit="1" customWidth="1"/>
    <col min="6" max="6" width="12.28515625" bestFit="1" customWidth="1"/>
  </cols>
  <sheetData>
    <row r="3" spans="1:6" x14ac:dyDescent="0.25">
      <c r="A3" s="18" t="s">
        <v>1431</v>
      </c>
      <c r="B3" t="s">
        <v>1434</v>
      </c>
      <c r="C3" t="s">
        <v>1439</v>
      </c>
      <c r="D3" t="s">
        <v>1440</v>
      </c>
      <c r="F3" s="23" t="s">
        <v>1441</v>
      </c>
    </row>
    <row r="4" spans="1:6" x14ac:dyDescent="0.25">
      <c r="A4" s="19" t="s">
        <v>729</v>
      </c>
      <c r="B4" s="6">
        <v>1774358.6154200004</v>
      </c>
      <c r="C4" s="11">
        <v>0.16235553702996594</v>
      </c>
      <c r="D4" s="11"/>
      <c r="F4" t="str">
        <f>IF(D4="","",IF(D4&lt;=0.8,"A",IF(D4&lt;=0.95,"B","C")))</f>
        <v/>
      </c>
    </row>
    <row r="5" spans="1:6" x14ac:dyDescent="0.25">
      <c r="A5" s="22" t="s">
        <v>1230</v>
      </c>
      <c r="B5" s="6">
        <v>25249.613219999999</v>
      </c>
      <c r="C5" s="11">
        <v>1.4230276225205623E-2</v>
      </c>
      <c r="D5" s="11">
        <v>1.4230276225205623E-2</v>
      </c>
      <c r="F5" t="str">
        <f t="shared" ref="F5:F68" si="0">IF(D5="","",IF(D5&lt;=0.8,"A",IF(D5&lt;=0.95,"B","C")))</f>
        <v>A</v>
      </c>
    </row>
    <row r="6" spans="1:6" x14ac:dyDescent="0.25">
      <c r="A6" s="22" t="s">
        <v>1045</v>
      </c>
      <c r="B6" s="6">
        <v>879.05840000000001</v>
      </c>
      <c r="C6" s="11">
        <v>4.9542318692544695E-4</v>
      </c>
      <c r="D6" s="11">
        <v>1.4725699412131071E-2</v>
      </c>
      <c r="F6" t="str">
        <f t="shared" si="0"/>
        <v>A</v>
      </c>
    </row>
    <row r="7" spans="1:6" x14ac:dyDescent="0.25">
      <c r="A7" s="22" t="s">
        <v>1229</v>
      </c>
      <c r="B7" s="6">
        <v>30692.47896</v>
      </c>
      <c r="C7" s="11">
        <v>1.72977878841786E-2</v>
      </c>
      <c r="D7" s="11">
        <v>3.2023487296309674E-2</v>
      </c>
      <c r="F7" t="str">
        <f t="shared" si="0"/>
        <v>A</v>
      </c>
    </row>
    <row r="8" spans="1:6" x14ac:dyDescent="0.25">
      <c r="A8" s="22" t="s">
        <v>1324</v>
      </c>
      <c r="B8" s="6">
        <v>51768.181920000003</v>
      </c>
      <c r="C8" s="11">
        <v>2.9175715365603358E-2</v>
      </c>
      <c r="D8" s="11">
        <v>6.1199202661913026E-2</v>
      </c>
      <c r="F8" t="str">
        <f t="shared" si="0"/>
        <v>A</v>
      </c>
    </row>
    <row r="9" spans="1:6" x14ac:dyDescent="0.25">
      <c r="A9" s="22" t="s">
        <v>1114</v>
      </c>
      <c r="B9" s="6">
        <v>12881.097599999999</v>
      </c>
      <c r="C9" s="11">
        <v>7.2595795957239306E-3</v>
      </c>
      <c r="D9" s="11">
        <v>6.8458782257636949E-2</v>
      </c>
      <c r="F9" t="str">
        <f t="shared" si="0"/>
        <v>A</v>
      </c>
    </row>
    <row r="10" spans="1:6" x14ac:dyDescent="0.25">
      <c r="A10" s="22" t="s">
        <v>775</v>
      </c>
      <c r="B10" s="6">
        <v>10558.74</v>
      </c>
      <c r="C10" s="11">
        <v>5.9507361748857559E-3</v>
      </c>
      <c r="D10" s="11">
        <v>7.4409518432522706E-2</v>
      </c>
      <c r="F10" t="str">
        <f t="shared" si="0"/>
        <v>A</v>
      </c>
    </row>
    <row r="11" spans="1:6" x14ac:dyDescent="0.25">
      <c r="A11" s="22" t="s">
        <v>957</v>
      </c>
      <c r="B11" s="6">
        <v>66988.771199999988</v>
      </c>
      <c r="C11" s="11">
        <v>3.7753794874292299E-2</v>
      </c>
      <c r="D11" s="11">
        <v>0.112163313306815</v>
      </c>
      <c r="F11" t="str">
        <f t="shared" si="0"/>
        <v>A</v>
      </c>
    </row>
    <row r="12" spans="1:6" x14ac:dyDescent="0.25">
      <c r="A12" s="22" t="s">
        <v>960</v>
      </c>
      <c r="B12" s="6">
        <v>30479.418970000002</v>
      </c>
      <c r="C12" s="11">
        <v>1.7177710697893703E-2</v>
      </c>
      <c r="D12" s="11">
        <v>0.1293410240047087</v>
      </c>
      <c r="F12" t="str">
        <f t="shared" si="0"/>
        <v>A</v>
      </c>
    </row>
    <row r="13" spans="1:6" x14ac:dyDescent="0.25">
      <c r="A13" s="22" t="s">
        <v>1036</v>
      </c>
      <c r="B13" s="6">
        <v>39686.4182</v>
      </c>
      <c r="C13" s="11">
        <v>2.236662749858264E-2</v>
      </c>
      <c r="D13" s="11">
        <v>0.15170765150329135</v>
      </c>
      <c r="F13" t="str">
        <f t="shared" si="0"/>
        <v>A</v>
      </c>
    </row>
    <row r="14" spans="1:6" x14ac:dyDescent="0.25">
      <c r="A14" s="22" t="s">
        <v>832</v>
      </c>
      <c r="B14" s="6">
        <v>5328.4890400000004</v>
      </c>
      <c r="C14" s="11">
        <v>3.0030507889966299E-3</v>
      </c>
      <c r="D14" s="11">
        <v>0.15471070229228798</v>
      </c>
      <c r="F14" t="str">
        <f t="shared" si="0"/>
        <v>A</v>
      </c>
    </row>
    <row r="15" spans="1:6" x14ac:dyDescent="0.25">
      <c r="A15" s="22" t="s">
        <v>1075</v>
      </c>
      <c r="B15" s="6">
        <v>1115.1975999999997</v>
      </c>
      <c r="C15" s="11">
        <v>6.2850744506122642E-4</v>
      </c>
      <c r="D15" s="11">
        <v>0.15533920973734922</v>
      </c>
      <c r="F15" t="str">
        <f t="shared" si="0"/>
        <v>A</v>
      </c>
    </row>
    <row r="16" spans="1:6" x14ac:dyDescent="0.25">
      <c r="A16" s="22" t="s">
        <v>807</v>
      </c>
      <c r="B16" s="6">
        <v>9373.460219999999</v>
      </c>
      <c r="C16" s="11">
        <v>5.2827315394646133E-3</v>
      </c>
      <c r="D16" s="11">
        <v>0.16062194127681384</v>
      </c>
      <c r="F16" t="str">
        <f t="shared" si="0"/>
        <v>A</v>
      </c>
    </row>
    <row r="17" spans="1:6" x14ac:dyDescent="0.25">
      <c r="A17" s="22" t="s">
        <v>1213</v>
      </c>
      <c r="B17" s="6">
        <v>40488.792960000006</v>
      </c>
      <c r="C17" s="11">
        <v>2.2818833018383992E-2</v>
      </c>
      <c r="D17" s="11">
        <v>0.18344077429519781</v>
      </c>
      <c r="F17" t="str">
        <f t="shared" si="0"/>
        <v>A</v>
      </c>
    </row>
    <row r="18" spans="1:6" x14ac:dyDescent="0.25">
      <c r="A18" s="22" t="s">
        <v>824</v>
      </c>
      <c r="B18" s="6">
        <v>8324.8326000000015</v>
      </c>
      <c r="C18" s="11">
        <v>4.6917418652877383E-3</v>
      </c>
      <c r="D18" s="11">
        <v>0.18813251616048557</v>
      </c>
      <c r="F18" t="str">
        <f t="shared" si="0"/>
        <v>A</v>
      </c>
    </row>
    <row r="19" spans="1:6" x14ac:dyDescent="0.25">
      <c r="A19" s="22" t="s">
        <v>779</v>
      </c>
      <c r="B19" s="6">
        <v>32506.559399999998</v>
      </c>
      <c r="C19" s="11">
        <v>1.8320174466143934E-2</v>
      </c>
      <c r="D19" s="11">
        <v>0.20645269062662949</v>
      </c>
      <c r="F19" t="str">
        <f t="shared" si="0"/>
        <v>A</v>
      </c>
    </row>
    <row r="20" spans="1:6" x14ac:dyDescent="0.25">
      <c r="A20" s="22" t="s">
        <v>781</v>
      </c>
      <c r="B20" s="6">
        <v>109244</v>
      </c>
      <c r="C20" s="11">
        <v>6.1568162743776203E-2</v>
      </c>
      <c r="D20" s="11">
        <v>0.26802085337040571</v>
      </c>
      <c r="F20" t="str">
        <f t="shared" si="0"/>
        <v>A</v>
      </c>
    </row>
    <row r="21" spans="1:6" x14ac:dyDescent="0.25">
      <c r="A21" s="22" t="s">
        <v>878</v>
      </c>
      <c r="B21" s="6">
        <v>25672.127039999999</v>
      </c>
      <c r="C21" s="11">
        <v>1.446839822395388E-2</v>
      </c>
      <c r="D21" s="11">
        <v>0.28248925159435956</v>
      </c>
      <c r="F21" t="str">
        <f t="shared" si="0"/>
        <v>A</v>
      </c>
    </row>
    <row r="22" spans="1:6" x14ac:dyDescent="0.25">
      <c r="A22" s="22" t="s">
        <v>991</v>
      </c>
      <c r="B22" s="6">
        <v>2394.1605599999998</v>
      </c>
      <c r="C22" s="11">
        <v>1.3493104151514992E-3</v>
      </c>
      <c r="D22" s="11">
        <v>0.28383856200951108</v>
      </c>
      <c r="F22" t="str">
        <f t="shared" si="0"/>
        <v>A</v>
      </c>
    </row>
    <row r="23" spans="1:6" x14ac:dyDescent="0.25">
      <c r="A23" s="22" t="s">
        <v>1357</v>
      </c>
      <c r="B23" s="6">
        <v>32704.386400000003</v>
      </c>
      <c r="C23" s="11">
        <v>1.8431666584073646E-2</v>
      </c>
      <c r="D23" s="11">
        <v>0.30227022859358471</v>
      </c>
      <c r="F23" t="str">
        <f t="shared" si="0"/>
        <v>A</v>
      </c>
    </row>
    <row r="24" spans="1:6" x14ac:dyDescent="0.25">
      <c r="A24" s="22" t="s">
        <v>1172</v>
      </c>
      <c r="B24" s="6">
        <v>2795.6384399999997</v>
      </c>
      <c r="C24" s="11">
        <v>1.5755768961835581E-3</v>
      </c>
      <c r="D24" s="11">
        <v>0.30384580548976825</v>
      </c>
      <c r="F24" t="str">
        <f t="shared" si="0"/>
        <v>A</v>
      </c>
    </row>
    <row r="25" spans="1:6" x14ac:dyDescent="0.25">
      <c r="A25" s="22" t="s">
        <v>1296</v>
      </c>
      <c r="B25" s="6">
        <v>10166.535600000001</v>
      </c>
      <c r="C25" s="11">
        <v>5.7296960781479493E-3</v>
      </c>
      <c r="D25" s="11">
        <v>0.30957550156791619</v>
      </c>
      <c r="F25" t="str">
        <f t="shared" si="0"/>
        <v>A</v>
      </c>
    </row>
    <row r="26" spans="1:6" x14ac:dyDescent="0.25">
      <c r="A26" s="22" t="s">
        <v>982</v>
      </c>
      <c r="B26" s="6">
        <v>3592.04</v>
      </c>
      <c r="C26" s="11">
        <v>2.0244160164599786E-3</v>
      </c>
      <c r="D26" s="11">
        <v>0.31159991758437622</v>
      </c>
      <c r="F26" t="str">
        <f t="shared" si="0"/>
        <v>A</v>
      </c>
    </row>
    <row r="27" spans="1:6" x14ac:dyDescent="0.25">
      <c r="A27" s="22" t="s">
        <v>1217</v>
      </c>
      <c r="B27" s="6">
        <v>21908.731650000002</v>
      </c>
      <c r="C27" s="11">
        <v>1.2347409063535944E-2</v>
      </c>
      <c r="D27" s="11">
        <v>0.32394732664791209</v>
      </c>
      <c r="F27" t="str">
        <f t="shared" si="0"/>
        <v>A</v>
      </c>
    </row>
    <row r="28" spans="1:6" x14ac:dyDescent="0.25">
      <c r="A28" s="22" t="s">
        <v>1311</v>
      </c>
      <c r="B28" s="6">
        <v>4280.6786400000001</v>
      </c>
      <c r="C28" s="11">
        <v>2.4125216868782413E-3</v>
      </c>
      <c r="D28" s="11">
        <v>0.32635984833479037</v>
      </c>
      <c r="F28" t="str">
        <f t="shared" si="0"/>
        <v>A</v>
      </c>
    </row>
    <row r="29" spans="1:6" x14ac:dyDescent="0.25">
      <c r="A29" s="22" t="s">
        <v>848</v>
      </c>
      <c r="B29" s="6">
        <v>1499.22</v>
      </c>
      <c r="C29" s="11">
        <v>8.4493629809164958E-4</v>
      </c>
      <c r="D29" s="11">
        <v>0.32720478463288205</v>
      </c>
      <c r="F29" t="str">
        <f t="shared" si="0"/>
        <v>A</v>
      </c>
    </row>
    <row r="30" spans="1:6" x14ac:dyDescent="0.25">
      <c r="A30" s="22" t="s">
        <v>755</v>
      </c>
      <c r="B30" s="6">
        <v>19903.585040000002</v>
      </c>
      <c r="C30" s="11">
        <v>1.1217340658775856E-2</v>
      </c>
      <c r="D30" s="11">
        <v>0.33842212529165788</v>
      </c>
      <c r="F30" t="str">
        <f t="shared" si="0"/>
        <v>A</v>
      </c>
    </row>
    <row r="31" spans="1:6" x14ac:dyDescent="0.25">
      <c r="A31" s="22" t="s">
        <v>1133</v>
      </c>
      <c r="B31" s="6">
        <v>17731.623</v>
      </c>
      <c r="C31" s="11">
        <v>9.9932577585522802E-3</v>
      </c>
      <c r="D31" s="11">
        <v>0.34841538305021019</v>
      </c>
      <c r="F31" t="str">
        <f t="shared" si="0"/>
        <v>A</v>
      </c>
    </row>
    <row r="32" spans="1:6" x14ac:dyDescent="0.25">
      <c r="A32" s="22" t="s">
        <v>932</v>
      </c>
      <c r="B32" s="6">
        <v>8349.2224200000001</v>
      </c>
      <c r="C32" s="11">
        <v>4.7054875758718558E-3</v>
      </c>
      <c r="D32" s="11">
        <v>0.35312087062608205</v>
      </c>
      <c r="F32" t="str">
        <f t="shared" si="0"/>
        <v>A</v>
      </c>
    </row>
    <row r="33" spans="1:6" x14ac:dyDescent="0.25">
      <c r="A33" s="22" t="s">
        <v>1110</v>
      </c>
      <c r="B33" s="6">
        <v>43553.493060000001</v>
      </c>
      <c r="C33" s="11">
        <v>2.4546048742063706E-2</v>
      </c>
      <c r="D33" s="11">
        <v>0.37766691936814578</v>
      </c>
      <c r="F33" t="str">
        <f t="shared" si="0"/>
        <v>A</v>
      </c>
    </row>
    <row r="34" spans="1:6" x14ac:dyDescent="0.25">
      <c r="A34" s="22" t="s">
        <v>1309</v>
      </c>
      <c r="B34" s="6">
        <v>13882.6016</v>
      </c>
      <c r="C34" s="11">
        <v>7.824011154990736E-3</v>
      </c>
      <c r="D34" s="11">
        <v>0.38549093052313654</v>
      </c>
      <c r="F34" t="str">
        <f t="shared" si="0"/>
        <v>A</v>
      </c>
    </row>
    <row r="35" spans="1:6" x14ac:dyDescent="0.25">
      <c r="A35" s="22" t="s">
        <v>1240</v>
      </c>
      <c r="B35" s="6">
        <v>15323.926799999999</v>
      </c>
      <c r="C35" s="11">
        <v>8.6363188742275433E-3</v>
      </c>
      <c r="D35" s="11">
        <v>0.3941272493973641</v>
      </c>
      <c r="F35" t="str">
        <f t="shared" si="0"/>
        <v>A</v>
      </c>
    </row>
    <row r="36" spans="1:6" x14ac:dyDescent="0.25">
      <c r="A36" s="22" t="s">
        <v>1041</v>
      </c>
      <c r="B36" s="6">
        <v>3644.3212800000006</v>
      </c>
      <c r="C36" s="11">
        <v>2.0538809056574901E-3</v>
      </c>
      <c r="D36" s="11">
        <v>0.3961811303030216</v>
      </c>
      <c r="F36" t="str">
        <f t="shared" si="0"/>
        <v>A</v>
      </c>
    </row>
    <row r="37" spans="1:6" x14ac:dyDescent="0.25">
      <c r="A37" s="22" t="s">
        <v>1308</v>
      </c>
      <c r="B37" s="6">
        <v>12091.190399999999</v>
      </c>
      <c r="C37" s="11">
        <v>6.8144005923728946E-3</v>
      </c>
      <c r="D37" s="11">
        <v>0.40299553089539447</v>
      </c>
      <c r="F37" t="str">
        <f t="shared" si="0"/>
        <v>A</v>
      </c>
    </row>
    <row r="38" spans="1:6" x14ac:dyDescent="0.25">
      <c r="A38" s="22" t="s">
        <v>1116</v>
      </c>
      <c r="B38" s="6">
        <v>47693.373</v>
      </c>
      <c r="C38" s="11">
        <v>2.6879218544392569E-2</v>
      </c>
      <c r="D38" s="11">
        <v>0.42987474943978704</v>
      </c>
      <c r="F38" t="str">
        <f t="shared" si="0"/>
        <v>A</v>
      </c>
    </row>
    <row r="39" spans="1:6" x14ac:dyDescent="0.25">
      <c r="A39" s="22" t="s">
        <v>1091</v>
      </c>
      <c r="B39" s="6">
        <v>49336.511399999996</v>
      </c>
      <c r="C39" s="11">
        <v>2.7805264939817012E-2</v>
      </c>
      <c r="D39" s="11">
        <v>0.45768001437960404</v>
      </c>
      <c r="F39" t="str">
        <f t="shared" si="0"/>
        <v>A</v>
      </c>
    </row>
    <row r="40" spans="1:6" x14ac:dyDescent="0.25">
      <c r="A40" s="22" t="s">
        <v>1051</v>
      </c>
      <c r="B40" s="6">
        <v>16306.59375</v>
      </c>
      <c r="C40" s="11">
        <v>9.1901341748438711E-3</v>
      </c>
      <c r="D40" s="11">
        <v>0.46687014855444792</v>
      </c>
      <c r="F40" t="str">
        <f t="shared" si="0"/>
        <v>A</v>
      </c>
    </row>
    <row r="41" spans="1:6" x14ac:dyDescent="0.25">
      <c r="A41" s="22" t="s">
        <v>863</v>
      </c>
      <c r="B41" s="6">
        <v>16071.44868</v>
      </c>
      <c r="C41" s="11">
        <v>9.0576101923994651E-3</v>
      </c>
      <c r="D41" s="11">
        <v>0.4759277587468474</v>
      </c>
      <c r="F41" t="str">
        <f t="shared" si="0"/>
        <v>A</v>
      </c>
    </row>
    <row r="42" spans="1:6" x14ac:dyDescent="0.25">
      <c r="A42" s="22" t="s">
        <v>1251</v>
      </c>
      <c r="B42" s="6">
        <v>9807.7842799999999</v>
      </c>
      <c r="C42" s="11">
        <v>5.5275095996749467E-3</v>
      </c>
      <c r="D42" s="11">
        <v>0.48145526834652236</v>
      </c>
      <c r="F42" t="str">
        <f t="shared" si="0"/>
        <v>A</v>
      </c>
    </row>
    <row r="43" spans="1:6" x14ac:dyDescent="0.25">
      <c r="A43" s="22" t="s">
        <v>846</v>
      </c>
      <c r="B43" s="6">
        <v>34.689059999999998</v>
      </c>
      <c r="C43" s="11">
        <v>1.9550196729418706E-5</v>
      </c>
      <c r="D43" s="11">
        <v>0.48147481854325175</v>
      </c>
      <c r="F43" t="str">
        <f t="shared" si="0"/>
        <v>A</v>
      </c>
    </row>
    <row r="44" spans="1:6" x14ac:dyDescent="0.25">
      <c r="A44" s="22" t="s">
        <v>1282</v>
      </c>
      <c r="B44" s="6">
        <v>29673.454499999993</v>
      </c>
      <c r="C44" s="11">
        <v>1.6723482075226448E-2</v>
      </c>
      <c r="D44" s="11">
        <v>0.4981983006184782</v>
      </c>
      <c r="F44" t="str">
        <f t="shared" si="0"/>
        <v>A</v>
      </c>
    </row>
    <row r="45" spans="1:6" x14ac:dyDescent="0.25">
      <c r="A45" s="22" t="s">
        <v>1055</v>
      </c>
      <c r="B45" s="6">
        <v>7493.1076000000012</v>
      </c>
      <c r="C45" s="11">
        <v>4.2229950219089965E-3</v>
      </c>
      <c r="D45" s="11">
        <v>0.50242129564038718</v>
      </c>
      <c r="F45" t="str">
        <f t="shared" si="0"/>
        <v>A</v>
      </c>
    </row>
    <row r="46" spans="1:6" x14ac:dyDescent="0.25">
      <c r="A46" s="22" t="s">
        <v>1354</v>
      </c>
      <c r="B46" s="6">
        <v>30229.994880000002</v>
      </c>
      <c r="C46" s="11">
        <v>1.7037139289254894E-2</v>
      </c>
      <c r="D46" s="11">
        <v>0.51945843492964205</v>
      </c>
      <c r="F46" t="str">
        <f t="shared" si="0"/>
        <v>A</v>
      </c>
    </row>
    <row r="47" spans="1:6" x14ac:dyDescent="0.25">
      <c r="A47" s="22" t="s">
        <v>1356</v>
      </c>
      <c r="B47" s="6">
        <v>50090.397499999999</v>
      </c>
      <c r="C47" s="11">
        <v>2.8230143030101799E-2</v>
      </c>
      <c r="D47" s="11">
        <v>0.54768857795974391</v>
      </c>
      <c r="F47" t="str">
        <f t="shared" si="0"/>
        <v>A</v>
      </c>
    </row>
    <row r="48" spans="1:6" x14ac:dyDescent="0.25">
      <c r="A48" s="22" t="s">
        <v>814</v>
      </c>
      <c r="B48" s="6">
        <v>60292.805299999993</v>
      </c>
      <c r="C48" s="11">
        <v>3.3980056103668964E-2</v>
      </c>
      <c r="D48" s="11">
        <v>0.58166863406341285</v>
      </c>
      <c r="F48" t="str">
        <f t="shared" si="0"/>
        <v>A</v>
      </c>
    </row>
    <row r="49" spans="1:6" x14ac:dyDescent="0.25">
      <c r="A49" s="22" t="s">
        <v>1056</v>
      </c>
      <c r="B49" s="6">
        <v>39546.774539999999</v>
      </c>
      <c r="C49" s="11">
        <v>2.2287926576014659E-2</v>
      </c>
      <c r="D49" s="11">
        <v>0.60395656063942749</v>
      </c>
      <c r="F49" t="str">
        <f t="shared" si="0"/>
        <v>A</v>
      </c>
    </row>
    <row r="50" spans="1:6" x14ac:dyDescent="0.25">
      <c r="A50" s="22" t="s">
        <v>1277</v>
      </c>
      <c r="B50" s="6">
        <v>10792.637119999999</v>
      </c>
      <c r="C50" s="11">
        <v>6.082556832765919E-3</v>
      </c>
      <c r="D50" s="11">
        <v>0.61003911747219353</v>
      </c>
      <c r="F50" t="str">
        <f t="shared" si="0"/>
        <v>A</v>
      </c>
    </row>
    <row r="51" spans="1:6" x14ac:dyDescent="0.25">
      <c r="A51" s="22" t="s">
        <v>782</v>
      </c>
      <c r="B51" s="6">
        <v>35621.302319999995</v>
      </c>
      <c r="C51" s="11">
        <v>2.007559351893937E-2</v>
      </c>
      <c r="D51" s="11">
        <v>0.63011471099113292</v>
      </c>
      <c r="F51" t="str">
        <f t="shared" si="0"/>
        <v>A</v>
      </c>
    </row>
    <row r="52" spans="1:6" x14ac:dyDescent="0.25">
      <c r="A52" s="22" t="s">
        <v>1196</v>
      </c>
      <c r="B52" s="6">
        <v>1886.9915999999998</v>
      </c>
      <c r="C52" s="11">
        <v>1.0634781399888199E-3</v>
      </c>
      <c r="D52" s="11">
        <v>0.63117818913112178</v>
      </c>
      <c r="F52" t="str">
        <f t="shared" si="0"/>
        <v>A</v>
      </c>
    </row>
    <row r="53" spans="1:6" x14ac:dyDescent="0.25">
      <c r="A53" s="22" t="s">
        <v>1346</v>
      </c>
      <c r="B53" s="6">
        <v>18500.693520000001</v>
      </c>
      <c r="C53" s="11">
        <v>1.0426693543920819E-2</v>
      </c>
      <c r="D53" s="11">
        <v>0.64160488267504256</v>
      </c>
      <c r="F53" t="str">
        <f t="shared" si="0"/>
        <v>A</v>
      </c>
    </row>
    <row r="54" spans="1:6" x14ac:dyDescent="0.25">
      <c r="A54" s="22" t="s">
        <v>1113</v>
      </c>
      <c r="B54" s="6">
        <v>33200.038079999998</v>
      </c>
      <c r="C54" s="11">
        <v>1.8711007905322097E-2</v>
      </c>
      <c r="D54" s="11">
        <v>0.66031589058036466</v>
      </c>
      <c r="F54" t="str">
        <f t="shared" si="0"/>
        <v>A</v>
      </c>
    </row>
    <row r="55" spans="1:6" x14ac:dyDescent="0.25">
      <c r="A55" s="22" t="s">
        <v>1010</v>
      </c>
      <c r="B55" s="6">
        <v>79548.755999999994</v>
      </c>
      <c r="C55" s="11">
        <v>4.483240045652799E-2</v>
      </c>
      <c r="D55" s="11">
        <v>0.70514829103689269</v>
      </c>
      <c r="F55" t="str">
        <f t="shared" si="0"/>
        <v>A</v>
      </c>
    </row>
    <row r="56" spans="1:6" x14ac:dyDescent="0.25">
      <c r="A56" s="22" t="s">
        <v>928</v>
      </c>
      <c r="B56" s="6">
        <v>3928.3797600000003</v>
      </c>
      <c r="C56" s="11">
        <v>2.2139716998923194E-3</v>
      </c>
      <c r="D56" s="11">
        <v>0.70736226273678493</v>
      </c>
      <c r="F56" t="str">
        <f t="shared" si="0"/>
        <v>A</v>
      </c>
    </row>
    <row r="57" spans="1:6" x14ac:dyDescent="0.25">
      <c r="A57" s="22" t="s">
        <v>1345</v>
      </c>
      <c r="B57" s="6">
        <v>82141.339799999987</v>
      </c>
      <c r="C57" s="11">
        <v>4.6293539020891041E-2</v>
      </c>
      <c r="D57" s="11">
        <v>0.75365580175767599</v>
      </c>
      <c r="F57" t="str">
        <f t="shared" si="0"/>
        <v>A</v>
      </c>
    </row>
    <row r="58" spans="1:6" x14ac:dyDescent="0.25">
      <c r="A58" s="22" t="s">
        <v>1200</v>
      </c>
      <c r="B58" s="6">
        <v>14261.92439</v>
      </c>
      <c r="C58" s="11">
        <v>8.0377913833524148E-3</v>
      </c>
      <c r="D58" s="11">
        <v>0.76169359314102847</v>
      </c>
      <c r="F58" t="str">
        <f t="shared" si="0"/>
        <v>A</v>
      </c>
    </row>
    <row r="59" spans="1:6" x14ac:dyDescent="0.25">
      <c r="A59" s="22" t="s">
        <v>937</v>
      </c>
      <c r="B59" s="6">
        <v>47962.717579999997</v>
      </c>
      <c r="C59" s="11">
        <v>2.7031016821053931E-2</v>
      </c>
      <c r="D59" s="11">
        <v>0.78872460996208238</v>
      </c>
      <c r="F59" t="str">
        <f t="shared" si="0"/>
        <v>A</v>
      </c>
    </row>
    <row r="60" spans="1:6" x14ac:dyDescent="0.25">
      <c r="A60" s="22" t="s">
        <v>1334</v>
      </c>
      <c r="B60" s="6">
        <v>1062.5902000000001</v>
      </c>
      <c r="C60" s="11">
        <v>5.9885875987277762E-4</v>
      </c>
      <c r="D60" s="11">
        <v>0.78932346872195513</v>
      </c>
      <c r="F60" t="str">
        <f t="shared" si="0"/>
        <v>A</v>
      </c>
    </row>
    <row r="61" spans="1:6" x14ac:dyDescent="0.25">
      <c r="A61" s="22" t="s">
        <v>1237</v>
      </c>
      <c r="B61" s="6">
        <v>10189.8891</v>
      </c>
      <c r="C61" s="11">
        <v>5.7428577354347267E-3</v>
      </c>
      <c r="D61" s="11">
        <v>0.79506632645738984</v>
      </c>
      <c r="F61" t="str">
        <f t="shared" si="0"/>
        <v>A</v>
      </c>
    </row>
    <row r="62" spans="1:6" x14ac:dyDescent="0.25">
      <c r="A62" s="22" t="s">
        <v>854</v>
      </c>
      <c r="B62" s="6">
        <v>39516.804389999998</v>
      </c>
      <c r="C62" s="11">
        <v>2.2271035881123814E-2</v>
      </c>
      <c r="D62" s="11">
        <v>0.81733736233851362</v>
      </c>
      <c r="F62" t="str">
        <f t="shared" si="0"/>
        <v>B</v>
      </c>
    </row>
    <row r="63" spans="1:6" x14ac:dyDescent="0.25">
      <c r="A63" s="22" t="s">
        <v>842</v>
      </c>
      <c r="B63" s="6">
        <v>1660.3999999999999</v>
      </c>
      <c r="C63" s="11">
        <v>9.3577475577391893E-4</v>
      </c>
      <c r="D63" s="11">
        <v>0.81827313709428751</v>
      </c>
      <c r="F63" t="str">
        <f t="shared" si="0"/>
        <v>B</v>
      </c>
    </row>
    <row r="64" spans="1:6" x14ac:dyDescent="0.25">
      <c r="A64" s="22" t="s">
        <v>1269</v>
      </c>
      <c r="B64" s="6">
        <v>7823.4472399999995</v>
      </c>
      <c r="C64" s="11">
        <v>4.4091691341370393E-3</v>
      </c>
      <c r="D64" s="11">
        <v>0.82268230622842453</v>
      </c>
      <c r="F64" t="str">
        <f t="shared" si="0"/>
        <v>B</v>
      </c>
    </row>
    <row r="65" spans="1:6" x14ac:dyDescent="0.25">
      <c r="A65" s="22" t="s">
        <v>1147</v>
      </c>
      <c r="B65" s="6">
        <v>31513.423040000001</v>
      </c>
      <c r="C65" s="11">
        <v>1.7760458774305102E-2</v>
      </c>
      <c r="D65" s="11">
        <v>0.84044276500272963</v>
      </c>
      <c r="F65" t="str">
        <f t="shared" si="0"/>
        <v>B</v>
      </c>
    </row>
    <row r="66" spans="1:6" x14ac:dyDescent="0.25">
      <c r="A66" s="22" t="s">
        <v>818</v>
      </c>
      <c r="B66" s="6">
        <v>21062.61248</v>
      </c>
      <c r="C66" s="11">
        <v>1.1870549897273368E-2</v>
      </c>
      <c r="D66" s="11">
        <v>0.85231331490000295</v>
      </c>
      <c r="F66" t="str">
        <f t="shared" si="0"/>
        <v>B</v>
      </c>
    </row>
    <row r="67" spans="1:6" x14ac:dyDescent="0.25">
      <c r="A67" s="22" t="s">
        <v>1284</v>
      </c>
      <c r="B67" s="6">
        <v>18830.12472</v>
      </c>
      <c r="C67" s="11">
        <v>1.0612355673964367E-2</v>
      </c>
      <c r="D67" s="11">
        <v>0.8629256705739673</v>
      </c>
      <c r="F67" t="str">
        <f t="shared" si="0"/>
        <v>B</v>
      </c>
    </row>
    <row r="68" spans="1:6" x14ac:dyDescent="0.25">
      <c r="A68" s="22" t="s">
        <v>949</v>
      </c>
      <c r="B68" s="6">
        <v>15253.069799999999</v>
      </c>
      <c r="C68" s="11">
        <v>8.5963850077677307E-3</v>
      </c>
      <c r="D68" s="11">
        <v>0.8715220555817349</v>
      </c>
      <c r="F68" t="str">
        <f t="shared" si="0"/>
        <v>B</v>
      </c>
    </row>
    <row r="69" spans="1:6" x14ac:dyDescent="0.25">
      <c r="A69" s="22" t="s">
        <v>1112</v>
      </c>
      <c r="B69" s="6">
        <v>6576.298960000001</v>
      </c>
      <c r="C69" s="11">
        <v>3.7062964064022395E-3</v>
      </c>
      <c r="D69" s="11">
        <v>0.8752283519881372</v>
      </c>
      <c r="F69" t="str">
        <f t="shared" ref="F69:F132" si="1">IF(D69="","",IF(D69&lt;=0.8,"A",IF(D69&lt;=0.95,"B","C")))</f>
        <v>B</v>
      </c>
    </row>
    <row r="70" spans="1:6" x14ac:dyDescent="0.25">
      <c r="A70" s="22" t="s">
        <v>889</v>
      </c>
      <c r="B70" s="6">
        <v>8909.6646800000017</v>
      </c>
      <c r="C70" s="11">
        <v>5.0213438267613314E-3</v>
      </c>
      <c r="D70" s="11">
        <v>0.88024969581489854</v>
      </c>
      <c r="F70" t="str">
        <f t="shared" si="1"/>
        <v>B</v>
      </c>
    </row>
    <row r="71" spans="1:6" x14ac:dyDescent="0.25">
      <c r="A71" s="22" t="s">
        <v>766</v>
      </c>
      <c r="B71" s="6">
        <v>9647.3852800000004</v>
      </c>
      <c r="C71" s="11">
        <v>5.4371113010412558E-3</v>
      </c>
      <c r="D71" s="11">
        <v>0.88568680711593983</v>
      </c>
      <c r="F71" t="str">
        <f t="shared" si="1"/>
        <v>B</v>
      </c>
    </row>
    <row r="72" spans="1:6" x14ac:dyDescent="0.25">
      <c r="A72" s="22" t="s">
        <v>1167</v>
      </c>
      <c r="B72" s="6">
        <v>1950.0031200000001</v>
      </c>
      <c r="C72" s="11">
        <v>1.098990420005047E-3</v>
      </c>
      <c r="D72" s="11">
        <v>0.88678579753594489</v>
      </c>
      <c r="F72" t="str">
        <f t="shared" si="1"/>
        <v>B</v>
      </c>
    </row>
    <row r="73" spans="1:6" x14ac:dyDescent="0.25">
      <c r="A73" s="22" t="s">
        <v>1236</v>
      </c>
      <c r="B73" s="6">
        <v>8637.1874499999994</v>
      </c>
      <c r="C73" s="11">
        <v>4.8677800389046663E-3</v>
      </c>
      <c r="D73" s="11">
        <v>0.89165357757484953</v>
      </c>
      <c r="F73" t="str">
        <f t="shared" si="1"/>
        <v>B</v>
      </c>
    </row>
    <row r="74" spans="1:6" x14ac:dyDescent="0.25">
      <c r="A74" s="22" t="s">
        <v>1015</v>
      </c>
      <c r="B74" s="6">
        <v>13035.970220000001</v>
      </c>
      <c r="C74" s="11">
        <v>7.3468633154038683E-3</v>
      </c>
      <c r="D74" s="11">
        <v>0.89900044089025344</v>
      </c>
      <c r="F74" t="str">
        <f t="shared" si="1"/>
        <v>B</v>
      </c>
    </row>
    <row r="75" spans="1:6" x14ac:dyDescent="0.25">
      <c r="A75" s="22" t="s">
        <v>857</v>
      </c>
      <c r="B75" s="6">
        <v>10817.3416</v>
      </c>
      <c r="C75" s="11">
        <v>6.0964798806691489E-3</v>
      </c>
      <c r="D75" s="11">
        <v>0.90509692077092252</v>
      </c>
      <c r="F75" t="str">
        <f t="shared" si="1"/>
        <v>B</v>
      </c>
    </row>
    <row r="76" spans="1:6" x14ac:dyDescent="0.25">
      <c r="A76" s="22" t="s">
        <v>1353</v>
      </c>
      <c r="B76" s="6">
        <v>2355.2113199999999</v>
      </c>
      <c r="C76" s="11">
        <v>1.3273592494392732E-3</v>
      </c>
      <c r="D76" s="11">
        <v>0.90642428002036179</v>
      </c>
      <c r="F76" t="str">
        <f t="shared" si="1"/>
        <v>B</v>
      </c>
    </row>
    <row r="77" spans="1:6" x14ac:dyDescent="0.25">
      <c r="A77" s="22" t="s">
        <v>890</v>
      </c>
      <c r="B77" s="6">
        <v>7203.8047000000006</v>
      </c>
      <c r="C77" s="11">
        <v>4.0599485568450439E-3</v>
      </c>
      <c r="D77" s="11">
        <v>0.91048422857720679</v>
      </c>
      <c r="F77" t="str">
        <f t="shared" si="1"/>
        <v>B</v>
      </c>
    </row>
    <row r="78" spans="1:6" x14ac:dyDescent="0.25">
      <c r="A78" s="22" t="s">
        <v>1272</v>
      </c>
      <c r="B78" s="6">
        <v>3340.6370000000002</v>
      </c>
      <c r="C78" s="11">
        <v>1.8827293259481557E-3</v>
      </c>
      <c r="D78" s="11">
        <v>0.91236695790315503</v>
      </c>
      <c r="F78" t="str">
        <f t="shared" si="1"/>
        <v>B</v>
      </c>
    </row>
    <row r="79" spans="1:6" x14ac:dyDescent="0.25">
      <c r="A79" s="22" t="s">
        <v>1348</v>
      </c>
      <c r="B79" s="6">
        <v>10786.32144</v>
      </c>
      <c r="C79" s="11">
        <v>6.0789974170169757E-3</v>
      </c>
      <c r="D79" s="11">
        <v>0.91844595532017204</v>
      </c>
      <c r="F79" t="str">
        <f t="shared" si="1"/>
        <v>B</v>
      </c>
    </row>
    <row r="80" spans="1:6" x14ac:dyDescent="0.25">
      <c r="A80" s="22" t="s">
        <v>1087</v>
      </c>
      <c r="B80" s="6">
        <v>34816.968000000001</v>
      </c>
      <c r="C80" s="11">
        <v>1.9622283622614041E-2</v>
      </c>
      <c r="D80" s="11">
        <v>0.93806823894278624</v>
      </c>
      <c r="F80" t="str">
        <f t="shared" si="1"/>
        <v>B</v>
      </c>
    </row>
    <row r="81" spans="1:6" x14ac:dyDescent="0.25">
      <c r="A81" s="22" t="s">
        <v>1065</v>
      </c>
      <c r="B81" s="6">
        <v>8764.4065599999994</v>
      </c>
      <c r="C81" s="11">
        <v>4.9394786847671247E-3</v>
      </c>
      <c r="D81" s="11">
        <v>0.94300771762755331</v>
      </c>
      <c r="F81" t="str">
        <f t="shared" si="1"/>
        <v>B</v>
      </c>
    </row>
    <row r="82" spans="1:6" x14ac:dyDescent="0.25">
      <c r="A82" s="22" t="s">
        <v>996</v>
      </c>
      <c r="B82" s="6">
        <v>8186.057600000001</v>
      </c>
      <c r="C82" s="11">
        <v>4.6135305055355546E-3</v>
      </c>
      <c r="D82" s="11">
        <v>0.9476212481330889</v>
      </c>
      <c r="F82" t="str">
        <f t="shared" si="1"/>
        <v>B</v>
      </c>
    </row>
    <row r="83" spans="1:6" x14ac:dyDescent="0.25">
      <c r="A83" s="22" t="s">
        <v>1301</v>
      </c>
      <c r="B83" s="6">
        <v>34307.159999999996</v>
      </c>
      <c r="C83" s="11">
        <v>1.9334964026919272E-2</v>
      </c>
      <c r="D83" s="11">
        <v>0.96695621216000804</v>
      </c>
      <c r="F83" t="str">
        <f t="shared" si="1"/>
        <v>C</v>
      </c>
    </row>
    <row r="84" spans="1:6" x14ac:dyDescent="0.25">
      <c r="A84" s="22" t="s">
        <v>1263</v>
      </c>
      <c r="B84" s="6">
        <v>9262.0686600000008</v>
      </c>
      <c r="C84" s="11">
        <v>5.2199530464181942E-3</v>
      </c>
      <c r="D84" s="11">
        <v>0.97217616520642636</v>
      </c>
      <c r="F84" t="str">
        <f t="shared" si="1"/>
        <v>C</v>
      </c>
    </row>
    <row r="85" spans="1:6" x14ac:dyDescent="0.25">
      <c r="A85" s="22" t="s">
        <v>1078</v>
      </c>
      <c r="B85" s="6">
        <v>3175.1547799999998</v>
      </c>
      <c r="C85" s="11">
        <v>1.7894662062147022E-3</v>
      </c>
      <c r="D85" s="11">
        <v>0.97396563141264103</v>
      </c>
      <c r="F85" t="str">
        <f t="shared" si="1"/>
        <v>C</v>
      </c>
    </row>
    <row r="86" spans="1:6" x14ac:dyDescent="0.25">
      <c r="A86" s="22" t="s">
        <v>736</v>
      </c>
      <c r="B86" s="6">
        <v>319.72248000000002</v>
      </c>
      <c r="C86" s="11">
        <v>1.8019045148002393E-4</v>
      </c>
      <c r="D86" s="11">
        <v>0.97414582186412102</v>
      </c>
      <c r="F86" t="str">
        <f t="shared" si="1"/>
        <v>C</v>
      </c>
    </row>
    <row r="87" spans="1:6" x14ac:dyDescent="0.25">
      <c r="A87" s="22" t="s">
        <v>763</v>
      </c>
      <c r="B87" s="6">
        <v>20084.133720000002</v>
      </c>
      <c r="C87" s="11">
        <v>1.1319094993232795E-2</v>
      </c>
      <c r="D87" s="11">
        <v>0.98546491685735382</v>
      </c>
      <c r="F87" t="str">
        <f t="shared" si="1"/>
        <v>C</v>
      </c>
    </row>
    <row r="88" spans="1:6" x14ac:dyDescent="0.25">
      <c r="A88" s="22" t="s">
        <v>1169</v>
      </c>
      <c r="B88" s="6">
        <v>5546.4642200000008</v>
      </c>
      <c r="C88" s="11">
        <v>3.1258980973736935E-3</v>
      </c>
      <c r="D88" s="11">
        <v>0.98859081495472756</v>
      </c>
      <c r="F88" t="str">
        <f t="shared" si="1"/>
        <v>C</v>
      </c>
    </row>
    <row r="89" spans="1:6" x14ac:dyDescent="0.25">
      <c r="A89" s="22" t="s">
        <v>1021</v>
      </c>
      <c r="B89" s="6">
        <v>20028.787380000002</v>
      </c>
      <c r="C89" s="11">
        <v>1.1287902685477748E-2</v>
      </c>
      <c r="D89" s="11">
        <v>0.99987871764020531</v>
      </c>
      <c r="F89" t="str">
        <f t="shared" si="1"/>
        <v>C</v>
      </c>
    </row>
    <row r="90" spans="1:6" x14ac:dyDescent="0.25">
      <c r="A90" s="22" t="s">
        <v>788</v>
      </c>
      <c r="B90" s="6">
        <v>215.19839999999996</v>
      </c>
      <c r="C90" s="11">
        <v>1.2128235979459052E-4</v>
      </c>
      <c r="D90" s="11">
        <v>1</v>
      </c>
      <c r="F90" t="str">
        <f t="shared" si="1"/>
        <v>C</v>
      </c>
    </row>
    <row r="91" spans="1:6" x14ac:dyDescent="0.25">
      <c r="A91" s="19" t="s">
        <v>731</v>
      </c>
      <c r="B91" s="6">
        <v>1711094.3776</v>
      </c>
      <c r="C91" s="11">
        <v>0.15656679781073751</v>
      </c>
      <c r="D91" s="11"/>
      <c r="F91" t="str">
        <f t="shared" si="1"/>
        <v/>
      </c>
    </row>
    <row r="92" spans="1:6" x14ac:dyDescent="0.25">
      <c r="A92" s="22" t="s">
        <v>1209</v>
      </c>
      <c r="B92" s="6">
        <v>1009.2969000000002</v>
      </c>
      <c r="C92" s="11">
        <v>5.8985460604204143E-4</v>
      </c>
      <c r="D92" s="11">
        <v>5.8985460604204143E-4</v>
      </c>
      <c r="F92" t="str">
        <f t="shared" si="1"/>
        <v>A</v>
      </c>
    </row>
    <row r="93" spans="1:6" x14ac:dyDescent="0.25">
      <c r="A93" s="22" t="s">
        <v>1211</v>
      </c>
      <c r="B93" s="6">
        <v>41914.215840000004</v>
      </c>
      <c r="C93" s="11">
        <v>2.4495560495493736E-2</v>
      </c>
      <c r="D93" s="11">
        <v>2.508541510153578E-2</v>
      </c>
      <c r="F93" t="str">
        <f t="shared" si="1"/>
        <v>A</v>
      </c>
    </row>
    <row r="94" spans="1:6" x14ac:dyDescent="0.25">
      <c r="A94" s="22" t="s">
        <v>1267</v>
      </c>
      <c r="B94" s="6">
        <v>42433.254400000005</v>
      </c>
      <c r="C94" s="11">
        <v>2.4798897685303228E-2</v>
      </c>
      <c r="D94" s="11">
        <v>4.9884312786839004E-2</v>
      </c>
      <c r="F94" t="str">
        <f t="shared" si="1"/>
        <v>A</v>
      </c>
    </row>
    <row r="95" spans="1:6" x14ac:dyDescent="0.25">
      <c r="A95" s="22" t="s">
        <v>900</v>
      </c>
      <c r="B95" s="6">
        <v>14448.298699999998</v>
      </c>
      <c r="C95" s="11">
        <v>8.4438935041475285E-3</v>
      </c>
      <c r="D95" s="11">
        <v>5.8328206290986534E-2</v>
      </c>
      <c r="F95" t="str">
        <f t="shared" si="1"/>
        <v>A</v>
      </c>
    </row>
    <row r="96" spans="1:6" x14ac:dyDescent="0.25">
      <c r="A96" s="22" t="s">
        <v>879</v>
      </c>
      <c r="B96" s="6">
        <v>12954.358080000002</v>
      </c>
      <c r="C96" s="11">
        <v>7.5708027853904399E-3</v>
      </c>
      <c r="D96" s="11">
        <v>6.5899009076376983E-2</v>
      </c>
      <c r="F96" t="str">
        <f t="shared" si="1"/>
        <v>A</v>
      </c>
    </row>
    <row r="97" spans="1:6" x14ac:dyDescent="0.25">
      <c r="A97" s="22" t="s">
        <v>1029</v>
      </c>
      <c r="B97" s="6">
        <v>20455.985130000001</v>
      </c>
      <c r="C97" s="11">
        <v>1.1954913415525211E-2</v>
      </c>
      <c r="D97" s="11">
        <v>7.7853922491902192E-2</v>
      </c>
      <c r="F97" t="str">
        <f t="shared" si="1"/>
        <v>A</v>
      </c>
    </row>
    <row r="98" spans="1:6" x14ac:dyDescent="0.25">
      <c r="A98" s="22" t="s">
        <v>749</v>
      </c>
      <c r="B98" s="6">
        <v>7090.5672000000004</v>
      </c>
      <c r="C98" s="11">
        <v>4.1438784983592247E-3</v>
      </c>
      <c r="D98" s="11">
        <v>8.199780099026141E-2</v>
      </c>
      <c r="F98" t="str">
        <f t="shared" si="1"/>
        <v>A</v>
      </c>
    </row>
    <row r="99" spans="1:6" x14ac:dyDescent="0.25">
      <c r="A99" s="22" t="s">
        <v>1261</v>
      </c>
      <c r="B99" s="6">
        <v>58526.83122</v>
      </c>
      <c r="C99" s="11">
        <v>3.4204326766645324E-2</v>
      </c>
      <c r="D99" s="11">
        <v>0.11620212775690672</v>
      </c>
      <c r="F99" t="str">
        <f t="shared" si="1"/>
        <v>A</v>
      </c>
    </row>
    <row r="100" spans="1:6" x14ac:dyDescent="0.25">
      <c r="A100" s="22" t="s">
        <v>1179</v>
      </c>
      <c r="B100" s="6">
        <v>9771.4483199999995</v>
      </c>
      <c r="C100" s="11">
        <v>5.7106425267468537E-3</v>
      </c>
      <c r="D100" s="11">
        <v>0.12191277028365358</v>
      </c>
      <c r="F100" t="str">
        <f t="shared" si="1"/>
        <v>A</v>
      </c>
    </row>
    <row r="101" spans="1:6" x14ac:dyDescent="0.25">
      <c r="A101" s="22" t="s">
        <v>1316</v>
      </c>
      <c r="B101" s="6">
        <v>3823.6151599999998</v>
      </c>
      <c r="C101" s="11">
        <v>2.2346021412115473E-3</v>
      </c>
      <c r="D101" s="11">
        <v>0.12414737242486512</v>
      </c>
      <c r="F101" t="str">
        <f t="shared" si="1"/>
        <v>A</v>
      </c>
    </row>
    <row r="102" spans="1:6" x14ac:dyDescent="0.25">
      <c r="A102" s="22" t="s">
        <v>1273</v>
      </c>
      <c r="B102" s="6">
        <v>19581.87</v>
      </c>
      <c r="C102" s="11">
        <v>1.1444061915197073E-2</v>
      </c>
      <c r="D102" s="11">
        <v>0.13559143434006218</v>
      </c>
      <c r="F102" t="str">
        <f t="shared" si="1"/>
        <v>A</v>
      </c>
    </row>
    <row r="103" spans="1:6" x14ac:dyDescent="0.25">
      <c r="A103" s="22" t="s">
        <v>1083</v>
      </c>
      <c r="B103" s="6">
        <v>12236.874600000001</v>
      </c>
      <c r="C103" s="11">
        <v>7.151490157523384E-3</v>
      </c>
      <c r="D103" s="11">
        <v>0.14274292449758558</v>
      </c>
      <c r="F103" t="str">
        <f t="shared" si="1"/>
        <v>A</v>
      </c>
    </row>
    <row r="104" spans="1:6" x14ac:dyDescent="0.25">
      <c r="A104" s="22" t="s">
        <v>853</v>
      </c>
      <c r="B104" s="6">
        <v>592.92849000000001</v>
      </c>
      <c r="C104" s="11">
        <v>3.4652003873196529E-4</v>
      </c>
      <c r="D104" s="11">
        <v>0.14308944453631753</v>
      </c>
      <c r="F104" t="str">
        <f t="shared" si="1"/>
        <v>A</v>
      </c>
    </row>
    <row r="105" spans="1:6" x14ac:dyDescent="0.25">
      <c r="A105" s="22" t="s">
        <v>1013</v>
      </c>
      <c r="B105" s="6">
        <v>8907.6924999999992</v>
      </c>
      <c r="C105" s="11">
        <v>5.2058452278325104E-3</v>
      </c>
      <c r="D105" s="11">
        <v>0.14829528976415005</v>
      </c>
      <c r="F105" t="str">
        <f t="shared" si="1"/>
        <v>A</v>
      </c>
    </row>
    <row r="106" spans="1:6" x14ac:dyDescent="0.25">
      <c r="A106" s="22" t="s">
        <v>980</v>
      </c>
      <c r="B106" s="6">
        <v>9774.3888000000006</v>
      </c>
      <c r="C106" s="11">
        <v>5.7123610058900827E-3</v>
      </c>
      <c r="D106" s="11">
        <v>0.15400765077004014</v>
      </c>
      <c r="F106" t="str">
        <f t="shared" si="1"/>
        <v>A</v>
      </c>
    </row>
    <row r="107" spans="1:6" x14ac:dyDescent="0.25">
      <c r="A107" s="22" t="s">
        <v>1118</v>
      </c>
      <c r="B107" s="6">
        <v>22064.910300000003</v>
      </c>
      <c r="C107" s="11">
        <v>1.2895203554434263E-2</v>
      </c>
      <c r="D107" s="11">
        <v>0.16690285432447438</v>
      </c>
      <c r="F107" t="str">
        <f t="shared" si="1"/>
        <v>A</v>
      </c>
    </row>
    <row r="108" spans="1:6" x14ac:dyDescent="0.25">
      <c r="A108" s="22" t="s">
        <v>973</v>
      </c>
      <c r="B108" s="6">
        <v>3823.5108</v>
      </c>
      <c r="C108" s="11">
        <v>2.2345411510047149E-3</v>
      </c>
      <c r="D108" s="11">
        <v>0.1691373954754791</v>
      </c>
      <c r="F108" t="str">
        <f t="shared" si="1"/>
        <v>A</v>
      </c>
    </row>
    <row r="109" spans="1:6" x14ac:dyDescent="0.25">
      <c r="A109" s="22" t="s">
        <v>1104</v>
      </c>
      <c r="B109" s="6">
        <v>4133.25108</v>
      </c>
      <c r="C109" s="11">
        <v>2.4155599679997453E-3</v>
      </c>
      <c r="D109" s="11">
        <v>0.17155295544347884</v>
      </c>
      <c r="F109" t="str">
        <f t="shared" si="1"/>
        <v>A</v>
      </c>
    </row>
    <row r="110" spans="1:6" x14ac:dyDescent="0.25">
      <c r="A110" s="22" t="s">
        <v>1363</v>
      </c>
      <c r="B110" s="6">
        <v>266.17821999999995</v>
      </c>
      <c r="C110" s="11">
        <v>1.5556022127391036E-4</v>
      </c>
      <c r="D110" s="11">
        <v>0.17170851566475276</v>
      </c>
      <c r="F110" t="str">
        <f t="shared" si="1"/>
        <v>A</v>
      </c>
    </row>
    <row r="111" spans="1:6" x14ac:dyDescent="0.25">
      <c r="A111" s="22" t="s">
        <v>1215</v>
      </c>
      <c r="B111" s="6">
        <v>36161.097000000002</v>
      </c>
      <c r="C111" s="11">
        <v>2.113331530591548E-2</v>
      </c>
      <c r="D111" s="11">
        <v>0.19284183097066823</v>
      </c>
      <c r="F111" t="str">
        <f t="shared" si="1"/>
        <v>A</v>
      </c>
    </row>
    <row r="112" spans="1:6" x14ac:dyDescent="0.25">
      <c r="A112" s="22" t="s">
        <v>880</v>
      </c>
      <c r="B112" s="6">
        <v>3562.9028999999996</v>
      </c>
      <c r="C112" s="11">
        <v>2.0822363433847329E-3</v>
      </c>
      <c r="D112" s="11">
        <v>0.19492406731405296</v>
      </c>
      <c r="F112" t="str">
        <f t="shared" si="1"/>
        <v>A</v>
      </c>
    </row>
    <row r="113" spans="1:6" x14ac:dyDescent="0.25">
      <c r="A113" s="22" t="s">
        <v>753</v>
      </c>
      <c r="B113" s="6">
        <v>39263.702919999996</v>
      </c>
      <c r="C113" s="11">
        <v>2.2946544290018474E-2</v>
      </c>
      <c r="D113" s="11">
        <v>0.21787061160407145</v>
      </c>
      <c r="F113" t="str">
        <f t="shared" si="1"/>
        <v>A</v>
      </c>
    </row>
    <row r="114" spans="1:6" x14ac:dyDescent="0.25">
      <c r="A114" s="22" t="s">
        <v>798</v>
      </c>
      <c r="B114" s="6">
        <v>26304.275999999998</v>
      </c>
      <c r="C114" s="11">
        <v>1.5372779166567463E-2</v>
      </c>
      <c r="D114" s="11">
        <v>0.23324339077063891</v>
      </c>
      <c r="F114" t="str">
        <f t="shared" si="1"/>
        <v>A</v>
      </c>
    </row>
    <row r="115" spans="1:6" x14ac:dyDescent="0.25">
      <c r="A115" s="22" t="s">
        <v>998</v>
      </c>
      <c r="B115" s="6">
        <v>40139.874619999995</v>
      </c>
      <c r="C115" s="11">
        <v>2.3458597693658857E-2</v>
      </c>
      <c r="D115" s="11">
        <v>0.25670198846429776</v>
      </c>
      <c r="F115" t="str">
        <f t="shared" si="1"/>
        <v>A</v>
      </c>
    </row>
    <row r="116" spans="1:6" x14ac:dyDescent="0.25">
      <c r="A116" s="22" t="s">
        <v>1241</v>
      </c>
      <c r="B116" s="6">
        <v>3921.1744000000008</v>
      </c>
      <c r="C116" s="11">
        <v>2.2916178390463087E-3</v>
      </c>
      <c r="D116" s="11">
        <v>0.25899360630334411</v>
      </c>
      <c r="F116" t="str">
        <f t="shared" si="1"/>
        <v>A</v>
      </c>
    </row>
    <row r="117" spans="1:6" x14ac:dyDescent="0.25">
      <c r="A117" s="22" t="s">
        <v>1305</v>
      </c>
      <c r="B117" s="6">
        <v>19139.594240000002</v>
      </c>
      <c r="C117" s="11">
        <v>1.1185586540729221E-2</v>
      </c>
      <c r="D117" s="11">
        <v>0.27017919284407332</v>
      </c>
      <c r="F117" t="str">
        <f t="shared" si="1"/>
        <v>A</v>
      </c>
    </row>
    <row r="118" spans="1:6" x14ac:dyDescent="0.25">
      <c r="A118" s="22" t="s">
        <v>1079</v>
      </c>
      <c r="B118" s="6">
        <v>13637.287999999999</v>
      </c>
      <c r="C118" s="11">
        <v>7.9699215768143719E-3</v>
      </c>
      <c r="D118" s="11">
        <v>0.27814911442088769</v>
      </c>
      <c r="F118" t="str">
        <f t="shared" si="1"/>
        <v>A</v>
      </c>
    </row>
    <row r="119" spans="1:6" x14ac:dyDescent="0.25">
      <c r="A119" s="22" t="s">
        <v>833</v>
      </c>
      <c r="B119" s="6">
        <v>25502.910479999999</v>
      </c>
      <c r="C119" s="11">
        <v>1.4904444087865372E-2</v>
      </c>
      <c r="D119" s="11">
        <v>0.29305355850875309</v>
      </c>
      <c r="F119" t="str">
        <f t="shared" si="1"/>
        <v>A</v>
      </c>
    </row>
    <row r="120" spans="1:6" x14ac:dyDescent="0.25">
      <c r="A120" s="22" t="s">
        <v>787</v>
      </c>
      <c r="B120" s="6">
        <v>2518.8755800000004</v>
      </c>
      <c r="C120" s="11">
        <v>1.4720845401485121E-3</v>
      </c>
      <c r="D120" s="11">
        <v>0.29452564304890161</v>
      </c>
      <c r="F120" t="str">
        <f t="shared" si="1"/>
        <v>A</v>
      </c>
    </row>
    <row r="121" spans="1:6" x14ac:dyDescent="0.25">
      <c r="A121" s="22" t="s">
        <v>1096</v>
      </c>
      <c r="B121" s="6">
        <v>82514.711519999997</v>
      </c>
      <c r="C121" s="11">
        <v>4.8223354947689118E-2</v>
      </c>
      <c r="D121" s="11">
        <v>0.3427489979965907</v>
      </c>
      <c r="F121" t="str">
        <f t="shared" si="1"/>
        <v>A</v>
      </c>
    </row>
    <row r="122" spans="1:6" x14ac:dyDescent="0.25">
      <c r="A122" s="22" t="s">
        <v>1248</v>
      </c>
      <c r="B122" s="6">
        <v>10859.64</v>
      </c>
      <c r="C122" s="11">
        <v>6.3466049226529814E-3</v>
      </c>
      <c r="D122" s="11">
        <v>0.34909560291924369</v>
      </c>
      <c r="F122" t="str">
        <f t="shared" si="1"/>
        <v>A</v>
      </c>
    </row>
    <row r="123" spans="1:6" x14ac:dyDescent="0.25">
      <c r="A123" s="22" t="s">
        <v>1315</v>
      </c>
      <c r="B123" s="6">
        <v>40563.321749999996</v>
      </c>
      <c r="C123" s="11">
        <v>2.3706069215711272E-2</v>
      </c>
      <c r="D123" s="11">
        <v>0.37280167213495496</v>
      </c>
      <c r="F123" t="str">
        <f t="shared" si="1"/>
        <v>A</v>
      </c>
    </row>
    <row r="124" spans="1:6" x14ac:dyDescent="0.25">
      <c r="A124" s="22" t="s">
        <v>805</v>
      </c>
      <c r="B124" s="6">
        <v>6393.0952799999995</v>
      </c>
      <c r="C124" s="11">
        <v>3.7362610523956172E-3</v>
      </c>
      <c r="D124" s="11">
        <v>0.37653793318735063</v>
      </c>
      <c r="F124" t="str">
        <f t="shared" si="1"/>
        <v>A</v>
      </c>
    </row>
    <row r="125" spans="1:6" x14ac:dyDescent="0.25">
      <c r="A125" s="22" t="s">
        <v>1043</v>
      </c>
      <c r="B125" s="6">
        <v>9847.2358600000007</v>
      </c>
      <c r="C125" s="11">
        <v>5.7549343793717811E-3</v>
      </c>
      <c r="D125" s="11">
        <v>0.38229286756672237</v>
      </c>
      <c r="F125" t="str">
        <f t="shared" si="1"/>
        <v>A</v>
      </c>
    </row>
    <row r="126" spans="1:6" x14ac:dyDescent="0.25">
      <c r="A126" s="22" t="s">
        <v>1038</v>
      </c>
      <c r="B126" s="6">
        <v>5932.7856000000002</v>
      </c>
      <c r="C126" s="11">
        <v>3.467246270963377E-3</v>
      </c>
      <c r="D126" s="11">
        <v>0.38576011383768577</v>
      </c>
      <c r="F126" t="str">
        <f t="shared" si="1"/>
        <v>A</v>
      </c>
    </row>
    <row r="127" spans="1:6" x14ac:dyDescent="0.25">
      <c r="A127" s="22" t="s">
        <v>1276</v>
      </c>
      <c r="B127" s="6">
        <v>14114.068500000001</v>
      </c>
      <c r="C127" s="11">
        <v>8.2485622562775002E-3</v>
      </c>
      <c r="D127" s="11">
        <v>0.39400867609396328</v>
      </c>
      <c r="F127" t="str">
        <f t="shared" si="1"/>
        <v>A</v>
      </c>
    </row>
    <row r="128" spans="1:6" x14ac:dyDescent="0.25">
      <c r="A128" s="22" t="s">
        <v>976</v>
      </c>
      <c r="B128" s="6">
        <v>34082.864639999993</v>
      </c>
      <c r="C128" s="11">
        <v>1.9918752049086268E-2</v>
      </c>
      <c r="D128" s="11">
        <v>0.41392742814304956</v>
      </c>
      <c r="F128" t="str">
        <f t="shared" si="1"/>
        <v>A</v>
      </c>
    </row>
    <row r="129" spans="1:6" x14ac:dyDescent="0.25">
      <c r="A129" s="22" t="s">
        <v>1191</v>
      </c>
      <c r="B129" s="6">
        <v>7643.2649999999994</v>
      </c>
      <c r="C129" s="11">
        <v>4.4668868649551221E-3</v>
      </c>
      <c r="D129" s="11">
        <v>0.41839431500800472</v>
      </c>
      <c r="F129" t="str">
        <f t="shared" si="1"/>
        <v>A</v>
      </c>
    </row>
    <row r="130" spans="1:6" x14ac:dyDescent="0.25">
      <c r="A130" s="22" t="s">
        <v>1337</v>
      </c>
      <c r="B130" s="6">
        <v>7071.6331400000008</v>
      </c>
      <c r="C130" s="11">
        <v>4.1328130304061619E-3</v>
      </c>
      <c r="D130" s="11">
        <v>0.42252712803841092</v>
      </c>
      <c r="F130" t="str">
        <f t="shared" si="1"/>
        <v>A</v>
      </c>
    </row>
    <row r="131" spans="1:6" x14ac:dyDescent="0.25">
      <c r="A131" s="22" t="s">
        <v>757</v>
      </c>
      <c r="B131" s="6">
        <v>20225.2248</v>
      </c>
      <c r="C131" s="11">
        <v>1.1820052163556359E-2</v>
      </c>
      <c r="D131" s="11">
        <v>0.43434718020196722</v>
      </c>
      <c r="F131" t="str">
        <f t="shared" si="1"/>
        <v>A</v>
      </c>
    </row>
    <row r="132" spans="1:6" x14ac:dyDescent="0.25">
      <c r="A132" s="22" t="s">
        <v>989</v>
      </c>
      <c r="B132" s="6">
        <v>24161.205600000001</v>
      </c>
      <c r="C132" s="11">
        <v>1.4120323178133972E-2</v>
      </c>
      <c r="D132" s="11">
        <v>0.44846750338010122</v>
      </c>
      <c r="F132" t="str">
        <f t="shared" si="1"/>
        <v>A</v>
      </c>
    </row>
    <row r="133" spans="1:6" x14ac:dyDescent="0.25">
      <c r="A133" s="22" t="s">
        <v>1242</v>
      </c>
      <c r="B133" s="6">
        <v>8297.4286000000011</v>
      </c>
      <c r="C133" s="11">
        <v>4.8491940062581861E-3</v>
      </c>
      <c r="D133" s="11">
        <v>0.45331669738635938</v>
      </c>
      <c r="F133" t="str">
        <f t="shared" ref="F133:F196" si="2">IF(D133="","",IF(D133&lt;=0.8,"A",IF(D133&lt;=0.95,"B","C")))</f>
        <v>A</v>
      </c>
    </row>
    <row r="134" spans="1:6" x14ac:dyDescent="0.25">
      <c r="A134" s="22" t="s">
        <v>838</v>
      </c>
      <c r="B134" s="6">
        <v>12335.654849999999</v>
      </c>
      <c r="C134" s="11">
        <v>7.2092194396092433E-3</v>
      </c>
      <c r="D134" s="11">
        <v>0.46052591682596866</v>
      </c>
      <c r="F134" t="str">
        <f t="shared" si="2"/>
        <v>A</v>
      </c>
    </row>
    <row r="135" spans="1:6" x14ac:dyDescent="0.25">
      <c r="A135" s="22" t="s">
        <v>924</v>
      </c>
      <c r="B135" s="6">
        <v>19542.975350000001</v>
      </c>
      <c r="C135" s="11">
        <v>1.1421331053294206E-2</v>
      </c>
      <c r="D135" s="11">
        <v>0.47194724787926284</v>
      </c>
      <c r="F135" t="str">
        <f t="shared" si="2"/>
        <v>A</v>
      </c>
    </row>
    <row r="136" spans="1:6" x14ac:dyDescent="0.25">
      <c r="A136" s="22" t="s">
        <v>1297</v>
      </c>
      <c r="B136" s="6">
        <v>4229.4321199999995</v>
      </c>
      <c r="C136" s="11">
        <v>2.4717702163993128E-3</v>
      </c>
      <c r="D136" s="11">
        <v>0.47441901809566217</v>
      </c>
      <c r="F136" t="str">
        <f t="shared" si="2"/>
        <v>A</v>
      </c>
    </row>
    <row r="137" spans="1:6" x14ac:dyDescent="0.25">
      <c r="A137" s="22" t="s">
        <v>1121</v>
      </c>
      <c r="B137" s="6">
        <v>65066.934229999999</v>
      </c>
      <c r="C137" s="11">
        <v>3.8026502267667787E-2</v>
      </c>
      <c r="D137" s="11">
        <v>0.51244552036332991</v>
      </c>
      <c r="F137" t="str">
        <f t="shared" si="2"/>
        <v>A</v>
      </c>
    </row>
    <row r="138" spans="1:6" x14ac:dyDescent="0.25">
      <c r="A138" s="22" t="s">
        <v>985</v>
      </c>
      <c r="B138" s="6">
        <v>17453.3436</v>
      </c>
      <c r="C138" s="11">
        <v>1.0200105750145853E-2</v>
      </c>
      <c r="D138" s="11">
        <v>0.52264562611347576</v>
      </c>
      <c r="F138" t="str">
        <f t="shared" si="2"/>
        <v>A</v>
      </c>
    </row>
    <row r="139" spans="1:6" x14ac:dyDescent="0.25">
      <c r="A139" s="22" t="s">
        <v>885</v>
      </c>
      <c r="B139" s="6">
        <v>21572.590500000002</v>
      </c>
      <c r="C139" s="11">
        <v>1.260748137706931E-2</v>
      </c>
      <c r="D139" s="11">
        <v>0.53525310749054511</v>
      </c>
      <c r="F139" t="str">
        <f t="shared" si="2"/>
        <v>A</v>
      </c>
    </row>
    <row r="140" spans="1:6" x14ac:dyDescent="0.25">
      <c r="A140" s="22" t="s">
        <v>1254</v>
      </c>
      <c r="B140" s="6">
        <v>64192.976999999999</v>
      </c>
      <c r="C140" s="11">
        <v>3.7515743047462864E-2</v>
      </c>
      <c r="D140" s="11">
        <v>0.57276885053800797</v>
      </c>
      <c r="F140" t="str">
        <f t="shared" si="2"/>
        <v>A</v>
      </c>
    </row>
    <row r="141" spans="1:6" x14ac:dyDescent="0.25">
      <c r="A141" s="22" t="s">
        <v>1327</v>
      </c>
      <c r="B141" s="6">
        <v>14910.609600000002</v>
      </c>
      <c r="C141" s="11">
        <v>8.7140778411730797E-3</v>
      </c>
      <c r="D141" s="11">
        <v>0.58148292837918103</v>
      </c>
      <c r="F141" t="str">
        <f t="shared" si="2"/>
        <v>A</v>
      </c>
    </row>
    <row r="142" spans="1:6" x14ac:dyDescent="0.25">
      <c r="A142" s="22" t="s">
        <v>1102</v>
      </c>
      <c r="B142" s="6">
        <v>13784.586000000001</v>
      </c>
      <c r="C142" s="11">
        <v>8.0560056654118729E-3</v>
      </c>
      <c r="D142" s="11">
        <v>0.5895389340445929</v>
      </c>
      <c r="F142" t="str">
        <f t="shared" si="2"/>
        <v>A</v>
      </c>
    </row>
    <row r="143" spans="1:6" x14ac:dyDescent="0.25">
      <c r="A143" s="22" t="s">
        <v>790</v>
      </c>
      <c r="B143" s="6">
        <v>29659.68995</v>
      </c>
      <c r="C143" s="11">
        <v>1.7333754548127855E-2</v>
      </c>
      <c r="D143" s="11">
        <v>0.60687268859272081</v>
      </c>
      <c r="F143" t="str">
        <f t="shared" si="2"/>
        <v>A</v>
      </c>
    </row>
    <row r="144" spans="1:6" x14ac:dyDescent="0.25">
      <c r="A144" s="22" t="s">
        <v>1143</v>
      </c>
      <c r="B144" s="6">
        <v>5323.9903199999999</v>
      </c>
      <c r="C144" s="11">
        <v>3.1114533421981597E-3</v>
      </c>
      <c r="D144" s="11">
        <v>0.6099841419349189</v>
      </c>
      <c r="F144" t="str">
        <f t="shared" si="2"/>
        <v>A</v>
      </c>
    </row>
    <row r="145" spans="1:6" x14ac:dyDescent="0.25">
      <c r="A145" s="22" t="s">
        <v>1009</v>
      </c>
      <c r="B145" s="6">
        <v>8567.3924999999999</v>
      </c>
      <c r="C145" s="11">
        <v>5.0069666595577971E-3</v>
      </c>
      <c r="D145" s="11">
        <v>0.61499110859447681</v>
      </c>
      <c r="F145" t="str">
        <f t="shared" si="2"/>
        <v>A</v>
      </c>
    </row>
    <row r="146" spans="1:6" x14ac:dyDescent="0.25">
      <c r="A146" s="22" t="s">
        <v>907</v>
      </c>
      <c r="B146" s="6">
        <v>31556.187599999997</v>
      </c>
      <c r="C146" s="11">
        <v>1.8442108169545304E-2</v>
      </c>
      <c r="D146" s="11">
        <v>0.63343321676402209</v>
      </c>
      <c r="F146" t="str">
        <f t="shared" si="2"/>
        <v>A</v>
      </c>
    </row>
    <row r="147" spans="1:6" x14ac:dyDescent="0.25">
      <c r="A147" s="22" t="s">
        <v>836</v>
      </c>
      <c r="B147" s="6">
        <v>13669.81</v>
      </c>
      <c r="C147" s="11">
        <v>7.9889281263219539E-3</v>
      </c>
      <c r="D147" s="11">
        <v>0.6414221448903441</v>
      </c>
      <c r="F147" t="str">
        <f t="shared" si="2"/>
        <v>A</v>
      </c>
    </row>
    <row r="148" spans="1:6" x14ac:dyDescent="0.25">
      <c r="A148" s="22" t="s">
        <v>1122</v>
      </c>
      <c r="B148" s="6">
        <v>434.45248000000004</v>
      </c>
      <c r="C148" s="11">
        <v>2.5390328300264062E-4</v>
      </c>
      <c r="D148" s="11">
        <v>0.64167604817334678</v>
      </c>
      <c r="F148" t="str">
        <f t="shared" si="2"/>
        <v>A</v>
      </c>
    </row>
    <row r="149" spans="1:6" x14ac:dyDescent="0.25">
      <c r="A149" s="22" t="s">
        <v>1268</v>
      </c>
      <c r="B149" s="6">
        <v>15155.326800000001</v>
      </c>
      <c r="C149" s="11">
        <v>8.8570957852465333E-3</v>
      </c>
      <c r="D149" s="11">
        <v>0.65053314395859319</v>
      </c>
      <c r="F149" t="str">
        <f t="shared" si="2"/>
        <v>A</v>
      </c>
    </row>
    <row r="150" spans="1:6" x14ac:dyDescent="0.25">
      <c r="A150" s="22" t="s">
        <v>1299</v>
      </c>
      <c r="B150" s="6">
        <v>44173.627960000005</v>
      </c>
      <c r="C150" s="11">
        <v>2.5816009063134453E-2</v>
      </c>
      <c r="D150" s="11">
        <v>0.6763491530217276</v>
      </c>
      <c r="F150" t="str">
        <f t="shared" si="2"/>
        <v>A</v>
      </c>
    </row>
    <row r="151" spans="1:6" x14ac:dyDescent="0.25">
      <c r="A151" s="22" t="s">
        <v>1159</v>
      </c>
      <c r="B151" s="6">
        <v>30435.614999999998</v>
      </c>
      <c r="C151" s="11">
        <v>1.7787221674288551E-2</v>
      </c>
      <c r="D151" s="11">
        <v>0.69413637469601619</v>
      </c>
      <c r="F151" t="str">
        <f t="shared" si="2"/>
        <v>A</v>
      </c>
    </row>
    <row r="152" spans="1:6" x14ac:dyDescent="0.25">
      <c r="A152" s="22" t="s">
        <v>786</v>
      </c>
      <c r="B152" s="6">
        <v>5785.8</v>
      </c>
      <c r="C152" s="11">
        <v>3.3813447555798926E-3</v>
      </c>
      <c r="D152" s="11">
        <v>0.69751771945159613</v>
      </c>
      <c r="F152" t="str">
        <f t="shared" si="2"/>
        <v>A</v>
      </c>
    </row>
    <row r="153" spans="1:6" x14ac:dyDescent="0.25">
      <c r="A153" s="22" t="s">
        <v>926</v>
      </c>
      <c r="B153" s="6">
        <v>24374.594880000001</v>
      </c>
      <c r="C153" s="11">
        <v>1.4245032418485343E-2</v>
      </c>
      <c r="D153" s="11">
        <v>0.71176275187008142</v>
      </c>
      <c r="F153" t="str">
        <f t="shared" si="2"/>
        <v>A</v>
      </c>
    </row>
    <row r="154" spans="1:6" x14ac:dyDescent="0.25">
      <c r="A154" s="22" t="s">
        <v>1141</v>
      </c>
      <c r="B154" s="6">
        <v>4679.7141600000004</v>
      </c>
      <c r="C154" s="11">
        <v>2.7349246314302194E-3</v>
      </c>
      <c r="D154" s="11">
        <v>0.71449767650151164</v>
      </c>
      <c r="F154" t="str">
        <f t="shared" si="2"/>
        <v>A</v>
      </c>
    </row>
    <row r="155" spans="1:6" x14ac:dyDescent="0.25">
      <c r="A155" s="22" t="s">
        <v>851</v>
      </c>
      <c r="B155" s="6">
        <v>65119.329599999997</v>
      </c>
      <c r="C155" s="11">
        <v>3.8057123237899414E-2</v>
      </c>
      <c r="D155" s="11">
        <v>0.75255479973941108</v>
      </c>
      <c r="F155" t="str">
        <f t="shared" si="2"/>
        <v>A</v>
      </c>
    </row>
    <row r="156" spans="1:6" x14ac:dyDescent="0.25">
      <c r="A156" s="22" t="s">
        <v>1130</v>
      </c>
      <c r="B156" s="6">
        <v>18641.222160000001</v>
      </c>
      <c r="C156" s="11">
        <v>1.0894327282020753E-2</v>
      </c>
      <c r="D156" s="11">
        <v>0.76344912702143175</v>
      </c>
      <c r="F156" t="str">
        <f t="shared" si="2"/>
        <v>A</v>
      </c>
    </row>
    <row r="157" spans="1:6" x14ac:dyDescent="0.25">
      <c r="A157" s="22" t="s">
        <v>1158</v>
      </c>
      <c r="B157" s="6">
        <v>15366.983199999999</v>
      </c>
      <c r="C157" s="11">
        <v>8.9807922936161484E-3</v>
      </c>
      <c r="D157" s="11">
        <v>0.7724299193150479</v>
      </c>
      <c r="F157" t="str">
        <f t="shared" si="2"/>
        <v>A</v>
      </c>
    </row>
    <row r="158" spans="1:6" x14ac:dyDescent="0.25">
      <c r="A158" s="22" t="s">
        <v>806</v>
      </c>
      <c r="B158" s="6">
        <v>20171.63305</v>
      </c>
      <c r="C158" s="11">
        <v>1.178873200337024E-2</v>
      </c>
      <c r="D158" s="11">
        <v>0.78421865131841817</v>
      </c>
      <c r="F158" t="str">
        <f t="shared" si="2"/>
        <v>A</v>
      </c>
    </row>
    <row r="159" spans="1:6" x14ac:dyDescent="0.25">
      <c r="A159" s="22" t="s">
        <v>739</v>
      </c>
      <c r="B159" s="6">
        <v>4141.7599999999993</v>
      </c>
      <c r="C159" s="11">
        <v>2.4205327620848583E-3</v>
      </c>
      <c r="D159" s="11">
        <v>0.78663918408050304</v>
      </c>
      <c r="F159" t="str">
        <f t="shared" si="2"/>
        <v>A</v>
      </c>
    </row>
    <row r="160" spans="1:6" x14ac:dyDescent="0.25">
      <c r="A160" s="22" t="s">
        <v>1332</v>
      </c>
      <c r="B160" s="6">
        <v>33938.142760000002</v>
      </c>
      <c r="C160" s="11">
        <v>1.983417349988726E-2</v>
      </c>
      <c r="D160" s="11">
        <v>0.80647335758039029</v>
      </c>
      <c r="F160" t="str">
        <f t="shared" si="2"/>
        <v>B</v>
      </c>
    </row>
    <row r="161" spans="1:6" x14ac:dyDescent="0.25">
      <c r="A161" s="22" t="s">
        <v>1164</v>
      </c>
      <c r="B161" s="6">
        <v>58057.65</v>
      </c>
      <c r="C161" s="11">
        <v>3.3930127268276287E-2</v>
      </c>
      <c r="D161" s="11">
        <v>0.84040348484866645</v>
      </c>
      <c r="F161" t="str">
        <f t="shared" si="2"/>
        <v>B</v>
      </c>
    </row>
    <row r="162" spans="1:6" x14ac:dyDescent="0.25">
      <c r="A162" s="22" t="s">
        <v>1155</v>
      </c>
      <c r="B162" s="6">
        <v>102122.94203999999</v>
      </c>
      <c r="C162" s="11">
        <v>5.9682822512244341E-2</v>
      </c>
      <c r="D162" s="11">
        <v>0.90008630736091089</v>
      </c>
      <c r="F162" t="str">
        <f t="shared" si="2"/>
        <v>B</v>
      </c>
    </row>
    <row r="163" spans="1:6" x14ac:dyDescent="0.25">
      <c r="A163" s="22" t="s">
        <v>1017</v>
      </c>
      <c r="B163" s="6">
        <v>11696.156879999999</v>
      </c>
      <c r="C163" s="11">
        <v>6.8354832048511307E-3</v>
      </c>
      <c r="D163" s="11">
        <v>0.90692179056576194</v>
      </c>
      <c r="F163" t="str">
        <f t="shared" si="2"/>
        <v>B</v>
      </c>
    </row>
    <row r="164" spans="1:6" x14ac:dyDescent="0.25">
      <c r="A164" s="22" t="s">
        <v>1063</v>
      </c>
      <c r="B164" s="6">
        <v>27756.432000000001</v>
      </c>
      <c r="C164" s="11">
        <v>1.6221450063398302E-2</v>
      </c>
      <c r="D164" s="11">
        <v>0.92314324062916031</v>
      </c>
      <c r="F164" t="str">
        <f t="shared" si="2"/>
        <v>B</v>
      </c>
    </row>
    <row r="165" spans="1:6" x14ac:dyDescent="0.25">
      <c r="A165" s="22" t="s">
        <v>1120</v>
      </c>
      <c r="B165" s="6">
        <v>19773.362699999998</v>
      </c>
      <c r="C165" s="11">
        <v>1.1555974327806709E-2</v>
      </c>
      <c r="D165" s="11">
        <v>0.93469921495696695</v>
      </c>
      <c r="F165" t="str">
        <f t="shared" si="2"/>
        <v>B</v>
      </c>
    </row>
    <row r="166" spans="1:6" x14ac:dyDescent="0.25">
      <c r="A166" s="22" t="s">
        <v>845</v>
      </c>
      <c r="B166" s="6">
        <v>30151.675319999998</v>
      </c>
      <c r="C166" s="11">
        <v>1.7621281277477561E-2</v>
      </c>
      <c r="D166" s="11">
        <v>0.95232049623444448</v>
      </c>
      <c r="F166" t="str">
        <f t="shared" si="2"/>
        <v>C</v>
      </c>
    </row>
    <row r="167" spans="1:6" x14ac:dyDescent="0.25">
      <c r="A167" s="22" t="s">
        <v>958</v>
      </c>
      <c r="B167" s="6">
        <v>15490.527</v>
      </c>
      <c r="C167" s="11">
        <v>9.0529939217772349E-3</v>
      </c>
      <c r="D167" s="11">
        <v>0.96137349015622175</v>
      </c>
      <c r="F167" t="str">
        <f t="shared" si="2"/>
        <v>C</v>
      </c>
    </row>
    <row r="168" spans="1:6" x14ac:dyDescent="0.25">
      <c r="A168" s="22" t="s">
        <v>866</v>
      </c>
      <c r="B168" s="6">
        <v>8336.8896000000004</v>
      </c>
      <c r="C168" s="11">
        <v>4.8722558551641173E-3</v>
      </c>
      <c r="D168" s="11">
        <v>0.96624574601138591</v>
      </c>
      <c r="F168" t="str">
        <f t="shared" si="2"/>
        <v>C</v>
      </c>
    </row>
    <row r="169" spans="1:6" x14ac:dyDescent="0.25">
      <c r="A169" s="22" t="s">
        <v>754</v>
      </c>
      <c r="B169" s="6">
        <v>23782.310720000001</v>
      </c>
      <c r="C169" s="11">
        <v>1.3898888939929389E-2</v>
      </c>
      <c r="D169" s="11">
        <v>0.98014463495131521</v>
      </c>
      <c r="F169" t="str">
        <f t="shared" si="2"/>
        <v>C</v>
      </c>
    </row>
    <row r="170" spans="1:6" x14ac:dyDescent="0.25">
      <c r="A170" s="22" t="s">
        <v>1136</v>
      </c>
      <c r="B170" s="6">
        <v>5250.4239000000007</v>
      </c>
      <c r="C170" s="11">
        <v>3.068459559410337E-3</v>
      </c>
      <c r="D170" s="11">
        <v>0.98321309451072558</v>
      </c>
      <c r="F170" t="str">
        <f t="shared" si="2"/>
        <v>C</v>
      </c>
    </row>
    <row r="171" spans="1:6" x14ac:dyDescent="0.25">
      <c r="A171" s="22" t="s">
        <v>1018</v>
      </c>
      <c r="B171" s="6">
        <v>15505.479600000001</v>
      </c>
      <c r="C171" s="11">
        <v>9.0617325397025494E-3</v>
      </c>
      <c r="D171" s="11">
        <v>0.99227482705042813</v>
      </c>
      <c r="F171" t="str">
        <f t="shared" si="2"/>
        <v>C</v>
      </c>
    </row>
    <row r="172" spans="1:6" x14ac:dyDescent="0.25">
      <c r="A172" s="22" t="s">
        <v>767</v>
      </c>
      <c r="B172" s="6">
        <v>13218.5</v>
      </c>
      <c r="C172" s="11">
        <v>7.7251729495718497E-3</v>
      </c>
      <c r="D172" s="11">
        <v>1</v>
      </c>
      <c r="F172" t="str">
        <f t="shared" si="2"/>
        <v>C</v>
      </c>
    </row>
    <row r="173" spans="1:6" x14ac:dyDescent="0.25">
      <c r="A173" s="19" t="s">
        <v>728</v>
      </c>
      <c r="B173" s="6">
        <v>1616102.6546599993</v>
      </c>
      <c r="C173" s="11">
        <v>0.14787496288103533</v>
      </c>
      <c r="D173" s="11"/>
      <c r="F173" t="str">
        <f t="shared" si="2"/>
        <v/>
      </c>
    </row>
    <row r="174" spans="1:6" x14ac:dyDescent="0.25">
      <c r="A174" s="22" t="s">
        <v>1235</v>
      </c>
      <c r="B174" s="6">
        <v>10869.182940000001</v>
      </c>
      <c r="C174" s="11">
        <v>6.725552308610429E-3</v>
      </c>
      <c r="D174" s="11">
        <v>6.725552308610429E-3</v>
      </c>
      <c r="F174" t="str">
        <f t="shared" si="2"/>
        <v>A</v>
      </c>
    </row>
    <row r="175" spans="1:6" x14ac:dyDescent="0.25">
      <c r="A175" s="22" t="s">
        <v>1069</v>
      </c>
      <c r="B175" s="6">
        <v>16219.34496</v>
      </c>
      <c r="C175" s="11">
        <v>1.0036085834790164E-2</v>
      </c>
      <c r="D175" s="11">
        <v>1.6761638143400592E-2</v>
      </c>
      <c r="F175" t="str">
        <f t="shared" si="2"/>
        <v>A</v>
      </c>
    </row>
    <row r="176" spans="1:6" x14ac:dyDescent="0.25">
      <c r="A176" s="22" t="s">
        <v>966</v>
      </c>
      <c r="B176" s="6">
        <v>2879.9836</v>
      </c>
      <c r="C176" s="11">
        <v>1.7820548661903535E-3</v>
      </c>
      <c r="D176" s="11">
        <v>1.8543693009590946E-2</v>
      </c>
      <c r="F176" t="str">
        <f t="shared" si="2"/>
        <v>A</v>
      </c>
    </row>
    <row r="177" spans="1:6" x14ac:dyDescent="0.25">
      <c r="A177" s="22" t="s">
        <v>1124</v>
      </c>
      <c r="B177" s="6">
        <v>2525.0635000000002</v>
      </c>
      <c r="C177" s="11">
        <v>1.5624400422331035E-3</v>
      </c>
      <c r="D177" s="11">
        <v>2.010613305182405E-2</v>
      </c>
      <c r="F177" t="str">
        <f t="shared" si="2"/>
        <v>A</v>
      </c>
    </row>
    <row r="178" spans="1:6" x14ac:dyDescent="0.25">
      <c r="A178" s="22" t="s">
        <v>1208</v>
      </c>
      <c r="B178" s="6">
        <v>27194.152039999997</v>
      </c>
      <c r="C178" s="11">
        <v>1.6826995464419424E-2</v>
      </c>
      <c r="D178" s="11">
        <v>3.6933128516243474E-2</v>
      </c>
      <c r="F178" t="str">
        <f t="shared" si="2"/>
        <v>A</v>
      </c>
    </row>
    <row r="179" spans="1:6" x14ac:dyDescent="0.25">
      <c r="A179" s="22" t="s">
        <v>999</v>
      </c>
      <c r="B179" s="6">
        <v>12597.52224</v>
      </c>
      <c r="C179" s="11">
        <v>7.7950012665812408E-3</v>
      </c>
      <c r="D179" s="11">
        <v>4.472812978282472E-2</v>
      </c>
      <c r="F179" t="str">
        <f t="shared" si="2"/>
        <v>A</v>
      </c>
    </row>
    <row r="180" spans="1:6" x14ac:dyDescent="0.25">
      <c r="A180" s="22" t="s">
        <v>1220</v>
      </c>
      <c r="B180" s="6">
        <v>28856.475000000002</v>
      </c>
      <c r="C180" s="11">
        <v>1.785559532174082E-2</v>
      </c>
      <c r="D180" s="11">
        <v>6.2583725104565543E-2</v>
      </c>
      <c r="F180" t="str">
        <f t="shared" si="2"/>
        <v>A</v>
      </c>
    </row>
    <row r="181" spans="1:6" x14ac:dyDescent="0.25">
      <c r="A181" s="22" t="s">
        <v>783</v>
      </c>
      <c r="B181" s="6">
        <v>34444.462359999998</v>
      </c>
      <c r="C181" s="11">
        <v>2.1313288645792447E-2</v>
      </c>
      <c r="D181" s="11">
        <v>8.3897013750357977E-2</v>
      </c>
      <c r="F181" t="str">
        <f t="shared" si="2"/>
        <v>A</v>
      </c>
    </row>
    <row r="182" spans="1:6" x14ac:dyDescent="0.25">
      <c r="A182" s="22" t="s">
        <v>1260</v>
      </c>
      <c r="B182" s="6">
        <v>11406.96</v>
      </c>
      <c r="C182" s="11">
        <v>7.0583140044404111E-3</v>
      </c>
      <c r="D182" s="11">
        <v>9.0955327754798393E-2</v>
      </c>
      <c r="F182" t="str">
        <f t="shared" si="2"/>
        <v>A</v>
      </c>
    </row>
    <row r="183" spans="1:6" x14ac:dyDescent="0.25">
      <c r="A183" s="22" t="s">
        <v>1271</v>
      </c>
      <c r="B183" s="6">
        <v>66260.314239999992</v>
      </c>
      <c r="C183" s="11">
        <v>4.1000065217973447E-2</v>
      </c>
      <c r="D183" s="11">
        <v>0.13195539297277184</v>
      </c>
      <c r="F183" t="str">
        <f t="shared" si="2"/>
        <v>A</v>
      </c>
    </row>
    <row r="184" spans="1:6" x14ac:dyDescent="0.25">
      <c r="A184" s="22" t="s">
        <v>1144</v>
      </c>
      <c r="B184" s="6">
        <v>6899.8804600000003</v>
      </c>
      <c r="C184" s="11">
        <v>4.2694567947799194E-3</v>
      </c>
      <c r="D184" s="11">
        <v>0.13622484976755175</v>
      </c>
      <c r="F184" t="str">
        <f t="shared" si="2"/>
        <v>A</v>
      </c>
    </row>
    <row r="185" spans="1:6" x14ac:dyDescent="0.25">
      <c r="A185" s="22" t="s">
        <v>1249</v>
      </c>
      <c r="B185" s="6">
        <v>22201.762229999997</v>
      </c>
      <c r="C185" s="11">
        <v>1.3737841569643899E-2</v>
      </c>
      <c r="D185" s="11">
        <v>0.14996269133719564</v>
      </c>
      <c r="F185" t="str">
        <f t="shared" si="2"/>
        <v>A</v>
      </c>
    </row>
    <row r="186" spans="1:6" x14ac:dyDescent="0.25">
      <c r="A186" s="22" t="s">
        <v>1259</v>
      </c>
      <c r="B186" s="6">
        <v>2146.5580500000001</v>
      </c>
      <c r="C186" s="11">
        <v>1.3282312505399601E-3</v>
      </c>
      <c r="D186" s="11">
        <v>0.1512909225877356</v>
      </c>
      <c r="F186" t="str">
        <f t="shared" si="2"/>
        <v>A</v>
      </c>
    </row>
    <row r="187" spans="1:6" x14ac:dyDescent="0.25">
      <c r="A187" s="22" t="s">
        <v>1173</v>
      </c>
      <c r="B187" s="6">
        <v>20672.289000000001</v>
      </c>
      <c r="C187" s="11">
        <v>1.27914454817532E-2</v>
      </c>
      <c r="D187" s="11">
        <v>0.16408236806948881</v>
      </c>
      <c r="F187" t="str">
        <f t="shared" si="2"/>
        <v>A</v>
      </c>
    </row>
    <row r="188" spans="1:6" x14ac:dyDescent="0.25">
      <c r="A188" s="22" t="s">
        <v>962</v>
      </c>
      <c r="B188" s="6">
        <v>16609.090809999998</v>
      </c>
      <c r="C188" s="11">
        <v>1.0277249877727768E-2</v>
      </c>
      <c r="D188" s="11">
        <v>0.17435961794721658</v>
      </c>
      <c r="F188" t="str">
        <f t="shared" si="2"/>
        <v>A</v>
      </c>
    </row>
    <row r="189" spans="1:6" x14ac:dyDescent="0.25">
      <c r="A189" s="22" t="s">
        <v>1047</v>
      </c>
      <c r="B189" s="6">
        <v>40325.31</v>
      </c>
      <c r="C189" s="11">
        <v>2.4952195879217685E-2</v>
      </c>
      <c r="D189" s="11">
        <v>0.19931181382643426</v>
      </c>
      <c r="F189" t="str">
        <f t="shared" si="2"/>
        <v>A</v>
      </c>
    </row>
    <row r="190" spans="1:6" x14ac:dyDescent="0.25">
      <c r="A190" s="22" t="s">
        <v>1183</v>
      </c>
      <c r="B190" s="6">
        <v>12462.65055</v>
      </c>
      <c r="C190" s="11">
        <v>7.7115463637561638E-3</v>
      </c>
      <c r="D190" s="11">
        <v>0.20702336019019044</v>
      </c>
      <c r="F190" t="str">
        <f t="shared" si="2"/>
        <v>A</v>
      </c>
    </row>
    <row r="191" spans="1:6" x14ac:dyDescent="0.25">
      <c r="A191" s="22" t="s">
        <v>1289</v>
      </c>
      <c r="B191" s="6">
        <v>50545.319219999998</v>
      </c>
      <c r="C191" s="11">
        <v>3.1276057293918545E-2</v>
      </c>
      <c r="D191" s="11">
        <v>0.23829941748410899</v>
      </c>
      <c r="F191" t="str">
        <f t="shared" si="2"/>
        <v>A</v>
      </c>
    </row>
    <row r="192" spans="1:6" x14ac:dyDescent="0.25">
      <c r="A192" s="22" t="s">
        <v>1163</v>
      </c>
      <c r="B192" s="6">
        <v>12955.824749999998</v>
      </c>
      <c r="C192" s="11">
        <v>8.0167090330816176E-3</v>
      </c>
      <c r="D192" s="11">
        <v>0.24631612651719059</v>
      </c>
      <c r="F192" t="str">
        <f t="shared" si="2"/>
        <v>A</v>
      </c>
    </row>
    <row r="193" spans="1:6" x14ac:dyDescent="0.25">
      <c r="A193" s="22" t="s">
        <v>780</v>
      </c>
      <c r="B193" s="6">
        <v>7135.57</v>
      </c>
      <c r="C193" s="11">
        <v>4.4152950181875691E-3</v>
      </c>
      <c r="D193" s="11">
        <v>0.2507314215353782</v>
      </c>
      <c r="F193" t="str">
        <f t="shared" si="2"/>
        <v>A</v>
      </c>
    </row>
    <row r="194" spans="1:6" x14ac:dyDescent="0.25">
      <c r="A194" s="22" t="s">
        <v>1258</v>
      </c>
      <c r="B194" s="6">
        <v>8326.6852500000005</v>
      </c>
      <c r="C194" s="11">
        <v>5.1523244677497259E-3</v>
      </c>
      <c r="D194" s="11">
        <v>0.25588374600312791</v>
      </c>
      <c r="F194" t="str">
        <f t="shared" si="2"/>
        <v>A</v>
      </c>
    </row>
    <row r="195" spans="1:6" x14ac:dyDescent="0.25">
      <c r="A195" s="22" t="s">
        <v>953</v>
      </c>
      <c r="B195" s="6">
        <v>28211.92124</v>
      </c>
      <c r="C195" s="11">
        <v>1.7456763132373737E-2</v>
      </c>
      <c r="D195" s="11">
        <v>0.27334050913550162</v>
      </c>
      <c r="F195" t="str">
        <f t="shared" si="2"/>
        <v>A</v>
      </c>
    </row>
    <row r="196" spans="1:6" x14ac:dyDescent="0.25">
      <c r="A196" s="22" t="s">
        <v>987</v>
      </c>
      <c r="B196" s="6">
        <v>25483.91488</v>
      </c>
      <c r="C196" s="11">
        <v>1.5768747614217232E-2</v>
      </c>
      <c r="D196" s="11">
        <v>0.28910925674971882</v>
      </c>
      <c r="F196" t="str">
        <f t="shared" si="2"/>
        <v>A</v>
      </c>
    </row>
    <row r="197" spans="1:6" x14ac:dyDescent="0.25">
      <c r="A197" s="22" t="s">
        <v>1042</v>
      </c>
      <c r="B197" s="6">
        <v>5334.9141999999993</v>
      </c>
      <c r="C197" s="11">
        <v>3.3010985933454675E-3</v>
      </c>
      <c r="D197" s="11">
        <v>0.29241035534306431</v>
      </c>
      <c r="F197" t="str">
        <f t="shared" ref="F197:F260" si="3">IF(D197="","",IF(D197&lt;=0.8,"A",IF(D197&lt;=0.95,"B","C")))</f>
        <v>A</v>
      </c>
    </row>
    <row r="198" spans="1:6" x14ac:dyDescent="0.25">
      <c r="A198" s="22" t="s">
        <v>946</v>
      </c>
      <c r="B198" s="6">
        <v>6984.8246399999998</v>
      </c>
      <c r="C198" s="11">
        <v>4.3220179237125804E-3</v>
      </c>
      <c r="D198" s="11">
        <v>0.29673237326677693</v>
      </c>
      <c r="F198" t="str">
        <f t="shared" si="3"/>
        <v>A</v>
      </c>
    </row>
    <row r="199" spans="1:6" x14ac:dyDescent="0.25">
      <c r="A199" s="22" t="s">
        <v>776</v>
      </c>
      <c r="B199" s="6">
        <v>30596.565999999999</v>
      </c>
      <c r="C199" s="11">
        <v>1.8932315909373342E-2</v>
      </c>
      <c r="D199" s="11">
        <v>0.31566468917615026</v>
      </c>
      <c r="F199" t="str">
        <f t="shared" si="3"/>
        <v>A</v>
      </c>
    </row>
    <row r="200" spans="1:6" x14ac:dyDescent="0.25">
      <c r="A200" s="22" t="s">
        <v>1202</v>
      </c>
      <c r="B200" s="6">
        <v>16252.219979999998</v>
      </c>
      <c r="C200" s="11">
        <v>1.0056427995546601E-2</v>
      </c>
      <c r="D200" s="11">
        <v>0.32572111717169688</v>
      </c>
      <c r="F200" t="str">
        <f t="shared" si="3"/>
        <v>A</v>
      </c>
    </row>
    <row r="201" spans="1:6" x14ac:dyDescent="0.25">
      <c r="A201" s="22" t="s">
        <v>1098</v>
      </c>
      <c r="B201" s="6">
        <v>12717.311040000001</v>
      </c>
      <c r="C201" s="11">
        <v>7.8691232907327335E-3</v>
      </c>
      <c r="D201" s="11">
        <v>0.33359024046242963</v>
      </c>
      <c r="F201" t="str">
        <f t="shared" si="3"/>
        <v>A</v>
      </c>
    </row>
    <row r="202" spans="1:6" x14ac:dyDescent="0.25">
      <c r="A202" s="22" t="s">
        <v>1103</v>
      </c>
      <c r="B202" s="6">
        <v>4569.5735999999997</v>
      </c>
      <c r="C202" s="11">
        <v>2.8275268200468125E-3</v>
      </c>
      <c r="D202" s="11">
        <v>0.33641776728247647</v>
      </c>
      <c r="F202" t="str">
        <f t="shared" si="3"/>
        <v>A</v>
      </c>
    </row>
    <row r="203" spans="1:6" x14ac:dyDescent="0.25">
      <c r="A203" s="22" t="s">
        <v>908</v>
      </c>
      <c r="B203" s="6">
        <v>1952.6356799999999</v>
      </c>
      <c r="C203" s="11">
        <v>1.2082374064355469E-3</v>
      </c>
      <c r="D203" s="11">
        <v>0.33762600468891196</v>
      </c>
      <c r="F203" t="str">
        <f t="shared" si="3"/>
        <v>A</v>
      </c>
    </row>
    <row r="204" spans="1:6" x14ac:dyDescent="0.25">
      <c r="A204" s="22" t="s">
        <v>1214</v>
      </c>
      <c r="B204" s="6">
        <v>4738.5261</v>
      </c>
      <c r="C204" s="11">
        <v>2.9320699934107255E-3</v>
      </c>
      <c r="D204" s="11">
        <v>0.34055807468232269</v>
      </c>
      <c r="F204" t="str">
        <f t="shared" si="3"/>
        <v>A</v>
      </c>
    </row>
    <row r="205" spans="1:6" x14ac:dyDescent="0.25">
      <c r="A205" s="22" t="s">
        <v>898</v>
      </c>
      <c r="B205" s="6">
        <v>11851.806399999999</v>
      </c>
      <c r="C205" s="11">
        <v>7.3335727565483266E-3</v>
      </c>
      <c r="D205" s="11">
        <v>0.34789164743887102</v>
      </c>
      <c r="F205" t="str">
        <f t="shared" si="3"/>
        <v>A</v>
      </c>
    </row>
    <row r="206" spans="1:6" x14ac:dyDescent="0.25">
      <c r="A206" s="22" t="s">
        <v>760</v>
      </c>
      <c r="B206" s="6">
        <v>1756.6999999999998</v>
      </c>
      <c r="C206" s="11">
        <v>1.0869977813195164E-3</v>
      </c>
      <c r="D206" s="11">
        <v>0.34897864522019051</v>
      </c>
      <c r="F206" t="str">
        <f t="shared" si="3"/>
        <v>A</v>
      </c>
    </row>
    <row r="207" spans="1:6" x14ac:dyDescent="0.25">
      <c r="A207" s="22" t="s">
        <v>882</v>
      </c>
      <c r="B207" s="6">
        <v>14877.464000000002</v>
      </c>
      <c r="C207" s="11">
        <v>9.2057666987311326E-3</v>
      </c>
      <c r="D207" s="11">
        <v>0.3581844119189217</v>
      </c>
      <c r="F207" t="str">
        <f t="shared" si="3"/>
        <v>A</v>
      </c>
    </row>
    <row r="208" spans="1:6" x14ac:dyDescent="0.25">
      <c r="A208" s="22" t="s">
        <v>877</v>
      </c>
      <c r="B208" s="6">
        <v>9969.4201499999999</v>
      </c>
      <c r="C208" s="11">
        <v>6.1688037707588557E-3</v>
      </c>
      <c r="D208" s="11">
        <v>0.36435321568968054</v>
      </c>
      <c r="F208" t="str">
        <f t="shared" si="3"/>
        <v>A</v>
      </c>
    </row>
    <row r="209" spans="1:6" x14ac:dyDescent="0.25">
      <c r="A209" s="22" t="s">
        <v>769</v>
      </c>
      <c r="B209" s="6">
        <v>6631.6443100000006</v>
      </c>
      <c r="C209" s="11">
        <v>4.1034796217169671E-3</v>
      </c>
      <c r="D209" s="11">
        <v>0.36845669531139752</v>
      </c>
      <c r="F209" t="str">
        <f t="shared" si="3"/>
        <v>A</v>
      </c>
    </row>
    <row r="210" spans="1:6" x14ac:dyDescent="0.25">
      <c r="A210" s="22" t="s">
        <v>1262</v>
      </c>
      <c r="B210" s="6">
        <v>33421.1</v>
      </c>
      <c r="C210" s="11">
        <v>2.0680060083826318E-2</v>
      </c>
      <c r="D210" s="11">
        <v>0.3891367553952238</v>
      </c>
      <c r="F210" t="str">
        <f t="shared" si="3"/>
        <v>A</v>
      </c>
    </row>
    <row r="211" spans="1:6" x14ac:dyDescent="0.25">
      <c r="A211" s="22" t="s">
        <v>1329</v>
      </c>
      <c r="B211" s="6">
        <v>3116.21</v>
      </c>
      <c r="C211" s="11">
        <v>1.9282252838422557E-3</v>
      </c>
      <c r="D211" s="11">
        <v>0.39106498067906603</v>
      </c>
      <c r="F211" t="str">
        <f t="shared" si="3"/>
        <v>A</v>
      </c>
    </row>
    <row r="212" spans="1:6" x14ac:dyDescent="0.25">
      <c r="A212" s="22" t="s">
        <v>868</v>
      </c>
      <c r="B212" s="6">
        <v>12031.491680000001</v>
      </c>
      <c r="C212" s="11">
        <v>7.4447570798225216E-3</v>
      </c>
      <c r="D212" s="11">
        <v>0.39850973775888854</v>
      </c>
      <c r="F212" t="str">
        <f t="shared" si="3"/>
        <v>A</v>
      </c>
    </row>
    <row r="213" spans="1:6" x14ac:dyDescent="0.25">
      <c r="A213" s="22" t="s">
        <v>1176</v>
      </c>
      <c r="B213" s="6">
        <v>5960.04288</v>
      </c>
      <c r="C213" s="11">
        <v>3.6879110759544492E-3</v>
      </c>
      <c r="D213" s="11">
        <v>0.40219764883484299</v>
      </c>
      <c r="F213" t="str">
        <f t="shared" si="3"/>
        <v>A</v>
      </c>
    </row>
    <row r="214" spans="1:6" x14ac:dyDescent="0.25">
      <c r="A214" s="22" t="s">
        <v>1076</v>
      </c>
      <c r="B214" s="6">
        <v>20053.439999999999</v>
      </c>
      <c r="C214" s="11">
        <v>1.2408518692903764E-2</v>
      </c>
      <c r="D214" s="11">
        <v>0.41460616752774671</v>
      </c>
      <c r="F214" t="str">
        <f t="shared" si="3"/>
        <v>A</v>
      </c>
    </row>
    <row r="215" spans="1:6" x14ac:dyDescent="0.25">
      <c r="A215" s="22" t="s">
        <v>1343</v>
      </c>
      <c r="B215" s="6">
        <v>18003.847679999999</v>
      </c>
      <c r="C215" s="11">
        <v>1.1140287176737361E-2</v>
      </c>
      <c r="D215" s="11">
        <v>0.42574645470448408</v>
      </c>
      <c r="F215" t="str">
        <f t="shared" si="3"/>
        <v>A</v>
      </c>
    </row>
    <row r="216" spans="1:6" x14ac:dyDescent="0.25">
      <c r="A216" s="22" t="s">
        <v>872</v>
      </c>
      <c r="B216" s="6">
        <v>35567.737920000007</v>
      </c>
      <c r="C216" s="11">
        <v>2.2008340755731794E-2</v>
      </c>
      <c r="D216" s="11">
        <v>0.44775479546021585</v>
      </c>
      <c r="F216" t="str">
        <f t="shared" si="3"/>
        <v>A</v>
      </c>
    </row>
    <row r="217" spans="1:6" x14ac:dyDescent="0.25">
      <c r="A217" s="22" t="s">
        <v>927</v>
      </c>
      <c r="B217" s="6">
        <v>4402.1164799999997</v>
      </c>
      <c r="C217" s="11">
        <v>2.7239089468150961E-3</v>
      </c>
      <c r="D217" s="11">
        <v>0.45047870440703092</v>
      </c>
      <c r="F217" t="str">
        <f t="shared" si="3"/>
        <v>A</v>
      </c>
    </row>
    <row r="218" spans="1:6" x14ac:dyDescent="0.25">
      <c r="A218" s="22" t="s">
        <v>974</v>
      </c>
      <c r="B218" s="6">
        <v>4436.6291200000005</v>
      </c>
      <c r="C218" s="11">
        <v>2.7452644219147036E-3</v>
      </c>
      <c r="D218" s="11">
        <v>0.45322396882894567</v>
      </c>
      <c r="F218" t="str">
        <f t="shared" si="3"/>
        <v>A</v>
      </c>
    </row>
    <row r="219" spans="1:6" x14ac:dyDescent="0.25">
      <c r="A219" s="22" t="s">
        <v>1336</v>
      </c>
      <c r="B219" s="6">
        <v>5457.4317000000001</v>
      </c>
      <c r="C219" s="11">
        <v>3.3769090622205256E-3</v>
      </c>
      <c r="D219" s="11">
        <v>0.45660087789116616</v>
      </c>
      <c r="F219" t="str">
        <f t="shared" si="3"/>
        <v>A</v>
      </c>
    </row>
    <row r="220" spans="1:6" x14ac:dyDescent="0.25">
      <c r="A220" s="22" t="s">
        <v>910</v>
      </c>
      <c r="B220" s="6">
        <v>15656.47056</v>
      </c>
      <c r="C220" s="11">
        <v>9.6877945932796316E-3</v>
      </c>
      <c r="D220" s="11">
        <v>0.46628867248444583</v>
      </c>
      <c r="F220" t="str">
        <f t="shared" si="3"/>
        <v>A</v>
      </c>
    </row>
    <row r="221" spans="1:6" x14ac:dyDescent="0.25">
      <c r="A221" s="22" t="s">
        <v>1347</v>
      </c>
      <c r="B221" s="6">
        <v>10464.138360000001</v>
      </c>
      <c r="C221" s="11">
        <v>6.4749218311267974E-3</v>
      </c>
      <c r="D221" s="11">
        <v>0.47276359431557263</v>
      </c>
      <c r="F221" t="str">
        <f t="shared" si="3"/>
        <v>A</v>
      </c>
    </row>
    <row r="222" spans="1:6" x14ac:dyDescent="0.25">
      <c r="A222" s="22" t="s">
        <v>1071</v>
      </c>
      <c r="B222" s="6">
        <v>38535.955099999999</v>
      </c>
      <c r="C222" s="11">
        <v>2.3844992141360793E-2</v>
      </c>
      <c r="D222" s="11">
        <v>0.49660858645693345</v>
      </c>
      <c r="F222" t="str">
        <f t="shared" si="3"/>
        <v>A</v>
      </c>
    </row>
    <row r="223" spans="1:6" x14ac:dyDescent="0.25">
      <c r="A223" s="22" t="s">
        <v>977</v>
      </c>
      <c r="B223" s="6">
        <v>748.22303999999997</v>
      </c>
      <c r="C223" s="11">
        <v>4.6297989663126536E-4</v>
      </c>
      <c r="D223" s="11">
        <v>0.49707156635356464</v>
      </c>
      <c r="F223" t="str">
        <f t="shared" si="3"/>
        <v>A</v>
      </c>
    </row>
    <row r="224" spans="1:6" x14ac:dyDescent="0.25">
      <c r="A224" s="22" t="s">
        <v>1340</v>
      </c>
      <c r="B224" s="6">
        <v>2736.27018</v>
      </c>
      <c r="C224" s="11">
        <v>1.6931289433316753E-3</v>
      </c>
      <c r="D224" s="11">
        <v>0.49876469529689632</v>
      </c>
      <c r="F224" t="str">
        <f t="shared" si="3"/>
        <v>A</v>
      </c>
    </row>
    <row r="225" spans="1:6" x14ac:dyDescent="0.25">
      <c r="A225" s="22" t="s">
        <v>1134</v>
      </c>
      <c r="B225" s="6">
        <v>17427.164800000002</v>
      </c>
      <c r="C225" s="11">
        <v>1.0783451626509693E-2</v>
      </c>
      <c r="D225" s="11">
        <v>0.509548146923406</v>
      </c>
      <c r="F225" t="str">
        <f t="shared" si="3"/>
        <v>A</v>
      </c>
    </row>
    <row r="226" spans="1:6" x14ac:dyDescent="0.25">
      <c r="A226" s="22" t="s">
        <v>952</v>
      </c>
      <c r="B226" s="6">
        <v>6535.6324800000002</v>
      </c>
      <c r="C226" s="11">
        <v>4.04407013450206E-3</v>
      </c>
      <c r="D226" s="11">
        <v>0.51359221705790814</v>
      </c>
      <c r="F226" t="str">
        <f t="shared" si="3"/>
        <v>A</v>
      </c>
    </row>
    <row r="227" spans="1:6" x14ac:dyDescent="0.25">
      <c r="A227" s="22" t="s">
        <v>1350</v>
      </c>
      <c r="B227" s="6">
        <v>25174.028880000002</v>
      </c>
      <c r="C227" s="11">
        <v>1.5576998656249464E-2</v>
      </c>
      <c r="D227" s="11">
        <v>0.52916921571415754</v>
      </c>
      <c r="F227" t="str">
        <f t="shared" si="3"/>
        <v>A</v>
      </c>
    </row>
    <row r="228" spans="1:6" x14ac:dyDescent="0.25">
      <c r="A228" s="22" t="s">
        <v>1221</v>
      </c>
      <c r="B228" s="6">
        <v>4025.8565599999993</v>
      </c>
      <c r="C228" s="11">
        <v>2.4910896275007798E-3</v>
      </c>
      <c r="D228" s="11">
        <v>0.53166030534165831</v>
      </c>
      <c r="F228" t="str">
        <f t="shared" si="3"/>
        <v>A</v>
      </c>
    </row>
    <row r="229" spans="1:6" x14ac:dyDescent="0.25">
      <c r="A229" s="22" t="s">
        <v>1151</v>
      </c>
      <c r="B229" s="6">
        <v>741.43835999999999</v>
      </c>
      <c r="C229" s="11">
        <v>4.5878172272168324E-4</v>
      </c>
      <c r="D229" s="11">
        <v>0.53211908706438005</v>
      </c>
      <c r="F229" t="str">
        <f t="shared" si="3"/>
        <v>A</v>
      </c>
    </row>
    <row r="230" spans="1:6" x14ac:dyDescent="0.25">
      <c r="A230" s="22" t="s">
        <v>1115</v>
      </c>
      <c r="B230" s="6">
        <v>37562.28</v>
      </c>
      <c r="C230" s="11">
        <v>2.3242508693176095E-2</v>
      </c>
      <c r="D230" s="11">
        <v>0.55536159575755617</v>
      </c>
      <c r="F230" t="str">
        <f t="shared" si="3"/>
        <v>A</v>
      </c>
    </row>
    <row r="231" spans="1:6" x14ac:dyDescent="0.25">
      <c r="A231" s="22" t="s">
        <v>942</v>
      </c>
      <c r="B231" s="6">
        <v>15825.399369999997</v>
      </c>
      <c r="C231" s="11">
        <v>9.7923231079212556E-3</v>
      </c>
      <c r="D231" s="11">
        <v>0.56515391886547739</v>
      </c>
      <c r="F231" t="str">
        <f t="shared" si="3"/>
        <v>A</v>
      </c>
    </row>
    <row r="232" spans="1:6" x14ac:dyDescent="0.25">
      <c r="A232" s="22" t="s">
        <v>1335</v>
      </c>
      <c r="B232" s="6">
        <v>39810.328000000001</v>
      </c>
      <c r="C232" s="11">
        <v>2.4633539141345834E-2</v>
      </c>
      <c r="D232" s="11">
        <v>0.58978745800682331</v>
      </c>
      <c r="F232" t="str">
        <f t="shared" si="3"/>
        <v>A</v>
      </c>
    </row>
    <row r="233" spans="1:6" x14ac:dyDescent="0.25">
      <c r="A233" s="22" t="s">
        <v>884</v>
      </c>
      <c r="B233" s="6">
        <v>7901.5041599999995</v>
      </c>
      <c r="C233" s="11">
        <v>4.889234070135441E-3</v>
      </c>
      <c r="D233" s="11">
        <v>0.59467669207695872</v>
      </c>
      <c r="F233" t="str">
        <f t="shared" si="3"/>
        <v>A</v>
      </c>
    </row>
    <row r="234" spans="1:6" x14ac:dyDescent="0.25">
      <c r="A234" s="22" t="s">
        <v>741</v>
      </c>
      <c r="B234" s="6">
        <v>685.06776000000002</v>
      </c>
      <c r="C234" s="11">
        <v>4.2390114144334891E-4</v>
      </c>
      <c r="D234" s="11">
        <v>0.59510059321840203</v>
      </c>
      <c r="F234" t="str">
        <f t="shared" si="3"/>
        <v>A</v>
      </c>
    </row>
    <row r="235" spans="1:6" x14ac:dyDescent="0.25">
      <c r="A235" s="22" t="s">
        <v>1157</v>
      </c>
      <c r="B235" s="6">
        <v>58091.634960000003</v>
      </c>
      <c r="C235" s="11">
        <v>3.5945510511039599E-2</v>
      </c>
      <c r="D235" s="11">
        <v>0.6310461037294417</v>
      </c>
      <c r="F235" t="str">
        <f t="shared" si="3"/>
        <v>A</v>
      </c>
    </row>
    <row r="236" spans="1:6" x14ac:dyDescent="0.25">
      <c r="A236" s="22" t="s">
        <v>850</v>
      </c>
      <c r="B236" s="6">
        <v>765.99195000000009</v>
      </c>
      <c r="C236" s="11">
        <v>4.7397481081494285E-4</v>
      </c>
      <c r="D236" s="11">
        <v>0.63152007854025671</v>
      </c>
      <c r="F236" t="str">
        <f t="shared" si="3"/>
        <v>A</v>
      </c>
    </row>
    <row r="237" spans="1:6" x14ac:dyDescent="0.25">
      <c r="A237" s="22" t="s">
        <v>826</v>
      </c>
      <c r="B237" s="6">
        <v>10161.46624</v>
      </c>
      <c r="C237" s="11">
        <v>6.2876366242575104E-3</v>
      </c>
      <c r="D237" s="11">
        <v>0.63780771516451418</v>
      </c>
      <c r="F237" t="str">
        <f t="shared" si="3"/>
        <v>A</v>
      </c>
    </row>
    <row r="238" spans="1:6" x14ac:dyDescent="0.25">
      <c r="A238" s="22" t="s">
        <v>1035</v>
      </c>
      <c r="B238" s="6">
        <v>9866.3104799999983</v>
      </c>
      <c r="C238" s="11">
        <v>6.1050023348149891E-3</v>
      </c>
      <c r="D238" s="11">
        <v>0.6439127174993291</v>
      </c>
      <c r="F238" t="str">
        <f t="shared" si="3"/>
        <v>A</v>
      </c>
    </row>
    <row r="239" spans="1:6" x14ac:dyDescent="0.25">
      <c r="A239" s="22" t="s">
        <v>773</v>
      </c>
      <c r="B239" s="6">
        <v>3562.1983800000003</v>
      </c>
      <c r="C239" s="11">
        <v>2.2041906618546002E-3</v>
      </c>
      <c r="D239" s="11">
        <v>0.64611690816118372</v>
      </c>
      <c r="F239" t="str">
        <f t="shared" si="3"/>
        <v>A</v>
      </c>
    </row>
    <row r="240" spans="1:6" x14ac:dyDescent="0.25">
      <c r="A240" s="22" t="s">
        <v>1292</v>
      </c>
      <c r="B240" s="6">
        <v>13251.48</v>
      </c>
      <c r="C240" s="11">
        <v>8.1996523932372899E-3</v>
      </c>
      <c r="D240" s="11">
        <v>0.65431656055442111</v>
      </c>
      <c r="F240" t="str">
        <f t="shared" si="3"/>
        <v>A</v>
      </c>
    </row>
    <row r="241" spans="1:6" x14ac:dyDescent="0.25">
      <c r="A241" s="22" t="s">
        <v>1093</v>
      </c>
      <c r="B241" s="6">
        <v>14813.731920000002</v>
      </c>
      <c r="C241" s="11">
        <v>9.1663310355223453E-3</v>
      </c>
      <c r="D241" s="11">
        <v>0.66348289158994334</v>
      </c>
      <c r="F241" t="str">
        <f t="shared" si="3"/>
        <v>A</v>
      </c>
    </row>
    <row r="242" spans="1:6" x14ac:dyDescent="0.25">
      <c r="A242" s="22" t="s">
        <v>1003</v>
      </c>
      <c r="B242" s="6">
        <v>7678.2113999999992</v>
      </c>
      <c r="C242" s="11">
        <v>4.7510666342017518E-3</v>
      </c>
      <c r="D242" s="11">
        <v>0.66823395822414511</v>
      </c>
      <c r="F242" t="str">
        <f t="shared" si="3"/>
        <v>A</v>
      </c>
    </row>
    <row r="243" spans="1:6" x14ac:dyDescent="0.25">
      <c r="A243" s="22" t="s">
        <v>750</v>
      </c>
      <c r="B243" s="6">
        <v>25948.414799999995</v>
      </c>
      <c r="C243" s="11">
        <v>1.6056167425490122E-2</v>
      </c>
      <c r="D243" s="11">
        <v>0.68429012564963509</v>
      </c>
      <c r="F243" t="str">
        <f t="shared" si="3"/>
        <v>A</v>
      </c>
    </row>
    <row r="244" spans="1:6" x14ac:dyDescent="0.25">
      <c r="A244" s="22" t="s">
        <v>1195</v>
      </c>
      <c r="B244" s="6">
        <v>4055.5175999999997</v>
      </c>
      <c r="C244" s="11">
        <v>2.5094430655787842E-3</v>
      </c>
      <c r="D244" s="11">
        <v>0.68679956871521386</v>
      </c>
      <c r="F244" t="str">
        <f t="shared" si="3"/>
        <v>A</v>
      </c>
    </row>
    <row r="245" spans="1:6" x14ac:dyDescent="0.25">
      <c r="A245" s="22" t="s">
        <v>933</v>
      </c>
      <c r="B245" s="6">
        <v>55880.483749999999</v>
      </c>
      <c r="C245" s="11">
        <v>3.457731078460255E-2</v>
      </c>
      <c r="D245" s="11">
        <v>0.72137687949981633</v>
      </c>
      <c r="F245" t="str">
        <f t="shared" si="3"/>
        <v>A</v>
      </c>
    </row>
    <row r="246" spans="1:6" x14ac:dyDescent="0.25">
      <c r="A246" s="22" t="s">
        <v>963</v>
      </c>
      <c r="B246" s="6">
        <v>7446.5209000000004</v>
      </c>
      <c r="C246" s="11">
        <v>4.6077029070697387E-3</v>
      </c>
      <c r="D246" s="11">
        <v>0.72598458240688601</v>
      </c>
      <c r="F246" t="str">
        <f t="shared" si="3"/>
        <v>A</v>
      </c>
    </row>
    <row r="247" spans="1:6" x14ac:dyDescent="0.25">
      <c r="A247" s="22" t="s">
        <v>1204</v>
      </c>
      <c r="B247" s="6">
        <v>36549.429260000004</v>
      </c>
      <c r="C247" s="11">
        <v>2.2615784433377709E-2</v>
      </c>
      <c r="D247" s="11">
        <v>0.74860036684026376</v>
      </c>
      <c r="F247" t="str">
        <f t="shared" si="3"/>
        <v>A</v>
      </c>
    </row>
    <row r="248" spans="1:6" x14ac:dyDescent="0.25">
      <c r="A248" s="22" t="s">
        <v>887</v>
      </c>
      <c r="B248" s="6">
        <v>29654.83008</v>
      </c>
      <c r="C248" s="11">
        <v>1.8349595549819128E-2</v>
      </c>
      <c r="D248" s="11">
        <v>0.76694996239008295</v>
      </c>
      <c r="F248" t="str">
        <f t="shared" si="3"/>
        <v>A</v>
      </c>
    </row>
    <row r="249" spans="1:6" x14ac:dyDescent="0.25">
      <c r="A249" s="22" t="s">
        <v>772</v>
      </c>
      <c r="B249" s="6">
        <v>14968.239</v>
      </c>
      <c r="C249" s="11">
        <v>9.2619357791656268E-3</v>
      </c>
      <c r="D249" s="11">
        <v>0.77621189816924863</v>
      </c>
      <c r="F249" t="str">
        <f t="shared" si="3"/>
        <v>A</v>
      </c>
    </row>
    <row r="250" spans="1:6" x14ac:dyDescent="0.25">
      <c r="A250" s="22" t="s">
        <v>1084</v>
      </c>
      <c r="B250" s="6">
        <v>4132.0325200000007</v>
      </c>
      <c r="C250" s="11">
        <v>2.5567883996015775E-3</v>
      </c>
      <c r="D250" s="11">
        <v>0.77876868656885012</v>
      </c>
      <c r="F250" t="str">
        <f t="shared" si="3"/>
        <v>A</v>
      </c>
    </row>
    <row r="251" spans="1:6" x14ac:dyDescent="0.25">
      <c r="A251" s="22" t="s">
        <v>969</v>
      </c>
      <c r="B251" s="6">
        <v>17359.804799999998</v>
      </c>
      <c r="C251" s="11">
        <v>1.0741771105903051E-2</v>
      </c>
      <c r="D251" s="11">
        <v>0.78951045767475314</v>
      </c>
      <c r="F251" t="str">
        <f t="shared" si="3"/>
        <v>A</v>
      </c>
    </row>
    <row r="252" spans="1:6" x14ac:dyDescent="0.25">
      <c r="A252" s="22" t="s">
        <v>1030</v>
      </c>
      <c r="B252" s="6">
        <v>4241.88105</v>
      </c>
      <c r="C252" s="11">
        <v>2.6247596572956684E-3</v>
      </c>
      <c r="D252" s="11">
        <v>0.79213521733204884</v>
      </c>
      <c r="F252" t="str">
        <f t="shared" si="3"/>
        <v>A</v>
      </c>
    </row>
    <row r="253" spans="1:6" x14ac:dyDescent="0.25">
      <c r="A253" s="22" t="s">
        <v>1178</v>
      </c>
      <c r="B253" s="6">
        <v>1925.29872</v>
      </c>
      <c r="C253" s="11">
        <v>1.1913220453220841E-3</v>
      </c>
      <c r="D253" s="11">
        <v>0.79332653937737097</v>
      </c>
      <c r="F253" t="str">
        <f t="shared" si="3"/>
        <v>A</v>
      </c>
    </row>
    <row r="254" spans="1:6" x14ac:dyDescent="0.25">
      <c r="A254" s="22" t="s">
        <v>738</v>
      </c>
      <c r="B254" s="6">
        <v>10957.9797</v>
      </c>
      <c r="C254" s="11">
        <v>6.7804973083874882E-3</v>
      </c>
      <c r="D254" s="11">
        <v>0.80010703668575844</v>
      </c>
      <c r="F254" t="str">
        <f t="shared" si="3"/>
        <v>B</v>
      </c>
    </row>
    <row r="255" spans="1:6" x14ac:dyDescent="0.25">
      <c r="A255" s="22" t="s">
        <v>913</v>
      </c>
      <c r="B255" s="6">
        <v>4420.5961799999995</v>
      </c>
      <c r="C255" s="11">
        <v>2.7353436783568792E-3</v>
      </c>
      <c r="D255" s="11">
        <v>0.80284238036411537</v>
      </c>
      <c r="F255" t="str">
        <f t="shared" si="3"/>
        <v>B</v>
      </c>
    </row>
    <row r="256" spans="1:6" x14ac:dyDescent="0.25">
      <c r="A256" s="22" t="s">
        <v>886</v>
      </c>
      <c r="B256" s="6">
        <v>4139.8127999999997</v>
      </c>
      <c r="C256" s="11">
        <v>2.5616026234861586E-3</v>
      </c>
      <c r="D256" s="11">
        <v>0.80540398298760152</v>
      </c>
      <c r="F256" t="str">
        <f t="shared" si="3"/>
        <v>B</v>
      </c>
    </row>
    <row r="257" spans="1:6" x14ac:dyDescent="0.25">
      <c r="A257" s="22" t="s">
        <v>747</v>
      </c>
      <c r="B257" s="6">
        <v>21585.15</v>
      </c>
      <c r="C257" s="11">
        <v>1.3356298832725544E-2</v>
      </c>
      <c r="D257" s="11">
        <v>0.81876028182032701</v>
      </c>
      <c r="F257" t="str">
        <f t="shared" si="3"/>
        <v>B</v>
      </c>
    </row>
    <row r="258" spans="1:6" x14ac:dyDescent="0.25">
      <c r="A258" s="22" t="s">
        <v>935</v>
      </c>
      <c r="B258" s="6">
        <v>4637.7968000000001</v>
      </c>
      <c r="C258" s="11">
        <v>2.8697414651396103E-3</v>
      </c>
      <c r="D258" s="11">
        <v>0.82163002328546653</v>
      </c>
      <c r="F258" t="str">
        <f t="shared" si="3"/>
        <v>B</v>
      </c>
    </row>
    <row r="259" spans="1:6" x14ac:dyDescent="0.25">
      <c r="A259" s="22" t="s">
        <v>1107</v>
      </c>
      <c r="B259" s="6">
        <v>4117.4880599999997</v>
      </c>
      <c r="C259" s="11">
        <v>2.5477886866451869E-3</v>
      </c>
      <c r="D259" s="11">
        <v>0.82417781197211171</v>
      </c>
      <c r="F259" t="str">
        <f t="shared" si="3"/>
        <v>B</v>
      </c>
    </row>
    <row r="260" spans="1:6" x14ac:dyDescent="0.25">
      <c r="A260" s="22" t="s">
        <v>1008</v>
      </c>
      <c r="B260" s="6">
        <v>11417.429099999999</v>
      </c>
      <c r="C260" s="11">
        <v>7.0647919963982946E-3</v>
      </c>
      <c r="D260" s="11">
        <v>0.83124260396851002</v>
      </c>
      <c r="F260" t="str">
        <f t="shared" si="3"/>
        <v>B</v>
      </c>
    </row>
    <row r="261" spans="1:6" x14ac:dyDescent="0.25">
      <c r="A261" s="22" t="s">
        <v>1025</v>
      </c>
      <c r="B261" s="6">
        <v>1098.9470800000001</v>
      </c>
      <c r="C261" s="11">
        <v>6.7999831374028648E-4</v>
      </c>
      <c r="D261" s="11">
        <v>0.83192260228225035</v>
      </c>
      <c r="F261" t="str">
        <f t="shared" ref="F261:F324" si="4">IF(D261="","",IF(D261&lt;=0.8,"A",IF(D261&lt;=0.95,"B","C")))</f>
        <v>B</v>
      </c>
    </row>
    <row r="262" spans="1:6" x14ac:dyDescent="0.25">
      <c r="A262" s="22" t="s">
        <v>1119</v>
      </c>
      <c r="B262" s="6">
        <v>9586.8057599999993</v>
      </c>
      <c r="C262" s="11">
        <v>5.932052479684158E-3</v>
      </c>
      <c r="D262" s="11">
        <v>0.83785465476193444</v>
      </c>
      <c r="F262" t="str">
        <f t="shared" si="4"/>
        <v>B</v>
      </c>
    </row>
    <row r="263" spans="1:6" x14ac:dyDescent="0.25">
      <c r="A263" s="22" t="s">
        <v>829</v>
      </c>
      <c r="B263" s="6">
        <v>43209.006119999991</v>
      </c>
      <c r="C263" s="11">
        <v>2.6736547950965674E-2</v>
      </c>
      <c r="D263" s="11">
        <v>0.86459120271290013</v>
      </c>
      <c r="F263" t="str">
        <f t="shared" si="4"/>
        <v>B</v>
      </c>
    </row>
    <row r="264" spans="1:6" x14ac:dyDescent="0.25">
      <c r="A264" s="22" t="s">
        <v>1342</v>
      </c>
      <c r="B264" s="6">
        <v>10260.060159999999</v>
      </c>
      <c r="C264" s="11">
        <v>6.3486438379488598E-3</v>
      </c>
      <c r="D264" s="11">
        <v>0.87093984655084911</v>
      </c>
      <c r="F264" t="str">
        <f t="shared" si="4"/>
        <v>B</v>
      </c>
    </row>
    <row r="265" spans="1:6" x14ac:dyDescent="0.25">
      <c r="A265" s="22" t="s">
        <v>735</v>
      </c>
      <c r="B265" s="6">
        <v>17960.432489999999</v>
      </c>
      <c r="C265" s="11">
        <v>1.1113423047856183E-2</v>
      </c>
      <c r="D265" s="11">
        <v>0.88205326959870523</v>
      </c>
      <c r="F265" t="str">
        <f t="shared" si="4"/>
        <v>B</v>
      </c>
    </row>
    <row r="266" spans="1:6" x14ac:dyDescent="0.25">
      <c r="A266" s="22" t="s">
        <v>1139</v>
      </c>
      <c r="B266" s="6">
        <v>22457.143800000002</v>
      </c>
      <c r="C266" s="11">
        <v>1.3895864681148368E-2</v>
      </c>
      <c r="D266" s="11">
        <v>0.89594913427985357</v>
      </c>
      <c r="F266" t="str">
        <f t="shared" si="4"/>
        <v>B</v>
      </c>
    </row>
    <row r="267" spans="1:6" x14ac:dyDescent="0.25">
      <c r="A267" s="22" t="s">
        <v>1203</v>
      </c>
      <c r="B267" s="6">
        <v>10428.057360000001</v>
      </c>
      <c r="C267" s="11">
        <v>6.4525958978725196E-3</v>
      </c>
      <c r="D267" s="11">
        <v>0.90240173017772607</v>
      </c>
      <c r="F267" t="str">
        <f t="shared" si="4"/>
        <v>B</v>
      </c>
    </row>
    <row r="268" spans="1:6" x14ac:dyDescent="0.25">
      <c r="A268" s="22" t="s">
        <v>1090</v>
      </c>
      <c r="B268" s="6">
        <v>43907.94</v>
      </c>
      <c r="C268" s="11">
        <v>2.7169029067177351E-2</v>
      </c>
      <c r="D268" s="11">
        <v>0.9295707592449034</v>
      </c>
      <c r="F268" t="str">
        <f t="shared" si="4"/>
        <v>B</v>
      </c>
    </row>
    <row r="269" spans="1:6" x14ac:dyDescent="0.25">
      <c r="A269" s="22" t="s">
        <v>1177</v>
      </c>
      <c r="B269" s="6">
        <v>21664.440000000002</v>
      </c>
      <c r="C269" s="11">
        <v>1.3405361310143899E-2</v>
      </c>
      <c r="D269" s="11">
        <v>0.94297612055504731</v>
      </c>
      <c r="F269" t="str">
        <f t="shared" si="4"/>
        <v>B</v>
      </c>
    </row>
    <row r="270" spans="1:6" x14ac:dyDescent="0.25">
      <c r="A270" s="22" t="s">
        <v>1280</v>
      </c>
      <c r="B270" s="6">
        <v>31822.023930000003</v>
      </c>
      <c r="C270" s="11">
        <v>1.9690595667448376E-2</v>
      </c>
      <c r="D270" s="11">
        <v>0.96266671622249567</v>
      </c>
      <c r="F270" t="str">
        <f t="shared" si="4"/>
        <v>C</v>
      </c>
    </row>
    <row r="271" spans="1:6" x14ac:dyDescent="0.25">
      <c r="A271" s="22" t="s">
        <v>815</v>
      </c>
      <c r="B271" s="6">
        <v>18258.868320000001</v>
      </c>
      <c r="C271" s="11">
        <v>1.1298086954656577E-2</v>
      </c>
      <c r="D271" s="11">
        <v>0.97396480317715217</v>
      </c>
      <c r="F271" t="str">
        <f t="shared" si="4"/>
        <v>C</v>
      </c>
    </row>
    <row r="272" spans="1:6" x14ac:dyDescent="0.25">
      <c r="A272" s="22" t="s">
        <v>777</v>
      </c>
      <c r="B272" s="6">
        <v>10666.229420000001</v>
      </c>
      <c r="C272" s="11">
        <v>6.5999702365713868E-3</v>
      </c>
      <c r="D272" s="11">
        <v>0.9805647734137235</v>
      </c>
      <c r="F272" t="str">
        <f t="shared" si="4"/>
        <v>C</v>
      </c>
    </row>
    <row r="273" spans="1:6" x14ac:dyDescent="0.25">
      <c r="A273" s="22" t="s">
        <v>1333</v>
      </c>
      <c r="B273" s="6">
        <v>7466.3063999999986</v>
      </c>
      <c r="C273" s="11">
        <v>4.6199456318390762E-3</v>
      </c>
      <c r="D273" s="11">
        <v>0.98518471904556248</v>
      </c>
      <c r="F273" t="str">
        <f t="shared" si="4"/>
        <v>C</v>
      </c>
    </row>
    <row r="274" spans="1:6" x14ac:dyDescent="0.25">
      <c r="A274" s="22" t="s">
        <v>1330</v>
      </c>
      <c r="B274" s="6">
        <v>4409.5168800000001</v>
      </c>
      <c r="C274" s="11">
        <v>2.7284881113741428E-3</v>
      </c>
      <c r="D274" s="11">
        <v>0.98791320715693665</v>
      </c>
      <c r="F274" t="str">
        <f t="shared" si="4"/>
        <v>C</v>
      </c>
    </row>
    <row r="275" spans="1:6" x14ac:dyDescent="0.25">
      <c r="A275" s="22" t="s">
        <v>1088</v>
      </c>
      <c r="B275" s="6">
        <v>1122.0896000000002</v>
      </c>
      <c r="C275" s="11">
        <v>6.9431827041709115E-4</v>
      </c>
      <c r="D275" s="11">
        <v>0.98860752542735375</v>
      </c>
      <c r="F275" t="str">
        <f t="shared" si="4"/>
        <v>C</v>
      </c>
    </row>
    <row r="276" spans="1:6" x14ac:dyDescent="0.25">
      <c r="A276" s="22" t="s">
        <v>1148</v>
      </c>
      <c r="B276" s="6">
        <v>18411.4084</v>
      </c>
      <c r="C276" s="11">
        <v>1.1392474572646159E-2</v>
      </c>
      <c r="D276" s="11">
        <v>1</v>
      </c>
      <c r="F276" t="str">
        <f t="shared" si="4"/>
        <v>C</v>
      </c>
    </row>
    <row r="277" spans="1:6" x14ac:dyDescent="0.25">
      <c r="A277" s="19" t="s">
        <v>732</v>
      </c>
      <c r="B277" s="6">
        <v>1551152.7018699993</v>
      </c>
      <c r="C277" s="11">
        <v>0.14193197910444666</v>
      </c>
      <c r="D277" s="11"/>
      <c r="F277" t="str">
        <f t="shared" si="4"/>
        <v/>
      </c>
    </row>
    <row r="278" spans="1:6" x14ac:dyDescent="0.25">
      <c r="A278" s="22" t="s">
        <v>1073</v>
      </c>
      <c r="B278" s="6">
        <v>26106.613960000002</v>
      </c>
      <c r="C278" s="11">
        <v>1.6830460294803378E-2</v>
      </c>
      <c r="D278" s="11">
        <v>1.6830460294803378E-2</v>
      </c>
      <c r="F278" t="str">
        <f t="shared" si="4"/>
        <v>A</v>
      </c>
    </row>
    <row r="279" spans="1:6" x14ac:dyDescent="0.25">
      <c r="A279" s="22" t="s">
        <v>1300</v>
      </c>
      <c r="B279" s="6">
        <v>25079.480689999997</v>
      </c>
      <c r="C279" s="11">
        <v>1.6168286113781908E-2</v>
      </c>
      <c r="D279" s="11">
        <v>3.2998746408585286E-2</v>
      </c>
      <c r="F279" t="str">
        <f t="shared" si="4"/>
        <v>A</v>
      </c>
    </row>
    <row r="280" spans="1:6" x14ac:dyDescent="0.25">
      <c r="A280" s="22" t="s">
        <v>1048</v>
      </c>
      <c r="B280" s="6">
        <v>5032.4433599999993</v>
      </c>
      <c r="C280" s="11">
        <v>3.2443249165173189E-3</v>
      </c>
      <c r="D280" s="11">
        <v>3.6243071325102599E-2</v>
      </c>
      <c r="F280" t="str">
        <f t="shared" si="4"/>
        <v>A</v>
      </c>
    </row>
    <row r="281" spans="1:6" x14ac:dyDescent="0.25">
      <c r="A281" s="22" t="s">
        <v>1005</v>
      </c>
      <c r="B281" s="6">
        <v>7120.6486400000003</v>
      </c>
      <c r="C281" s="11">
        <v>4.5905529683929053E-3</v>
      </c>
      <c r="D281" s="11">
        <v>4.0833624293495505E-2</v>
      </c>
      <c r="F281" t="str">
        <f t="shared" si="4"/>
        <v>A</v>
      </c>
    </row>
    <row r="282" spans="1:6" x14ac:dyDescent="0.25">
      <c r="A282" s="22" t="s">
        <v>1325</v>
      </c>
      <c r="B282" s="6">
        <v>5725.6496000000006</v>
      </c>
      <c r="C282" s="11">
        <v>3.6912224006684946E-3</v>
      </c>
      <c r="D282" s="11">
        <v>4.4524846694163997E-2</v>
      </c>
      <c r="F282" t="str">
        <f t="shared" si="4"/>
        <v>A</v>
      </c>
    </row>
    <row r="283" spans="1:6" x14ac:dyDescent="0.25">
      <c r="A283" s="22" t="s">
        <v>950</v>
      </c>
      <c r="B283" s="6">
        <v>7738.9596900000006</v>
      </c>
      <c r="C283" s="11">
        <v>4.9891668825836821E-3</v>
      </c>
      <c r="D283" s="11">
        <v>4.951401357674768E-2</v>
      </c>
      <c r="F283" t="str">
        <f t="shared" si="4"/>
        <v>A</v>
      </c>
    </row>
    <row r="284" spans="1:6" x14ac:dyDescent="0.25">
      <c r="A284" s="22" t="s">
        <v>920</v>
      </c>
      <c r="B284" s="6">
        <v>4831.9464600000001</v>
      </c>
      <c r="C284" s="11">
        <v>3.1150682032625317E-3</v>
      </c>
      <c r="D284" s="11">
        <v>5.2629081780010217E-2</v>
      </c>
      <c r="F284" t="str">
        <f t="shared" si="4"/>
        <v>A</v>
      </c>
    </row>
    <row r="285" spans="1:6" x14ac:dyDescent="0.25">
      <c r="A285" s="22" t="s">
        <v>939</v>
      </c>
      <c r="B285" s="6">
        <v>26131.70736</v>
      </c>
      <c r="C285" s="11">
        <v>1.6846637554443739E-2</v>
      </c>
      <c r="D285" s="11">
        <v>6.9475719334453956E-2</v>
      </c>
      <c r="F285" t="str">
        <f t="shared" si="4"/>
        <v>A</v>
      </c>
    </row>
    <row r="286" spans="1:6" x14ac:dyDescent="0.25">
      <c r="A286" s="22" t="s">
        <v>830</v>
      </c>
      <c r="B286" s="6">
        <v>147.00756000000001</v>
      </c>
      <c r="C286" s="11">
        <v>9.4773106363270603E-5</v>
      </c>
      <c r="D286" s="11">
        <v>6.9570492440817228E-2</v>
      </c>
      <c r="F286" t="str">
        <f t="shared" si="4"/>
        <v>A</v>
      </c>
    </row>
    <row r="287" spans="1:6" x14ac:dyDescent="0.25">
      <c r="A287" s="22" t="s">
        <v>1138</v>
      </c>
      <c r="B287" s="6">
        <v>13437.300239999999</v>
      </c>
      <c r="C287" s="11">
        <v>8.6627836342615394E-3</v>
      </c>
      <c r="D287" s="11">
        <v>7.8233276075078767E-2</v>
      </c>
      <c r="F287" t="str">
        <f t="shared" si="4"/>
        <v>A</v>
      </c>
    </row>
    <row r="288" spans="1:6" x14ac:dyDescent="0.25">
      <c r="A288" s="22" t="s">
        <v>901</v>
      </c>
      <c r="B288" s="6">
        <v>12413.98458</v>
      </c>
      <c r="C288" s="11">
        <v>8.0030705971335155E-3</v>
      </c>
      <c r="D288" s="11">
        <v>8.6236346672212277E-2</v>
      </c>
      <c r="F288" t="str">
        <f t="shared" si="4"/>
        <v>A</v>
      </c>
    </row>
    <row r="289" spans="1:6" x14ac:dyDescent="0.25">
      <c r="A289" s="22" t="s">
        <v>874</v>
      </c>
      <c r="B289" s="6">
        <v>87404.929919999995</v>
      </c>
      <c r="C289" s="11">
        <v>5.634837228767263E-2</v>
      </c>
      <c r="D289" s="11">
        <v>0.14258471895988489</v>
      </c>
      <c r="F289" t="str">
        <f t="shared" si="4"/>
        <v>A</v>
      </c>
    </row>
    <row r="290" spans="1:6" x14ac:dyDescent="0.25">
      <c r="A290" s="22" t="s">
        <v>802</v>
      </c>
      <c r="B290" s="6">
        <v>8671.7354400000004</v>
      </c>
      <c r="C290" s="11">
        <v>5.5905104826531587E-3</v>
      </c>
      <c r="D290" s="11">
        <v>0.14817522944253805</v>
      </c>
      <c r="F290" t="str">
        <f t="shared" si="4"/>
        <v>A</v>
      </c>
    </row>
    <row r="291" spans="1:6" x14ac:dyDescent="0.25">
      <c r="A291" s="22" t="s">
        <v>1206</v>
      </c>
      <c r="B291" s="6">
        <v>8330.2513199999994</v>
      </c>
      <c r="C291" s="11">
        <v>5.370361866989257E-3</v>
      </c>
      <c r="D291" s="11">
        <v>0.15354559130952733</v>
      </c>
      <c r="F291" t="str">
        <f t="shared" si="4"/>
        <v>A</v>
      </c>
    </row>
    <row r="292" spans="1:6" x14ac:dyDescent="0.25">
      <c r="A292" s="22" t="s">
        <v>1243</v>
      </c>
      <c r="B292" s="6">
        <v>9232.2830599999998</v>
      </c>
      <c r="C292" s="11">
        <v>5.9518853616861694E-3</v>
      </c>
      <c r="D292" s="11">
        <v>0.15949747667121347</v>
      </c>
      <c r="F292" t="str">
        <f t="shared" si="4"/>
        <v>A</v>
      </c>
    </row>
    <row r="293" spans="1:6" x14ac:dyDescent="0.25">
      <c r="A293" s="22" t="s">
        <v>951</v>
      </c>
      <c r="B293" s="6">
        <v>2231.6467200000002</v>
      </c>
      <c r="C293" s="11">
        <v>1.4387021453849309E-3</v>
      </c>
      <c r="D293" s="11">
        <v>0.16093617881659841</v>
      </c>
      <c r="F293" t="str">
        <f t="shared" si="4"/>
        <v>A</v>
      </c>
    </row>
    <row r="294" spans="1:6" x14ac:dyDescent="0.25">
      <c r="A294" s="22" t="s">
        <v>849</v>
      </c>
      <c r="B294" s="6">
        <v>24523.006720000001</v>
      </c>
      <c r="C294" s="11">
        <v>1.580953744298429E-2</v>
      </c>
      <c r="D294" s="11">
        <v>0.17674571625958269</v>
      </c>
      <c r="F294" t="str">
        <f t="shared" si="4"/>
        <v>A</v>
      </c>
    </row>
    <row r="295" spans="1:6" x14ac:dyDescent="0.25">
      <c r="A295" s="22" t="s">
        <v>981</v>
      </c>
      <c r="B295" s="6">
        <v>607.30668000000003</v>
      </c>
      <c r="C295" s="11">
        <v>3.9151959653479547E-4</v>
      </c>
      <c r="D295" s="11">
        <v>0.17713723585611749</v>
      </c>
      <c r="F295" t="str">
        <f t="shared" si="4"/>
        <v>A</v>
      </c>
    </row>
    <row r="296" spans="1:6" x14ac:dyDescent="0.25">
      <c r="A296" s="22" t="s">
        <v>1331</v>
      </c>
      <c r="B296" s="6">
        <v>5962.1422499999999</v>
      </c>
      <c r="C296" s="11">
        <v>3.8436849207768597E-3</v>
      </c>
      <c r="D296" s="11">
        <v>0.18098092077689432</v>
      </c>
      <c r="F296" t="str">
        <f t="shared" si="4"/>
        <v>A</v>
      </c>
    </row>
    <row r="297" spans="1:6" x14ac:dyDescent="0.25">
      <c r="A297" s="22" t="s">
        <v>823</v>
      </c>
      <c r="B297" s="6">
        <v>624.43503999999996</v>
      </c>
      <c r="C297" s="11">
        <v>4.0256193941912323E-4</v>
      </c>
      <c r="D297" s="11">
        <v>0.18138348271631347</v>
      </c>
      <c r="F297" t="str">
        <f t="shared" si="4"/>
        <v>A</v>
      </c>
    </row>
    <row r="298" spans="1:6" x14ac:dyDescent="0.25">
      <c r="A298" s="22" t="s">
        <v>1062</v>
      </c>
      <c r="B298" s="6">
        <v>6229.7423999999992</v>
      </c>
      <c r="C298" s="11">
        <v>4.0162018816649742E-3</v>
      </c>
      <c r="D298" s="11">
        <v>0.18539968459797843</v>
      </c>
      <c r="F298" t="str">
        <f t="shared" si="4"/>
        <v>A</v>
      </c>
    </row>
    <row r="299" spans="1:6" x14ac:dyDescent="0.25">
      <c r="A299" s="22" t="s">
        <v>983</v>
      </c>
      <c r="B299" s="6">
        <v>11813.604160000001</v>
      </c>
      <c r="C299" s="11">
        <v>7.6160162347382408E-3</v>
      </c>
      <c r="D299" s="11">
        <v>0.19301570083271666</v>
      </c>
      <c r="F299" t="str">
        <f t="shared" si="4"/>
        <v>A</v>
      </c>
    </row>
    <row r="300" spans="1:6" x14ac:dyDescent="0.25">
      <c r="A300" s="22" t="s">
        <v>869</v>
      </c>
      <c r="B300" s="6">
        <v>27370.540859999997</v>
      </c>
      <c r="C300" s="11">
        <v>1.7645291032277684E-2</v>
      </c>
      <c r="D300" s="11">
        <v>0.21066099186499435</v>
      </c>
      <c r="F300" t="str">
        <f t="shared" si="4"/>
        <v>A</v>
      </c>
    </row>
    <row r="301" spans="1:6" x14ac:dyDescent="0.25">
      <c r="A301" s="22" t="s">
        <v>1007</v>
      </c>
      <c r="B301" s="6">
        <v>29536.716</v>
      </c>
      <c r="C301" s="11">
        <v>1.9041784838070345E-2</v>
      </c>
      <c r="D301" s="11">
        <v>0.22970277670306469</v>
      </c>
      <c r="F301" t="str">
        <f t="shared" si="4"/>
        <v>A</v>
      </c>
    </row>
    <row r="302" spans="1:6" x14ac:dyDescent="0.25">
      <c r="A302" s="22" t="s">
        <v>1161</v>
      </c>
      <c r="B302" s="6">
        <v>13450.74</v>
      </c>
      <c r="C302" s="11">
        <v>8.6714480036584399E-3</v>
      </c>
      <c r="D302" s="11">
        <v>0.23837422470672312</v>
      </c>
      <c r="F302" t="str">
        <f t="shared" si="4"/>
        <v>A</v>
      </c>
    </row>
    <row r="303" spans="1:6" x14ac:dyDescent="0.25">
      <c r="A303" s="22" t="s">
        <v>817</v>
      </c>
      <c r="B303" s="6">
        <v>524.81174999999996</v>
      </c>
      <c r="C303" s="11">
        <v>3.383366120997054E-4</v>
      </c>
      <c r="D303" s="11">
        <v>0.23871256131882282</v>
      </c>
      <c r="F303" t="str">
        <f t="shared" si="4"/>
        <v>A</v>
      </c>
    </row>
    <row r="304" spans="1:6" x14ac:dyDescent="0.25">
      <c r="A304" s="22" t="s">
        <v>1132</v>
      </c>
      <c r="B304" s="6">
        <v>12972.00222</v>
      </c>
      <c r="C304" s="11">
        <v>8.3628144439690192E-3</v>
      </c>
      <c r="D304" s="11">
        <v>0.24707537576279187</v>
      </c>
      <c r="F304" t="str">
        <f t="shared" si="4"/>
        <v>A</v>
      </c>
    </row>
    <row r="305" spans="1:6" x14ac:dyDescent="0.25">
      <c r="A305" s="22" t="s">
        <v>855</v>
      </c>
      <c r="B305" s="6">
        <v>22983.34563</v>
      </c>
      <c r="C305" s="11">
        <v>1.481694587663247E-2</v>
      </c>
      <c r="D305" s="11">
        <v>0.26189232163942433</v>
      </c>
      <c r="F305" t="str">
        <f t="shared" si="4"/>
        <v>A</v>
      </c>
    </row>
    <row r="306" spans="1:6" x14ac:dyDescent="0.25">
      <c r="A306" s="22" t="s">
        <v>1359</v>
      </c>
      <c r="B306" s="6">
        <v>5096.4790800000001</v>
      </c>
      <c r="C306" s="11">
        <v>3.2856075832224103E-3</v>
      </c>
      <c r="D306" s="11">
        <v>0.26517792922264677</v>
      </c>
      <c r="F306" t="str">
        <f t="shared" si="4"/>
        <v>A</v>
      </c>
    </row>
    <row r="307" spans="1:6" x14ac:dyDescent="0.25">
      <c r="A307" s="22" t="s">
        <v>1152</v>
      </c>
      <c r="B307" s="6">
        <v>9509.2865999999995</v>
      </c>
      <c r="C307" s="11">
        <v>6.1304645174753173E-3</v>
      </c>
      <c r="D307" s="11">
        <v>0.27130839374012206</v>
      </c>
      <c r="F307" t="str">
        <f t="shared" si="4"/>
        <v>A</v>
      </c>
    </row>
    <row r="308" spans="1:6" x14ac:dyDescent="0.25">
      <c r="A308" s="22" t="s">
        <v>1349</v>
      </c>
      <c r="B308" s="6">
        <v>846.34703999999988</v>
      </c>
      <c r="C308" s="11">
        <v>5.4562457904994285E-4</v>
      </c>
      <c r="D308" s="11">
        <v>0.271854018319172</v>
      </c>
      <c r="F308" t="str">
        <f t="shared" si="4"/>
        <v>A</v>
      </c>
    </row>
    <row r="309" spans="1:6" x14ac:dyDescent="0.25">
      <c r="A309" s="22" t="s">
        <v>923</v>
      </c>
      <c r="B309" s="6">
        <v>8590.7094000000016</v>
      </c>
      <c r="C309" s="11">
        <v>5.5382744649468954E-3</v>
      </c>
      <c r="D309" s="11">
        <v>0.27739229278411892</v>
      </c>
      <c r="F309" t="str">
        <f t="shared" si="4"/>
        <v>A</v>
      </c>
    </row>
    <row r="310" spans="1:6" x14ac:dyDescent="0.25">
      <c r="A310" s="22" t="s">
        <v>1085</v>
      </c>
      <c r="B310" s="6">
        <v>16487.22781</v>
      </c>
      <c r="C310" s="11">
        <v>1.0629016595286684E-2</v>
      </c>
      <c r="D310" s="11">
        <v>0.28802130937940562</v>
      </c>
      <c r="F310" t="str">
        <f t="shared" si="4"/>
        <v>A</v>
      </c>
    </row>
    <row r="311" spans="1:6" x14ac:dyDescent="0.25">
      <c r="A311" s="22" t="s">
        <v>1283</v>
      </c>
      <c r="B311" s="6">
        <v>1846.8040799999999</v>
      </c>
      <c r="C311" s="11">
        <v>1.1906010786517515E-3</v>
      </c>
      <c r="D311" s="11">
        <v>0.28921191045805733</v>
      </c>
      <c r="F311" t="str">
        <f t="shared" si="4"/>
        <v>A</v>
      </c>
    </row>
    <row r="312" spans="1:6" x14ac:dyDescent="0.25">
      <c r="A312" s="22" t="s">
        <v>1031</v>
      </c>
      <c r="B312" s="6">
        <v>3190.8713200000002</v>
      </c>
      <c r="C312" s="11">
        <v>2.0570968391140539E-3</v>
      </c>
      <c r="D312" s="11">
        <v>0.29126900729717137</v>
      </c>
      <c r="F312" t="str">
        <f t="shared" si="4"/>
        <v>A</v>
      </c>
    </row>
    <row r="313" spans="1:6" x14ac:dyDescent="0.25">
      <c r="A313" s="22" t="s">
        <v>785</v>
      </c>
      <c r="B313" s="6">
        <v>599.53200000000004</v>
      </c>
      <c r="C313" s="11">
        <v>3.8650740141652818E-4</v>
      </c>
      <c r="D313" s="11">
        <v>0.29165551469858791</v>
      </c>
      <c r="F313" t="str">
        <f t="shared" si="4"/>
        <v>A</v>
      </c>
    </row>
    <row r="314" spans="1:6" x14ac:dyDescent="0.25">
      <c r="A314" s="22" t="s">
        <v>986</v>
      </c>
      <c r="B314" s="6">
        <v>17689.623</v>
      </c>
      <c r="C314" s="11">
        <v>1.1404178955865657E-2</v>
      </c>
      <c r="D314" s="11">
        <v>0.30305969365445357</v>
      </c>
      <c r="F314" t="str">
        <f t="shared" si="4"/>
        <v>A</v>
      </c>
    </row>
    <row r="315" spans="1:6" x14ac:dyDescent="0.25">
      <c r="A315" s="22" t="s">
        <v>1106</v>
      </c>
      <c r="B315" s="6">
        <v>32280.32474</v>
      </c>
      <c r="C315" s="11">
        <v>2.0810539607792517E-2</v>
      </c>
      <c r="D315" s="11">
        <v>0.32387023326224612</v>
      </c>
      <c r="F315" t="str">
        <f t="shared" si="4"/>
        <v>A</v>
      </c>
    </row>
    <row r="316" spans="1:6" x14ac:dyDescent="0.25">
      <c r="A316" s="22" t="s">
        <v>1166</v>
      </c>
      <c r="B316" s="6">
        <v>12967.958640000001</v>
      </c>
      <c r="C316" s="11">
        <v>8.3602076213169854E-3</v>
      </c>
      <c r="D316" s="11">
        <v>0.33223044088356313</v>
      </c>
      <c r="F316" t="str">
        <f t="shared" si="4"/>
        <v>A</v>
      </c>
    </row>
    <row r="317" spans="1:6" x14ac:dyDescent="0.25">
      <c r="A317" s="22" t="s">
        <v>1233</v>
      </c>
      <c r="B317" s="6">
        <v>20332.775539999999</v>
      </c>
      <c r="C317" s="11">
        <v>1.3108171436305225E-2</v>
      </c>
      <c r="D317" s="11">
        <v>0.34533861231986829</v>
      </c>
      <c r="F317" t="str">
        <f t="shared" si="4"/>
        <v>A</v>
      </c>
    </row>
    <row r="318" spans="1:6" x14ac:dyDescent="0.25">
      <c r="A318" s="22" t="s">
        <v>789</v>
      </c>
      <c r="B318" s="6">
        <v>31680.795320000001</v>
      </c>
      <c r="C318" s="11">
        <v>2.0424033869655175E-2</v>
      </c>
      <c r="D318" s="11">
        <v>0.36576264618952348</v>
      </c>
      <c r="F318" t="str">
        <f t="shared" si="4"/>
        <v>A</v>
      </c>
    </row>
    <row r="319" spans="1:6" x14ac:dyDescent="0.25">
      <c r="A319" s="22" t="s">
        <v>938</v>
      </c>
      <c r="B319" s="6">
        <v>25553.782800000001</v>
      </c>
      <c r="C319" s="11">
        <v>1.647406007751108E-2</v>
      </c>
      <c r="D319" s="11">
        <v>0.3822367062670346</v>
      </c>
      <c r="F319" t="str">
        <f t="shared" si="4"/>
        <v>A</v>
      </c>
    </row>
    <row r="320" spans="1:6" x14ac:dyDescent="0.25">
      <c r="A320" s="22" t="s">
        <v>1190</v>
      </c>
      <c r="B320" s="6">
        <v>7854.6931199999999</v>
      </c>
      <c r="C320" s="11">
        <v>5.0637781248298371E-3</v>
      </c>
      <c r="D320" s="11">
        <v>0.38730048439186443</v>
      </c>
      <c r="F320" t="str">
        <f t="shared" si="4"/>
        <v>A</v>
      </c>
    </row>
    <row r="321" spans="1:6" x14ac:dyDescent="0.25">
      <c r="A321" s="22" t="s">
        <v>864</v>
      </c>
      <c r="B321" s="6">
        <v>7703.8640800000003</v>
      </c>
      <c r="C321" s="11">
        <v>4.966541379654351E-3</v>
      </c>
      <c r="D321" s="11">
        <v>0.39226702577151873</v>
      </c>
      <c r="F321" t="str">
        <f t="shared" si="4"/>
        <v>A</v>
      </c>
    </row>
    <row r="322" spans="1:6" x14ac:dyDescent="0.25">
      <c r="A322" s="22" t="s">
        <v>797</v>
      </c>
      <c r="B322" s="6">
        <v>72665.817450000002</v>
      </c>
      <c r="C322" s="11">
        <v>4.6846333931145137E-2</v>
      </c>
      <c r="D322" s="11">
        <v>0.43911335970266385</v>
      </c>
      <c r="F322" t="str">
        <f t="shared" si="4"/>
        <v>A</v>
      </c>
    </row>
    <row r="323" spans="1:6" x14ac:dyDescent="0.25">
      <c r="A323" s="22" t="s">
        <v>967</v>
      </c>
      <c r="B323" s="6">
        <v>5280.8577599999999</v>
      </c>
      <c r="C323" s="11">
        <v>3.4044731725210789E-3</v>
      </c>
      <c r="D323" s="11">
        <v>0.44251783287518498</v>
      </c>
      <c r="F323" t="str">
        <f t="shared" si="4"/>
        <v>A</v>
      </c>
    </row>
    <row r="324" spans="1:6" x14ac:dyDescent="0.25">
      <c r="A324" s="22" t="s">
        <v>912</v>
      </c>
      <c r="B324" s="6">
        <v>7098.5495999999994</v>
      </c>
      <c r="C324" s="11">
        <v>4.5763061183095068E-3</v>
      </c>
      <c r="D324" s="11">
        <v>0.44709413899349448</v>
      </c>
      <c r="F324" t="str">
        <f t="shared" si="4"/>
        <v>A</v>
      </c>
    </row>
    <row r="325" spans="1:6" x14ac:dyDescent="0.25">
      <c r="A325" s="22" t="s">
        <v>1039</v>
      </c>
      <c r="B325" s="6">
        <v>1641.7107199999998</v>
      </c>
      <c r="C325" s="11">
        <v>1.0583811110413746E-3</v>
      </c>
      <c r="D325" s="11">
        <v>0.44815252010453582</v>
      </c>
      <c r="F325" t="str">
        <f t="shared" ref="F325:F388" si="5">IF(D325="","",IF(D325&lt;=0.8,"A",IF(D325&lt;=0.95,"B","C")))</f>
        <v>A</v>
      </c>
    </row>
    <row r="326" spans="1:6" x14ac:dyDescent="0.25">
      <c r="A326" s="22" t="s">
        <v>1181</v>
      </c>
      <c r="B326" s="6">
        <v>45547.183360000003</v>
      </c>
      <c r="C326" s="11">
        <v>2.9363442622438389E-2</v>
      </c>
      <c r="D326" s="11">
        <v>0.47751596272697422</v>
      </c>
      <c r="F326" t="str">
        <f t="shared" si="5"/>
        <v>A</v>
      </c>
    </row>
    <row r="327" spans="1:6" x14ac:dyDescent="0.25">
      <c r="A327" s="22" t="s">
        <v>1014</v>
      </c>
      <c r="B327" s="6">
        <v>17441.021520000002</v>
      </c>
      <c r="C327" s="11">
        <v>1.1243910092780612E-2</v>
      </c>
      <c r="D327" s="11">
        <v>0.4887598728197548</v>
      </c>
      <c r="F327" t="str">
        <f t="shared" si="5"/>
        <v>A</v>
      </c>
    </row>
    <row r="328" spans="1:6" x14ac:dyDescent="0.25">
      <c r="A328" s="22" t="s">
        <v>1032</v>
      </c>
      <c r="B328" s="6">
        <v>66.920760000000001</v>
      </c>
      <c r="C328" s="11">
        <v>4.3142599641752466E-5</v>
      </c>
      <c r="D328" s="11">
        <v>0.48880301541939658</v>
      </c>
      <c r="F328" t="str">
        <f t="shared" si="5"/>
        <v>A</v>
      </c>
    </row>
    <row r="329" spans="1:6" x14ac:dyDescent="0.25">
      <c r="A329" s="22" t="s">
        <v>917</v>
      </c>
      <c r="B329" s="6">
        <v>8698.8768300000011</v>
      </c>
      <c r="C329" s="11">
        <v>5.6080080442841183E-3</v>
      </c>
      <c r="D329" s="11">
        <v>0.49441102346368065</v>
      </c>
      <c r="F329" t="str">
        <f t="shared" si="5"/>
        <v>A</v>
      </c>
    </row>
    <row r="330" spans="1:6" x14ac:dyDescent="0.25">
      <c r="A330" s="22" t="s">
        <v>1097</v>
      </c>
      <c r="B330" s="6">
        <v>7327.9533600000004</v>
      </c>
      <c r="C330" s="11">
        <v>4.7241985596684017E-3</v>
      </c>
      <c r="D330" s="11">
        <v>0.49913522202334909</v>
      </c>
      <c r="F330" t="str">
        <f t="shared" si="5"/>
        <v>A</v>
      </c>
    </row>
    <row r="331" spans="1:6" x14ac:dyDescent="0.25">
      <c r="A331" s="22" t="s">
        <v>1123</v>
      </c>
      <c r="B331" s="6">
        <v>16142.527829999999</v>
      </c>
      <c r="C331" s="11">
        <v>1.0406794773035112E-2</v>
      </c>
      <c r="D331" s="11">
        <v>0.50954201679638422</v>
      </c>
      <c r="F331" t="str">
        <f t="shared" si="5"/>
        <v>A</v>
      </c>
    </row>
    <row r="332" spans="1:6" x14ac:dyDescent="0.25">
      <c r="A332" s="22" t="s">
        <v>1295</v>
      </c>
      <c r="B332" s="6">
        <v>8520.2954399999999</v>
      </c>
      <c r="C332" s="11">
        <v>5.4928798626520253E-3</v>
      </c>
      <c r="D332" s="11">
        <v>0.51503489665903623</v>
      </c>
      <c r="F332" t="str">
        <f t="shared" si="5"/>
        <v>A</v>
      </c>
    </row>
    <row r="333" spans="1:6" x14ac:dyDescent="0.25">
      <c r="A333" s="22" t="s">
        <v>1306</v>
      </c>
      <c r="B333" s="6">
        <v>14466.95104</v>
      </c>
      <c r="C333" s="11">
        <v>9.3265808211914283E-3</v>
      </c>
      <c r="D333" s="11">
        <v>0.52436147748022766</v>
      </c>
      <c r="F333" t="str">
        <f t="shared" si="5"/>
        <v>A</v>
      </c>
    </row>
    <row r="334" spans="1:6" x14ac:dyDescent="0.25">
      <c r="A334" s="22" t="s">
        <v>1256</v>
      </c>
      <c r="B334" s="6">
        <v>16121.273400000002</v>
      </c>
      <c r="C334" s="11">
        <v>1.0393092427692596E-2</v>
      </c>
      <c r="D334" s="11">
        <v>0.53475456990792025</v>
      </c>
      <c r="F334" t="str">
        <f t="shared" si="5"/>
        <v>A</v>
      </c>
    </row>
    <row r="335" spans="1:6" x14ac:dyDescent="0.25">
      <c r="A335" s="22" t="s">
        <v>1281</v>
      </c>
      <c r="B335" s="6">
        <v>10937.519999999999</v>
      </c>
      <c r="C335" s="11">
        <v>7.0512206740279155E-3</v>
      </c>
      <c r="D335" s="11">
        <v>0.54180579058194822</v>
      </c>
      <c r="F335" t="str">
        <f t="shared" si="5"/>
        <v>A</v>
      </c>
    </row>
    <row r="336" spans="1:6" x14ac:dyDescent="0.25">
      <c r="A336" s="22" t="s">
        <v>1044</v>
      </c>
      <c r="B336" s="6">
        <v>30799.273800000003</v>
      </c>
      <c r="C336" s="11">
        <v>1.9855732941618059E-2</v>
      </c>
      <c r="D336" s="11">
        <v>0.56166152352356624</v>
      </c>
      <c r="F336" t="str">
        <f t="shared" si="5"/>
        <v>A</v>
      </c>
    </row>
    <row r="337" spans="1:6" x14ac:dyDescent="0.25">
      <c r="A337" s="22" t="s">
        <v>929</v>
      </c>
      <c r="B337" s="6">
        <v>31191.64716</v>
      </c>
      <c r="C337" s="11">
        <v>2.0108688926884354E-2</v>
      </c>
      <c r="D337" s="11">
        <v>0.58177021245045057</v>
      </c>
      <c r="F337" t="str">
        <f t="shared" si="5"/>
        <v>A</v>
      </c>
    </row>
    <row r="338" spans="1:6" x14ac:dyDescent="0.25">
      <c r="A338" s="22" t="s">
        <v>899</v>
      </c>
      <c r="B338" s="6">
        <v>85637.740319999997</v>
      </c>
      <c r="C338" s="11">
        <v>5.5209097219609017E-2</v>
      </c>
      <c r="D338" s="11">
        <v>0.63697930967005956</v>
      </c>
      <c r="F338" t="str">
        <f t="shared" si="5"/>
        <v>A</v>
      </c>
    </row>
    <row r="339" spans="1:6" x14ac:dyDescent="0.25">
      <c r="A339" s="22" t="s">
        <v>801</v>
      </c>
      <c r="B339" s="6">
        <v>14287.896349999999</v>
      </c>
      <c r="C339" s="11">
        <v>9.2111475116377385E-3</v>
      </c>
      <c r="D339" s="11">
        <v>0.64619045718169732</v>
      </c>
      <c r="F339" t="str">
        <f t="shared" si="5"/>
        <v>A</v>
      </c>
    </row>
    <row r="340" spans="1:6" x14ac:dyDescent="0.25">
      <c r="A340" s="22" t="s">
        <v>1187</v>
      </c>
      <c r="B340" s="6">
        <v>23132.398349999996</v>
      </c>
      <c r="C340" s="11">
        <v>1.4913037460536687E-2</v>
      </c>
      <c r="D340" s="11">
        <v>0.66110349464223406</v>
      </c>
      <c r="F340" t="str">
        <f t="shared" si="5"/>
        <v>A</v>
      </c>
    </row>
    <row r="341" spans="1:6" x14ac:dyDescent="0.25">
      <c r="A341" s="22" t="s">
        <v>742</v>
      </c>
      <c r="B341" s="6">
        <v>14714.12934</v>
      </c>
      <c r="C341" s="11">
        <v>9.4859321859552016E-3</v>
      </c>
      <c r="D341" s="11">
        <v>0.67058942682818923</v>
      </c>
      <c r="F341" t="str">
        <f t="shared" si="5"/>
        <v>A</v>
      </c>
    </row>
    <row r="342" spans="1:6" x14ac:dyDescent="0.25">
      <c r="A342" s="22" t="s">
        <v>909</v>
      </c>
      <c r="B342" s="6">
        <v>92715.25</v>
      </c>
      <c r="C342" s="11">
        <v>5.9771839283280559E-2</v>
      </c>
      <c r="D342" s="11">
        <v>0.73036126611146979</v>
      </c>
      <c r="F342" t="str">
        <f t="shared" si="5"/>
        <v>A</v>
      </c>
    </row>
    <row r="343" spans="1:6" x14ac:dyDescent="0.25">
      <c r="A343" s="22" t="s">
        <v>1290</v>
      </c>
      <c r="B343" s="6">
        <v>10519.776450000001</v>
      </c>
      <c r="C343" s="11">
        <v>6.7819089876308353E-3</v>
      </c>
      <c r="D343" s="11">
        <v>0.73714317509910066</v>
      </c>
      <c r="F343" t="str">
        <f t="shared" si="5"/>
        <v>A</v>
      </c>
    </row>
    <row r="344" spans="1:6" x14ac:dyDescent="0.25">
      <c r="A344" s="22" t="s">
        <v>1180</v>
      </c>
      <c r="B344" s="6">
        <v>5565.3272500000003</v>
      </c>
      <c r="C344" s="11">
        <v>3.5878654907996448E-3</v>
      </c>
      <c r="D344" s="11">
        <v>0.74073104058990036</v>
      </c>
      <c r="F344" t="str">
        <f t="shared" si="5"/>
        <v>A</v>
      </c>
    </row>
    <row r="345" spans="1:6" x14ac:dyDescent="0.25">
      <c r="A345" s="22" t="s">
        <v>1314</v>
      </c>
      <c r="B345" s="6">
        <v>1801.4076000000002</v>
      </c>
      <c r="C345" s="11">
        <v>1.1613347917508734E-3</v>
      </c>
      <c r="D345" s="11">
        <v>0.74189237538165131</v>
      </c>
      <c r="F345" t="str">
        <f t="shared" si="5"/>
        <v>A</v>
      </c>
    </row>
    <row r="346" spans="1:6" x14ac:dyDescent="0.25">
      <c r="A346" s="22" t="s">
        <v>925</v>
      </c>
      <c r="B346" s="6">
        <v>8763.2849999999999</v>
      </c>
      <c r="C346" s="11">
        <v>5.6495308227458079E-3</v>
      </c>
      <c r="D346" s="11">
        <v>0.74754190620439698</v>
      </c>
      <c r="F346" t="str">
        <f t="shared" si="5"/>
        <v>A</v>
      </c>
    </row>
    <row r="347" spans="1:6" x14ac:dyDescent="0.25">
      <c r="A347" s="22" t="s">
        <v>902</v>
      </c>
      <c r="B347" s="6">
        <v>6824.2884000000004</v>
      </c>
      <c r="C347" s="11">
        <v>4.3994948993564256E-3</v>
      </c>
      <c r="D347" s="11">
        <v>0.7519414011037534</v>
      </c>
      <c r="F347" t="str">
        <f t="shared" si="5"/>
        <v>A</v>
      </c>
    </row>
    <row r="348" spans="1:6" x14ac:dyDescent="0.25">
      <c r="A348" s="22" t="s">
        <v>1117</v>
      </c>
      <c r="B348" s="6">
        <v>15257.51748</v>
      </c>
      <c r="C348" s="11">
        <v>9.8362446596045837E-3</v>
      </c>
      <c r="D348" s="11">
        <v>0.76177764576335794</v>
      </c>
      <c r="F348" t="str">
        <f t="shared" si="5"/>
        <v>A</v>
      </c>
    </row>
    <row r="349" spans="1:6" x14ac:dyDescent="0.25">
      <c r="A349" s="22" t="s">
        <v>992</v>
      </c>
      <c r="B349" s="6">
        <v>4375.3620000000001</v>
      </c>
      <c r="C349" s="11">
        <v>2.8207164869875558E-3</v>
      </c>
      <c r="D349" s="11">
        <v>0.7645983622503455</v>
      </c>
      <c r="F349" t="str">
        <f t="shared" si="5"/>
        <v>A</v>
      </c>
    </row>
    <row r="350" spans="1:6" x14ac:dyDescent="0.25">
      <c r="A350" s="22" t="s">
        <v>945</v>
      </c>
      <c r="B350" s="6">
        <v>1774.8072</v>
      </c>
      <c r="C350" s="11">
        <v>1.144185996556221E-3</v>
      </c>
      <c r="D350" s="11">
        <v>0.76574254824690169</v>
      </c>
      <c r="F350" t="str">
        <f t="shared" si="5"/>
        <v>A</v>
      </c>
    </row>
    <row r="351" spans="1:6" x14ac:dyDescent="0.25">
      <c r="A351" s="22" t="s">
        <v>922</v>
      </c>
      <c r="B351" s="6">
        <v>28072.190160000002</v>
      </c>
      <c r="C351" s="11">
        <v>1.8097631604004842E-2</v>
      </c>
      <c r="D351" s="11">
        <v>0.78384017985090648</v>
      </c>
      <c r="F351" t="str">
        <f t="shared" si="5"/>
        <v>A</v>
      </c>
    </row>
    <row r="352" spans="1:6" x14ac:dyDescent="0.25">
      <c r="A352" s="22" t="s">
        <v>813</v>
      </c>
      <c r="B352" s="6">
        <v>4877.1379800000004</v>
      </c>
      <c r="C352" s="11">
        <v>3.1442023561705718E-3</v>
      </c>
      <c r="D352" s="11">
        <v>0.78698438220707712</v>
      </c>
      <c r="F352" t="str">
        <f t="shared" si="5"/>
        <v>A</v>
      </c>
    </row>
    <row r="353" spans="1:6" x14ac:dyDescent="0.25">
      <c r="A353" s="22" t="s">
        <v>1344</v>
      </c>
      <c r="B353" s="6">
        <v>9256.14</v>
      </c>
      <c r="C353" s="11">
        <v>5.9672654980010781E-3</v>
      </c>
      <c r="D353" s="11">
        <v>0.7929516477050782</v>
      </c>
      <c r="F353" t="str">
        <f t="shared" si="5"/>
        <v>A</v>
      </c>
    </row>
    <row r="354" spans="1:6" x14ac:dyDescent="0.25">
      <c r="A354" s="22" t="s">
        <v>1278</v>
      </c>
      <c r="B354" s="6">
        <v>4826.5396199999996</v>
      </c>
      <c r="C354" s="11">
        <v>3.1115825116259299E-3</v>
      </c>
      <c r="D354" s="11">
        <v>0.796063230216704</v>
      </c>
      <c r="F354" t="str">
        <f t="shared" si="5"/>
        <v>A</v>
      </c>
    </row>
    <row r="355" spans="1:6" x14ac:dyDescent="0.25">
      <c r="A355" s="22" t="s">
        <v>740</v>
      </c>
      <c r="B355" s="6">
        <v>2886.4496399999998</v>
      </c>
      <c r="C355" s="11">
        <v>1.8608417059907945E-3</v>
      </c>
      <c r="D355" s="11">
        <v>0.79792407192269488</v>
      </c>
      <c r="F355" t="str">
        <f t="shared" si="5"/>
        <v>A</v>
      </c>
    </row>
    <row r="356" spans="1:6" x14ac:dyDescent="0.25">
      <c r="A356" s="22" t="s">
        <v>1006</v>
      </c>
      <c r="B356" s="6">
        <v>34632.106319999999</v>
      </c>
      <c r="C356" s="11">
        <v>2.2326690517477165E-2</v>
      </c>
      <c r="D356" s="11">
        <v>0.82025076244017203</v>
      </c>
      <c r="F356" t="str">
        <f t="shared" si="5"/>
        <v>B</v>
      </c>
    </row>
    <row r="357" spans="1:6" x14ac:dyDescent="0.25">
      <c r="A357" s="22" t="s">
        <v>1274</v>
      </c>
      <c r="B357" s="6">
        <v>30652.403519999996</v>
      </c>
      <c r="C357" s="11">
        <v>1.9761048337179732E-2</v>
      </c>
      <c r="D357" s="11">
        <v>0.84001181077735176</v>
      </c>
      <c r="F357" t="str">
        <f t="shared" si="5"/>
        <v>B</v>
      </c>
    </row>
    <row r="358" spans="1:6" x14ac:dyDescent="0.25">
      <c r="A358" s="22" t="s">
        <v>1165</v>
      </c>
      <c r="B358" s="6">
        <v>2627.6239999999998</v>
      </c>
      <c r="C358" s="11">
        <v>1.6939815124792392E-3</v>
      </c>
      <c r="D358" s="11">
        <v>0.841705792289831</v>
      </c>
      <c r="F358" t="str">
        <f t="shared" si="5"/>
        <v>B</v>
      </c>
    </row>
    <row r="359" spans="1:6" x14ac:dyDescent="0.25">
      <c r="A359" s="22" t="s">
        <v>918</v>
      </c>
      <c r="B359" s="6">
        <v>26408.63841</v>
      </c>
      <c r="C359" s="11">
        <v>1.7025169977245274E-2</v>
      </c>
      <c r="D359" s="11">
        <v>0.85873096226707624</v>
      </c>
      <c r="F359" t="str">
        <f t="shared" si="5"/>
        <v>B</v>
      </c>
    </row>
    <row r="360" spans="1:6" x14ac:dyDescent="0.25">
      <c r="A360" s="22" t="s">
        <v>1228</v>
      </c>
      <c r="B360" s="6">
        <v>4682.9519799999998</v>
      </c>
      <c r="C360" s="11">
        <v>3.0190141656294997E-3</v>
      </c>
      <c r="D360" s="11">
        <v>0.86174997643270568</v>
      </c>
      <c r="F360" t="str">
        <f t="shared" si="5"/>
        <v>B</v>
      </c>
    </row>
    <row r="361" spans="1:6" x14ac:dyDescent="0.25">
      <c r="A361" s="22" t="s">
        <v>988</v>
      </c>
      <c r="B361" s="6">
        <v>6468.2751599999992</v>
      </c>
      <c r="C361" s="11">
        <v>4.1699796236709255E-3</v>
      </c>
      <c r="D361" s="11">
        <v>0.86591995605637651</v>
      </c>
      <c r="F361" t="str">
        <f t="shared" si="5"/>
        <v>B</v>
      </c>
    </row>
    <row r="362" spans="1:6" x14ac:dyDescent="0.25">
      <c r="A362" s="22" t="s">
        <v>822</v>
      </c>
      <c r="B362" s="6">
        <v>11842.8464</v>
      </c>
      <c r="C362" s="11">
        <v>7.6348681762426112E-3</v>
      </c>
      <c r="D362" s="11">
        <v>0.8735548242326191</v>
      </c>
      <c r="F362" t="str">
        <f t="shared" si="5"/>
        <v>B</v>
      </c>
    </row>
    <row r="363" spans="1:6" x14ac:dyDescent="0.25">
      <c r="A363" s="22" t="s">
        <v>852</v>
      </c>
      <c r="B363" s="6">
        <v>5769.2758000000003</v>
      </c>
      <c r="C363" s="11">
        <v>3.7193474201765069E-3</v>
      </c>
      <c r="D363" s="11">
        <v>0.87727417165279553</v>
      </c>
      <c r="F363" t="str">
        <f t="shared" si="5"/>
        <v>B</v>
      </c>
    </row>
    <row r="364" spans="1:6" x14ac:dyDescent="0.25">
      <c r="A364" s="22" t="s">
        <v>1265</v>
      </c>
      <c r="B364" s="6">
        <v>534.57695999999999</v>
      </c>
      <c r="C364" s="11">
        <v>3.4463206578922773E-4</v>
      </c>
      <c r="D364" s="11">
        <v>0.87761880371858481</v>
      </c>
      <c r="F364" t="str">
        <f t="shared" si="5"/>
        <v>B</v>
      </c>
    </row>
    <row r="365" spans="1:6" x14ac:dyDescent="0.25">
      <c r="A365" s="22" t="s">
        <v>897</v>
      </c>
      <c r="B365" s="6">
        <v>12194.714</v>
      </c>
      <c r="C365" s="11">
        <v>7.8617108330460341E-3</v>
      </c>
      <c r="D365" s="11">
        <v>0.88548051455163079</v>
      </c>
      <c r="F365" t="str">
        <f t="shared" si="5"/>
        <v>B</v>
      </c>
    </row>
    <row r="366" spans="1:6" x14ac:dyDescent="0.25">
      <c r="A366" s="22" t="s">
        <v>1232</v>
      </c>
      <c r="B366" s="6">
        <v>16574.544740000001</v>
      </c>
      <c r="C366" s="11">
        <v>1.0685308235622762E-2</v>
      </c>
      <c r="D366" s="11">
        <v>0.89616582278725354</v>
      </c>
      <c r="F366" t="str">
        <f t="shared" si="5"/>
        <v>B</v>
      </c>
    </row>
    <row r="367" spans="1:6" x14ac:dyDescent="0.25">
      <c r="A367" s="22" t="s">
        <v>1052</v>
      </c>
      <c r="B367" s="6">
        <v>2915.4540999999999</v>
      </c>
      <c r="C367" s="11">
        <v>1.879540355043872E-3</v>
      </c>
      <c r="D367" s="11">
        <v>0.89804536314229744</v>
      </c>
      <c r="F367" t="str">
        <f t="shared" si="5"/>
        <v>B</v>
      </c>
    </row>
    <row r="368" spans="1:6" x14ac:dyDescent="0.25">
      <c r="A368" s="22" t="s">
        <v>1129</v>
      </c>
      <c r="B368" s="6">
        <v>56176.777799999996</v>
      </c>
      <c r="C368" s="11">
        <v>3.6216149275487719E-2</v>
      </c>
      <c r="D368" s="11">
        <v>0.93426151241778521</v>
      </c>
      <c r="F368" t="str">
        <f t="shared" si="5"/>
        <v>B</v>
      </c>
    </row>
    <row r="369" spans="1:6" x14ac:dyDescent="0.25">
      <c r="A369" s="22" t="s">
        <v>1000</v>
      </c>
      <c r="B369" s="6">
        <v>38818.760160000005</v>
      </c>
      <c r="C369" s="11">
        <v>2.5025750277971905E-2</v>
      </c>
      <c r="D369" s="11">
        <v>0.95928726269575715</v>
      </c>
      <c r="F369" t="str">
        <f t="shared" si="5"/>
        <v>C</v>
      </c>
    </row>
    <row r="370" spans="1:6" x14ac:dyDescent="0.25">
      <c r="A370" s="22" t="s">
        <v>894</v>
      </c>
      <c r="B370" s="6">
        <v>22044.871499999997</v>
      </c>
      <c r="C370" s="11">
        <v>1.4211928634378614E-2</v>
      </c>
      <c r="D370" s="11">
        <v>0.97349919133013563</v>
      </c>
      <c r="F370" t="str">
        <f t="shared" si="5"/>
        <v>C</v>
      </c>
    </row>
    <row r="371" spans="1:6" x14ac:dyDescent="0.25">
      <c r="A371" s="22" t="s">
        <v>774</v>
      </c>
      <c r="B371" s="6">
        <v>41106.800970000004</v>
      </c>
      <c r="C371" s="11">
        <v>2.6500808669864359E-2</v>
      </c>
      <c r="D371" s="11">
        <v>1</v>
      </c>
      <c r="F371" t="str">
        <f t="shared" si="5"/>
        <v>C</v>
      </c>
    </row>
    <row r="372" spans="1:6" x14ac:dyDescent="0.25">
      <c r="A372" s="19" t="s">
        <v>727</v>
      </c>
      <c r="B372" s="6">
        <v>1545646.997579999</v>
      </c>
      <c r="C372" s="11">
        <v>0.14142820181333823</v>
      </c>
      <c r="D372" s="11"/>
      <c r="F372" t="str">
        <f t="shared" si="5"/>
        <v/>
      </c>
    </row>
    <row r="373" spans="1:6" x14ac:dyDescent="0.25">
      <c r="A373" s="22" t="s">
        <v>809</v>
      </c>
      <c r="B373" s="6">
        <v>6874.4828600000001</v>
      </c>
      <c r="C373" s="11">
        <v>4.4476409366196136E-3</v>
      </c>
      <c r="D373" s="11">
        <v>4.4476409366196136E-3</v>
      </c>
      <c r="F373" t="str">
        <f t="shared" si="5"/>
        <v>A</v>
      </c>
    </row>
    <row r="374" spans="1:6" x14ac:dyDescent="0.25">
      <c r="A374" s="22" t="s">
        <v>903</v>
      </c>
      <c r="B374" s="6">
        <v>2316.2621999999997</v>
      </c>
      <c r="C374" s="11">
        <v>1.4985712802642152E-3</v>
      </c>
      <c r="D374" s="11">
        <v>5.9462122168838279E-3</v>
      </c>
      <c r="F374" t="str">
        <f t="shared" si="5"/>
        <v>A</v>
      </c>
    </row>
    <row r="375" spans="1:6" x14ac:dyDescent="0.25">
      <c r="A375" s="22" t="s">
        <v>1247</v>
      </c>
      <c r="B375" s="6">
        <v>33308.550000000003</v>
      </c>
      <c r="C375" s="11">
        <v>2.1549907612896605E-2</v>
      </c>
      <c r="D375" s="11">
        <v>2.7496119829780435E-2</v>
      </c>
      <c r="F375" t="str">
        <f t="shared" si="5"/>
        <v>A</v>
      </c>
    </row>
    <row r="376" spans="1:6" x14ac:dyDescent="0.25">
      <c r="A376" s="22" t="s">
        <v>1205</v>
      </c>
      <c r="B376" s="6">
        <v>15374.563199999999</v>
      </c>
      <c r="C376" s="11">
        <v>9.9470080969793033E-3</v>
      </c>
      <c r="D376" s="11">
        <v>3.7443127926759738E-2</v>
      </c>
      <c r="F376" t="str">
        <f t="shared" si="5"/>
        <v>A</v>
      </c>
    </row>
    <row r="377" spans="1:6" x14ac:dyDescent="0.25">
      <c r="A377" s="22" t="s">
        <v>1313</v>
      </c>
      <c r="B377" s="6">
        <v>6137.8019999999988</v>
      </c>
      <c r="C377" s="11">
        <v>3.9710244380572546E-3</v>
      </c>
      <c r="D377" s="11">
        <v>4.1414152364816992E-2</v>
      </c>
      <c r="F377" t="str">
        <f t="shared" si="5"/>
        <v>A</v>
      </c>
    </row>
    <row r="378" spans="1:6" x14ac:dyDescent="0.25">
      <c r="A378" s="22" t="s">
        <v>1341</v>
      </c>
      <c r="B378" s="6">
        <v>2077.46</v>
      </c>
      <c r="C378" s="11">
        <v>1.344071449207131E-3</v>
      </c>
      <c r="D378" s="11">
        <v>4.2758223814024117E-2</v>
      </c>
      <c r="F378" t="str">
        <f t="shared" si="5"/>
        <v>A</v>
      </c>
    </row>
    <row r="379" spans="1:6" x14ac:dyDescent="0.25">
      <c r="A379" s="22" t="s">
        <v>1358</v>
      </c>
      <c r="B379" s="6">
        <v>13983.752729999998</v>
      </c>
      <c r="C379" s="11">
        <v>9.0471839636697068E-3</v>
      </c>
      <c r="D379" s="11">
        <v>5.1805407777693824E-2</v>
      </c>
      <c r="F379" t="str">
        <f t="shared" si="5"/>
        <v>A</v>
      </c>
    </row>
    <row r="380" spans="1:6" x14ac:dyDescent="0.25">
      <c r="A380" s="22" t="s">
        <v>768</v>
      </c>
      <c r="B380" s="6">
        <v>27331.829999999998</v>
      </c>
      <c r="C380" s="11">
        <v>1.7683099726388443E-2</v>
      </c>
      <c r="D380" s="11">
        <v>6.9488507504082267E-2</v>
      </c>
      <c r="F380" t="str">
        <f t="shared" si="5"/>
        <v>A</v>
      </c>
    </row>
    <row r="381" spans="1:6" x14ac:dyDescent="0.25">
      <c r="A381" s="22" t="s">
        <v>906</v>
      </c>
      <c r="B381" s="6">
        <v>97.0154</v>
      </c>
      <c r="C381" s="11">
        <v>6.2766854367068197E-5</v>
      </c>
      <c r="D381" s="11">
        <v>6.9551274358449336E-2</v>
      </c>
      <c r="F381" t="str">
        <f t="shared" si="5"/>
        <v>A</v>
      </c>
    </row>
    <row r="382" spans="1:6" x14ac:dyDescent="0.25">
      <c r="A382" s="22" t="s">
        <v>1361</v>
      </c>
      <c r="B382" s="6">
        <v>40476.013200000001</v>
      </c>
      <c r="C382" s="11">
        <v>2.6187100459142878E-2</v>
      </c>
      <c r="D382" s="11">
        <v>9.5738374817592203E-2</v>
      </c>
      <c r="F382" t="str">
        <f t="shared" si="5"/>
        <v>A</v>
      </c>
    </row>
    <row r="383" spans="1:6" x14ac:dyDescent="0.25">
      <c r="A383" s="22" t="s">
        <v>1135</v>
      </c>
      <c r="B383" s="6">
        <v>16946.091840000001</v>
      </c>
      <c r="C383" s="11">
        <v>1.0963752956873267E-2</v>
      </c>
      <c r="D383" s="11">
        <v>0.10670212777446547</v>
      </c>
      <c r="F383" t="str">
        <f t="shared" si="5"/>
        <v>A</v>
      </c>
    </row>
    <row r="384" spans="1:6" x14ac:dyDescent="0.25">
      <c r="A384" s="22" t="s">
        <v>860</v>
      </c>
      <c r="B384" s="6">
        <v>65111.38614000001</v>
      </c>
      <c r="C384" s="11">
        <v>4.2125651097530116E-2</v>
      </c>
      <c r="D384" s="11">
        <v>0.14882777887199558</v>
      </c>
      <c r="F384" t="str">
        <f t="shared" si="5"/>
        <v>A</v>
      </c>
    </row>
    <row r="385" spans="1:6" x14ac:dyDescent="0.25">
      <c r="A385" s="22" t="s">
        <v>1125</v>
      </c>
      <c r="B385" s="6">
        <v>48097.911050000002</v>
      </c>
      <c r="C385" s="11">
        <v>3.1118302643039664E-2</v>
      </c>
      <c r="D385" s="11">
        <v>0.17994608151503524</v>
      </c>
      <c r="F385" t="str">
        <f t="shared" si="5"/>
        <v>A</v>
      </c>
    </row>
    <row r="386" spans="1:6" x14ac:dyDescent="0.25">
      <c r="A386" s="22" t="s">
        <v>858</v>
      </c>
      <c r="B386" s="6">
        <v>2072.9258400000003</v>
      </c>
      <c r="C386" s="11">
        <v>1.3411379462746381E-3</v>
      </c>
      <c r="D386" s="11">
        <v>0.18128721946130988</v>
      </c>
      <c r="F386" t="str">
        <f t="shared" si="5"/>
        <v>A</v>
      </c>
    </row>
    <row r="387" spans="1:6" x14ac:dyDescent="0.25">
      <c r="A387" s="22" t="s">
        <v>1218</v>
      </c>
      <c r="B387" s="6">
        <v>6063.2517199999993</v>
      </c>
      <c r="C387" s="11">
        <v>3.9227920278648099E-3</v>
      </c>
      <c r="D387" s="11">
        <v>0.18521001148917468</v>
      </c>
      <c r="F387" t="str">
        <f t="shared" si="5"/>
        <v>A</v>
      </c>
    </row>
    <row r="388" spans="1:6" x14ac:dyDescent="0.25">
      <c r="A388" s="22" t="s">
        <v>1257</v>
      </c>
      <c r="B388" s="6">
        <v>6435.2555999999995</v>
      </c>
      <c r="C388" s="11">
        <v>4.1634704496405729E-3</v>
      </c>
      <c r="D388" s="11">
        <v>0.18937348193881526</v>
      </c>
      <c r="F388" t="str">
        <f t="shared" si="5"/>
        <v>A</v>
      </c>
    </row>
    <row r="389" spans="1:6" x14ac:dyDescent="0.25">
      <c r="A389" s="22" t="s">
        <v>1111</v>
      </c>
      <c r="B389" s="6">
        <v>15348.702599999999</v>
      </c>
      <c r="C389" s="11">
        <v>9.9302768510735485E-3</v>
      </c>
      <c r="D389" s="11">
        <v>0.19930375878988882</v>
      </c>
      <c r="F389" t="str">
        <f t="shared" ref="F389:F452" si="6">IF(D389="","",IF(D389&lt;=0.8,"A",IF(D389&lt;=0.95,"B","C")))</f>
        <v>A</v>
      </c>
    </row>
    <row r="390" spans="1:6" x14ac:dyDescent="0.25">
      <c r="A390" s="22" t="s">
        <v>758</v>
      </c>
      <c r="B390" s="6">
        <v>24894.430559999997</v>
      </c>
      <c r="C390" s="11">
        <v>1.6106155285765061E-2</v>
      </c>
      <c r="D390" s="11">
        <v>0.21540991407565388</v>
      </c>
      <c r="F390" t="str">
        <f t="shared" si="6"/>
        <v>A</v>
      </c>
    </row>
    <row r="391" spans="1:6" x14ac:dyDescent="0.25">
      <c r="A391" s="22" t="s">
        <v>821</v>
      </c>
      <c r="B391" s="6">
        <v>1654.8966000000003</v>
      </c>
      <c r="C391" s="11">
        <v>1.0706821173211297E-3</v>
      </c>
      <c r="D391" s="11">
        <v>0.21648059619297499</v>
      </c>
      <c r="F391" t="str">
        <f t="shared" si="6"/>
        <v>A</v>
      </c>
    </row>
    <row r="392" spans="1:6" x14ac:dyDescent="0.25">
      <c r="A392" s="22" t="s">
        <v>816</v>
      </c>
      <c r="B392" s="6">
        <v>5331.6696000000002</v>
      </c>
      <c r="C392" s="11">
        <v>3.4494743032191253E-3</v>
      </c>
      <c r="D392" s="11">
        <v>0.21993007049619412</v>
      </c>
      <c r="F392" t="str">
        <f t="shared" si="6"/>
        <v>A</v>
      </c>
    </row>
    <row r="393" spans="1:6" x14ac:dyDescent="0.25">
      <c r="A393" s="22" t="s">
        <v>1058</v>
      </c>
      <c r="B393" s="6">
        <v>26015.449459999996</v>
      </c>
      <c r="C393" s="11">
        <v>1.6831430139438094E-2</v>
      </c>
      <c r="D393" s="11">
        <v>0.2367615006356322</v>
      </c>
      <c r="F393" t="str">
        <f t="shared" si="6"/>
        <v>A</v>
      </c>
    </row>
    <row r="394" spans="1:6" x14ac:dyDescent="0.25">
      <c r="A394" s="22" t="s">
        <v>1244</v>
      </c>
      <c r="B394" s="6">
        <v>3525.5505600000001</v>
      </c>
      <c r="C394" s="11">
        <v>2.2809545552897347E-3</v>
      </c>
      <c r="D394" s="11">
        <v>0.23904245519092196</v>
      </c>
      <c r="F394" t="str">
        <f t="shared" si="6"/>
        <v>A</v>
      </c>
    </row>
    <row r="395" spans="1:6" x14ac:dyDescent="0.25">
      <c r="A395" s="22" t="s">
        <v>1101</v>
      </c>
      <c r="B395" s="6">
        <v>18554.370299999999</v>
      </c>
      <c r="C395" s="11">
        <v>1.2004274151245629E-2</v>
      </c>
      <c r="D395" s="11">
        <v>0.2510467293421676</v>
      </c>
      <c r="F395" t="str">
        <f t="shared" si="6"/>
        <v>A</v>
      </c>
    </row>
    <row r="396" spans="1:6" x14ac:dyDescent="0.25">
      <c r="A396" s="22" t="s">
        <v>1192</v>
      </c>
      <c r="B396" s="6">
        <v>24321.57</v>
      </c>
      <c r="C396" s="11">
        <v>1.5735526959312178E-2</v>
      </c>
      <c r="D396" s="11">
        <v>0.26678225630147978</v>
      </c>
      <c r="F396" t="str">
        <f t="shared" si="6"/>
        <v>A</v>
      </c>
    </row>
    <row r="397" spans="1:6" x14ac:dyDescent="0.25">
      <c r="A397" s="22" t="s">
        <v>746</v>
      </c>
      <c r="B397" s="6">
        <v>4968.5039999999999</v>
      </c>
      <c r="C397" s="11">
        <v>3.2145140564301725E-3</v>
      </c>
      <c r="D397" s="11">
        <v>0.26999677035790998</v>
      </c>
      <c r="F397" t="str">
        <f t="shared" si="6"/>
        <v>A</v>
      </c>
    </row>
    <row r="398" spans="1:6" x14ac:dyDescent="0.25">
      <c r="A398" s="22" t="s">
        <v>870</v>
      </c>
      <c r="B398" s="6">
        <v>9698.1638399999993</v>
      </c>
      <c r="C398" s="11">
        <v>6.2745011345956081E-3</v>
      </c>
      <c r="D398" s="11">
        <v>0.27627127149250558</v>
      </c>
      <c r="F398" t="str">
        <f t="shared" si="6"/>
        <v>A</v>
      </c>
    </row>
    <row r="399" spans="1:6" x14ac:dyDescent="0.25">
      <c r="A399" s="22" t="s">
        <v>743</v>
      </c>
      <c r="B399" s="6">
        <v>60928.502359999999</v>
      </c>
      <c r="C399" s="11">
        <v>3.9419416241480119E-2</v>
      </c>
      <c r="D399" s="11">
        <v>0.31569068773398568</v>
      </c>
      <c r="F399" t="str">
        <f t="shared" si="6"/>
        <v>A</v>
      </c>
    </row>
    <row r="400" spans="1:6" x14ac:dyDescent="0.25">
      <c r="A400" s="22" t="s">
        <v>1028</v>
      </c>
      <c r="B400" s="6">
        <v>8903.4839999999986</v>
      </c>
      <c r="C400" s="11">
        <v>5.7603605570612677E-3</v>
      </c>
      <c r="D400" s="11">
        <v>0.32145104829104693</v>
      </c>
      <c r="F400" t="str">
        <f t="shared" si="6"/>
        <v>A</v>
      </c>
    </row>
    <row r="401" spans="1:6" x14ac:dyDescent="0.25">
      <c r="A401" s="22" t="s">
        <v>891</v>
      </c>
      <c r="B401" s="6">
        <v>24147.922500000001</v>
      </c>
      <c r="C401" s="11">
        <v>1.562318080247826E-2</v>
      </c>
      <c r="D401" s="11">
        <v>0.33707422909352519</v>
      </c>
      <c r="F401" t="str">
        <f t="shared" si="6"/>
        <v>A</v>
      </c>
    </row>
    <row r="402" spans="1:6" x14ac:dyDescent="0.25">
      <c r="A402" s="22" t="s">
        <v>1198</v>
      </c>
      <c r="B402" s="6">
        <v>84136.119600000005</v>
      </c>
      <c r="C402" s="11">
        <v>5.443423998605821E-2</v>
      </c>
      <c r="D402" s="11">
        <v>0.39150846907958337</v>
      </c>
      <c r="F402" t="str">
        <f t="shared" si="6"/>
        <v>A</v>
      </c>
    </row>
    <row r="403" spans="1:6" x14ac:dyDescent="0.25">
      <c r="A403" s="22" t="s">
        <v>944</v>
      </c>
      <c r="B403" s="6">
        <v>18061.204320000004</v>
      </c>
      <c r="C403" s="11">
        <v>1.1685206485231242E-2</v>
      </c>
      <c r="D403" s="11">
        <v>0.40319367556481461</v>
      </c>
      <c r="F403" t="str">
        <f t="shared" si="6"/>
        <v>A</v>
      </c>
    </row>
    <row r="404" spans="1:6" x14ac:dyDescent="0.25">
      <c r="A404" s="22" t="s">
        <v>1049</v>
      </c>
      <c r="B404" s="6">
        <v>8780.5809000000008</v>
      </c>
      <c r="C404" s="11">
        <v>5.6808449236776908E-3</v>
      </c>
      <c r="D404" s="11">
        <v>0.40887452048849227</v>
      </c>
      <c r="F404" t="str">
        <f t="shared" si="6"/>
        <v>A</v>
      </c>
    </row>
    <row r="405" spans="1:6" x14ac:dyDescent="0.25">
      <c r="A405" s="22" t="s">
        <v>1201</v>
      </c>
      <c r="B405" s="6">
        <v>25269.09</v>
      </c>
      <c r="C405" s="11">
        <v>1.6348551797120241E-2</v>
      </c>
      <c r="D405" s="11">
        <v>0.42522307228561251</v>
      </c>
      <c r="F405" t="str">
        <f t="shared" si="6"/>
        <v>A</v>
      </c>
    </row>
    <row r="406" spans="1:6" x14ac:dyDescent="0.25">
      <c r="A406" s="22" t="s">
        <v>819</v>
      </c>
      <c r="B406" s="6">
        <v>13146.470699999998</v>
      </c>
      <c r="C406" s="11">
        <v>8.50548069551668E-3</v>
      </c>
      <c r="D406" s="11">
        <v>0.43372855298112917</v>
      </c>
      <c r="F406" t="str">
        <f t="shared" si="6"/>
        <v>A</v>
      </c>
    </row>
    <row r="407" spans="1:6" x14ac:dyDescent="0.25">
      <c r="A407" s="22" t="s">
        <v>895</v>
      </c>
      <c r="B407" s="6">
        <v>5650.1744000000008</v>
      </c>
      <c r="C407" s="11">
        <v>3.655539983480323E-3</v>
      </c>
      <c r="D407" s="11">
        <v>0.43738409296460951</v>
      </c>
      <c r="F407" t="str">
        <f t="shared" si="6"/>
        <v>A</v>
      </c>
    </row>
    <row r="408" spans="1:6" x14ac:dyDescent="0.25">
      <c r="A408" s="22" t="s">
        <v>994</v>
      </c>
      <c r="B408" s="6">
        <v>22882.675440000003</v>
      </c>
      <c r="C408" s="11">
        <v>1.4804593465278381E-2</v>
      </c>
      <c r="D408" s="11">
        <v>0.45218868642988785</v>
      </c>
      <c r="F408" t="str">
        <f t="shared" si="6"/>
        <v>A</v>
      </c>
    </row>
    <row r="409" spans="1:6" x14ac:dyDescent="0.25">
      <c r="A409" s="22" t="s">
        <v>1082</v>
      </c>
      <c r="B409" s="6">
        <v>27158.894079999998</v>
      </c>
      <c r="C409" s="11">
        <v>1.7571213946342441E-2</v>
      </c>
      <c r="D409" s="11">
        <v>0.46975990037623033</v>
      </c>
      <c r="F409" t="str">
        <f t="shared" si="6"/>
        <v>A</v>
      </c>
    </row>
    <row r="410" spans="1:6" x14ac:dyDescent="0.25">
      <c r="A410" s="22" t="s">
        <v>990</v>
      </c>
      <c r="B410" s="6">
        <v>19073.059649999999</v>
      </c>
      <c r="C410" s="11">
        <v>1.233985488268826E-2</v>
      </c>
      <c r="D410" s="11">
        <v>0.48209975525891852</v>
      </c>
      <c r="F410" t="str">
        <f t="shared" si="6"/>
        <v>A</v>
      </c>
    </row>
    <row r="411" spans="1:6" x14ac:dyDescent="0.25">
      <c r="A411" s="22" t="s">
        <v>1307</v>
      </c>
      <c r="B411" s="6">
        <v>496.98660000000001</v>
      </c>
      <c r="C411" s="11">
        <v>3.2153952408158263E-4</v>
      </c>
      <c r="D411" s="11">
        <v>0.48242129478300011</v>
      </c>
      <c r="F411" t="str">
        <f t="shared" si="6"/>
        <v>A</v>
      </c>
    </row>
    <row r="412" spans="1:6" x14ac:dyDescent="0.25">
      <c r="A412" s="22" t="s">
        <v>954</v>
      </c>
      <c r="B412" s="6">
        <v>13519.529099999998</v>
      </c>
      <c r="C412" s="11">
        <v>8.7468413688037202E-3</v>
      </c>
      <c r="D412" s="11">
        <v>0.49116813615180382</v>
      </c>
      <c r="F412" t="str">
        <f t="shared" si="6"/>
        <v>A</v>
      </c>
    </row>
    <row r="413" spans="1:6" x14ac:dyDescent="0.25">
      <c r="A413" s="22" t="s">
        <v>1351</v>
      </c>
      <c r="B413" s="6">
        <v>41419.524249999995</v>
      </c>
      <c r="C413" s="11">
        <v>2.6797531593468656E-2</v>
      </c>
      <c r="D413" s="11">
        <v>0.51796566774527253</v>
      </c>
      <c r="F413" t="str">
        <f t="shared" si="6"/>
        <v>A</v>
      </c>
    </row>
    <row r="414" spans="1:6" x14ac:dyDescent="0.25">
      <c r="A414" s="22" t="s">
        <v>1328</v>
      </c>
      <c r="B414" s="6">
        <v>8128.5187499999993</v>
      </c>
      <c r="C414" s="11">
        <v>5.2589748905970922E-3</v>
      </c>
      <c r="D414" s="11">
        <v>0.52322464263586965</v>
      </c>
      <c r="F414" t="str">
        <f t="shared" si="6"/>
        <v>A</v>
      </c>
    </row>
    <row r="415" spans="1:6" x14ac:dyDescent="0.25">
      <c r="A415" s="22" t="s">
        <v>1060</v>
      </c>
      <c r="B415" s="6">
        <v>2373.9623200000001</v>
      </c>
      <c r="C415" s="11">
        <v>1.5359020033143948E-3</v>
      </c>
      <c r="D415" s="11">
        <v>0.52476054463918409</v>
      </c>
      <c r="F415" t="str">
        <f t="shared" si="6"/>
        <v>A</v>
      </c>
    </row>
    <row r="416" spans="1:6" x14ac:dyDescent="0.25">
      <c r="A416" s="22" t="s">
        <v>808</v>
      </c>
      <c r="B416" s="6">
        <v>4427.9172000000008</v>
      </c>
      <c r="C416" s="11">
        <v>2.8647661509599138E-3</v>
      </c>
      <c r="D416" s="11">
        <v>0.52762531079014396</v>
      </c>
      <c r="F416" t="str">
        <f t="shared" si="6"/>
        <v>A</v>
      </c>
    </row>
    <row r="417" spans="1:6" x14ac:dyDescent="0.25">
      <c r="A417" s="22" t="s">
        <v>905</v>
      </c>
      <c r="B417" s="6">
        <v>8928.9795999999988</v>
      </c>
      <c r="C417" s="11">
        <v>5.7768556559033178E-3</v>
      </c>
      <c r="D417" s="11">
        <v>0.53340216644604732</v>
      </c>
      <c r="F417" t="str">
        <f t="shared" si="6"/>
        <v>A</v>
      </c>
    </row>
    <row r="418" spans="1:6" x14ac:dyDescent="0.25">
      <c r="A418" s="22" t="s">
        <v>1323</v>
      </c>
      <c r="B418" s="6">
        <v>11742.8703</v>
      </c>
      <c r="C418" s="11">
        <v>7.5973817555921056E-3</v>
      </c>
      <c r="D418" s="11">
        <v>0.54099954820163931</v>
      </c>
      <c r="F418" t="str">
        <f t="shared" si="6"/>
        <v>A</v>
      </c>
    </row>
    <row r="419" spans="1:6" x14ac:dyDescent="0.25">
      <c r="A419" s="22" t="s">
        <v>1224</v>
      </c>
      <c r="B419" s="6">
        <v>6664.0999999999995</v>
      </c>
      <c r="C419" s="11">
        <v>4.3115278006128832E-3</v>
      </c>
      <c r="D419" s="11">
        <v>0.54531107600225226</v>
      </c>
      <c r="F419" t="str">
        <f t="shared" si="6"/>
        <v>A</v>
      </c>
    </row>
    <row r="420" spans="1:6" x14ac:dyDescent="0.25">
      <c r="A420" s="22" t="s">
        <v>1252</v>
      </c>
      <c r="B420" s="6">
        <v>855.72881999999993</v>
      </c>
      <c r="C420" s="11">
        <v>5.5363794018932152E-4</v>
      </c>
      <c r="D420" s="11">
        <v>0.54586471394244152</v>
      </c>
      <c r="F420" t="str">
        <f t="shared" si="6"/>
        <v>A</v>
      </c>
    </row>
    <row r="421" spans="1:6" x14ac:dyDescent="0.25">
      <c r="A421" s="22" t="s">
        <v>1197</v>
      </c>
      <c r="B421" s="6">
        <v>1808.04592</v>
      </c>
      <c r="C421" s="11">
        <v>1.1697663973927008E-3</v>
      </c>
      <c r="D421" s="11">
        <v>0.54703448033983415</v>
      </c>
      <c r="F421" t="str">
        <f t="shared" si="6"/>
        <v>A</v>
      </c>
    </row>
    <row r="422" spans="1:6" x14ac:dyDescent="0.25">
      <c r="A422" s="22" t="s">
        <v>812</v>
      </c>
      <c r="B422" s="6">
        <v>21787.936199999996</v>
      </c>
      <c r="C422" s="11">
        <v>1.4096320980219356E-2</v>
      </c>
      <c r="D422" s="11">
        <v>0.56113080132005355</v>
      </c>
      <c r="F422" t="str">
        <f t="shared" si="6"/>
        <v>A</v>
      </c>
    </row>
    <row r="423" spans="1:6" x14ac:dyDescent="0.25">
      <c r="A423" s="22" t="s">
        <v>1253</v>
      </c>
      <c r="B423" s="6">
        <v>7399.4832000000006</v>
      </c>
      <c r="C423" s="11">
        <v>4.7873047413706255E-3</v>
      </c>
      <c r="D423" s="11">
        <v>0.56591810606142423</v>
      </c>
      <c r="F423" t="str">
        <f t="shared" si="6"/>
        <v>A</v>
      </c>
    </row>
    <row r="424" spans="1:6" x14ac:dyDescent="0.25">
      <c r="A424" s="22" t="s">
        <v>1298</v>
      </c>
      <c r="B424" s="6">
        <v>17540.201120000002</v>
      </c>
      <c r="C424" s="11">
        <v>1.1348128743149298E-2</v>
      </c>
      <c r="D424" s="11">
        <v>0.57726623480457351</v>
      </c>
      <c r="F424" t="str">
        <f t="shared" si="6"/>
        <v>A</v>
      </c>
    </row>
    <row r="425" spans="1:6" x14ac:dyDescent="0.25">
      <c r="A425" s="22" t="s">
        <v>778</v>
      </c>
      <c r="B425" s="6">
        <v>17930.494560000003</v>
      </c>
      <c r="C425" s="11">
        <v>1.1600640112570051E-2</v>
      </c>
      <c r="D425" s="11">
        <v>0.58886687491714351</v>
      </c>
      <c r="F425" t="str">
        <f t="shared" si="6"/>
        <v>A</v>
      </c>
    </row>
    <row r="426" spans="1:6" x14ac:dyDescent="0.25">
      <c r="A426" s="22" t="s">
        <v>861</v>
      </c>
      <c r="B426" s="6">
        <v>853.32276999999988</v>
      </c>
      <c r="C426" s="11">
        <v>5.5208127815473856E-4</v>
      </c>
      <c r="D426" s="11">
        <v>0.58941895619529827</v>
      </c>
      <c r="F426" t="str">
        <f t="shared" si="6"/>
        <v>A</v>
      </c>
    </row>
    <row r="427" spans="1:6" x14ac:dyDescent="0.25">
      <c r="A427" s="22" t="s">
        <v>859</v>
      </c>
      <c r="B427" s="6">
        <v>8909.8587200000002</v>
      </c>
      <c r="C427" s="11">
        <v>5.7644848622939518E-3</v>
      </c>
      <c r="D427" s="11">
        <v>0.59518344105759224</v>
      </c>
      <c r="F427" t="str">
        <f t="shared" si="6"/>
        <v>A</v>
      </c>
    </row>
    <row r="428" spans="1:6" x14ac:dyDescent="0.25">
      <c r="A428" s="22" t="s">
        <v>844</v>
      </c>
      <c r="B428" s="6">
        <v>27676.35</v>
      </c>
      <c r="C428" s="11">
        <v>1.7905996675393884E-2</v>
      </c>
      <c r="D428" s="11">
        <v>0.61308943773298608</v>
      </c>
      <c r="F428" t="str">
        <f t="shared" si="6"/>
        <v>A</v>
      </c>
    </row>
    <row r="429" spans="1:6" x14ac:dyDescent="0.25">
      <c r="A429" s="22" t="s">
        <v>1302</v>
      </c>
      <c r="B429" s="6">
        <v>3378.1478400000001</v>
      </c>
      <c r="C429" s="11">
        <v>2.1855882004682349E-3</v>
      </c>
      <c r="D429" s="11">
        <v>0.61527502593345429</v>
      </c>
      <c r="F429" t="str">
        <f t="shared" si="6"/>
        <v>A</v>
      </c>
    </row>
    <row r="430" spans="1:6" x14ac:dyDescent="0.25">
      <c r="A430" s="22" t="s">
        <v>1238</v>
      </c>
      <c r="B430" s="6">
        <v>32335.21802</v>
      </c>
      <c r="C430" s="11">
        <v>2.0920182985265628E-2</v>
      </c>
      <c r="D430" s="11">
        <v>0.63619520891871995</v>
      </c>
      <c r="F430" t="str">
        <f t="shared" si="6"/>
        <v>A</v>
      </c>
    </row>
    <row r="431" spans="1:6" x14ac:dyDescent="0.25">
      <c r="A431" s="22" t="s">
        <v>1193</v>
      </c>
      <c r="B431" s="6">
        <v>1662.6945600000001</v>
      </c>
      <c r="C431" s="11">
        <v>1.0757272278879078E-3</v>
      </c>
      <c r="D431" s="11">
        <v>0.6372709361466079</v>
      </c>
      <c r="F431" t="str">
        <f t="shared" si="6"/>
        <v>A</v>
      </c>
    </row>
    <row r="432" spans="1:6" x14ac:dyDescent="0.25">
      <c r="A432" s="22" t="s">
        <v>1185</v>
      </c>
      <c r="B432" s="6">
        <v>23694.405119999999</v>
      </c>
      <c r="C432" s="11">
        <v>1.5329764918573288E-2</v>
      </c>
      <c r="D432" s="11">
        <v>0.65260070106518109</v>
      </c>
      <c r="F432" t="str">
        <f t="shared" si="6"/>
        <v>A</v>
      </c>
    </row>
    <row r="433" spans="1:6" x14ac:dyDescent="0.25">
      <c r="A433" s="22" t="s">
        <v>1131</v>
      </c>
      <c r="B433" s="6">
        <v>13185.543</v>
      </c>
      <c r="C433" s="11">
        <v>8.5307596240567513E-3</v>
      </c>
      <c r="D433" s="11">
        <v>0.66113146068923789</v>
      </c>
      <c r="F433" t="str">
        <f t="shared" si="6"/>
        <v>A</v>
      </c>
    </row>
    <row r="434" spans="1:6" x14ac:dyDescent="0.25">
      <c r="A434" s="22" t="s">
        <v>764</v>
      </c>
      <c r="B434" s="6">
        <v>9805.8573800000013</v>
      </c>
      <c r="C434" s="11">
        <v>6.3441765133648983E-3</v>
      </c>
      <c r="D434" s="11">
        <v>0.66747563720260272</v>
      </c>
      <c r="F434" t="str">
        <f t="shared" si="6"/>
        <v>A</v>
      </c>
    </row>
    <row r="435" spans="1:6" x14ac:dyDescent="0.25">
      <c r="A435" s="22" t="s">
        <v>964</v>
      </c>
      <c r="B435" s="6">
        <v>667.15008</v>
      </c>
      <c r="C435" s="11">
        <v>4.3163159572952227E-4</v>
      </c>
      <c r="D435" s="11">
        <v>0.66790726879833229</v>
      </c>
      <c r="F435" t="str">
        <f t="shared" si="6"/>
        <v>A</v>
      </c>
    </row>
    <row r="436" spans="1:6" x14ac:dyDescent="0.25">
      <c r="A436" s="22" t="s">
        <v>795</v>
      </c>
      <c r="B436" s="6">
        <v>27701.570400000001</v>
      </c>
      <c r="C436" s="11">
        <v>1.7922313725819684E-2</v>
      </c>
      <c r="D436" s="11">
        <v>0.68582958252415205</v>
      </c>
      <c r="F436" t="str">
        <f t="shared" si="6"/>
        <v>A</v>
      </c>
    </row>
    <row r="437" spans="1:6" x14ac:dyDescent="0.25">
      <c r="A437" s="22" t="s">
        <v>1099</v>
      </c>
      <c r="B437" s="6">
        <v>21584.693520000001</v>
      </c>
      <c r="C437" s="11">
        <v>1.3964827385421701E-2</v>
      </c>
      <c r="D437" s="11">
        <v>0.69979440990957364</v>
      </c>
      <c r="F437" t="str">
        <f t="shared" si="6"/>
        <v>A</v>
      </c>
    </row>
    <row r="438" spans="1:6" x14ac:dyDescent="0.25">
      <c r="A438" s="22" t="s">
        <v>956</v>
      </c>
      <c r="B438" s="6">
        <v>4503.4363999999996</v>
      </c>
      <c r="C438" s="11">
        <v>2.9136254313248599E-3</v>
      </c>
      <c r="D438" s="11">
        <v>0.70270803534089854</v>
      </c>
      <c r="F438" t="str">
        <f t="shared" si="6"/>
        <v>A</v>
      </c>
    </row>
    <row r="439" spans="1:6" x14ac:dyDescent="0.25">
      <c r="A439" s="22" t="s">
        <v>940</v>
      </c>
      <c r="B439" s="6">
        <v>6702.3501999999999</v>
      </c>
      <c r="C439" s="11">
        <v>4.3362748483281041E-3</v>
      </c>
      <c r="D439" s="11">
        <v>0.70704431018922664</v>
      </c>
      <c r="F439" t="str">
        <f t="shared" si="6"/>
        <v>A</v>
      </c>
    </row>
    <row r="440" spans="1:6" x14ac:dyDescent="0.25">
      <c r="A440" s="22" t="s">
        <v>803</v>
      </c>
      <c r="B440" s="6">
        <v>8930.7124999999996</v>
      </c>
      <c r="C440" s="11">
        <v>5.7779768045243896E-3</v>
      </c>
      <c r="D440" s="11">
        <v>0.71282228699375094</v>
      </c>
      <c r="F440" t="str">
        <f t="shared" si="6"/>
        <v>A</v>
      </c>
    </row>
    <row r="441" spans="1:6" x14ac:dyDescent="0.25">
      <c r="A441" s="22" t="s">
        <v>984</v>
      </c>
      <c r="B441" s="6">
        <v>12186.368600000002</v>
      </c>
      <c r="C441" s="11">
        <v>7.884315512584731E-3</v>
      </c>
      <c r="D441" s="11">
        <v>0.72070660250633567</v>
      </c>
      <c r="F441" t="str">
        <f t="shared" si="6"/>
        <v>A</v>
      </c>
    </row>
    <row r="442" spans="1:6" x14ac:dyDescent="0.25">
      <c r="A442" s="22" t="s">
        <v>770</v>
      </c>
      <c r="B442" s="6">
        <v>18957.37689</v>
      </c>
      <c r="C442" s="11">
        <v>1.2265010652290811E-2</v>
      </c>
      <c r="D442" s="11">
        <v>0.73297161315862647</v>
      </c>
      <c r="F442" t="str">
        <f t="shared" si="6"/>
        <v>A</v>
      </c>
    </row>
    <row r="443" spans="1:6" x14ac:dyDescent="0.25">
      <c r="A443" s="22" t="s">
        <v>794</v>
      </c>
      <c r="B443" s="6">
        <v>33687.501800000005</v>
      </c>
      <c r="C443" s="11">
        <v>2.1795081187841805E-2</v>
      </c>
      <c r="D443" s="11">
        <v>0.75476669434646826</v>
      </c>
      <c r="F443" t="str">
        <f t="shared" si="6"/>
        <v>A</v>
      </c>
    </row>
    <row r="444" spans="1:6" x14ac:dyDescent="0.25">
      <c r="A444" s="22" t="s">
        <v>839</v>
      </c>
      <c r="B444" s="6">
        <v>12080.215199999999</v>
      </c>
      <c r="C444" s="11">
        <v>7.8156365709077472E-3</v>
      </c>
      <c r="D444" s="11">
        <v>0.76258233091737593</v>
      </c>
      <c r="F444" t="str">
        <f t="shared" si="6"/>
        <v>A</v>
      </c>
    </row>
    <row r="445" spans="1:6" x14ac:dyDescent="0.25">
      <c r="A445" s="22" t="s">
        <v>1245</v>
      </c>
      <c r="B445" s="6">
        <v>50296.415399999998</v>
      </c>
      <c r="C445" s="11">
        <v>3.2540687154795689E-2</v>
      </c>
      <c r="D445" s="11">
        <v>0.79512301807217167</v>
      </c>
      <c r="F445" t="str">
        <f t="shared" si="6"/>
        <v>A</v>
      </c>
    </row>
    <row r="446" spans="1:6" x14ac:dyDescent="0.25">
      <c r="A446" s="22" t="s">
        <v>835</v>
      </c>
      <c r="B446" s="6">
        <v>6324.5775999999996</v>
      </c>
      <c r="C446" s="11">
        <v>4.0918641901432316E-3</v>
      </c>
      <c r="D446" s="11">
        <v>0.79921488226231485</v>
      </c>
      <c r="F446" t="str">
        <f t="shared" si="6"/>
        <v>A</v>
      </c>
    </row>
    <row r="447" spans="1:6" x14ac:dyDescent="0.25">
      <c r="A447" s="22" t="s">
        <v>820</v>
      </c>
      <c r="B447" s="6">
        <v>14197.064400000001</v>
      </c>
      <c r="C447" s="11">
        <v>9.1851919760645058E-3</v>
      </c>
      <c r="D447" s="11">
        <v>0.80840007423837945</v>
      </c>
      <c r="F447" t="str">
        <f t="shared" si="6"/>
        <v>B</v>
      </c>
    </row>
    <row r="448" spans="1:6" x14ac:dyDescent="0.25">
      <c r="A448" s="22" t="s">
        <v>968</v>
      </c>
      <c r="B448" s="6">
        <v>14269.848599999999</v>
      </c>
      <c r="C448" s="11">
        <v>9.2322817708973201E-3</v>
      </c>
      <c r="D448" s="11">
        <v>0.81763235600927664</v>
      </c>
      <c r="F448" t="str">
        <f t="shared" si="6"/>
        <v>B</v>
      </c>
    </row>
    <row r="449" spans="1:6" x14ac:dyDescent="0.25">
      <c r="A449" s="22" t="s">
        <v>734</v>
      </c>
      <c r="B449" s="6">
        <v>4866.3287999999993</v>
      </c>
      <c r="C449" s="11">
        <v>3.1484089236540761E-3</v>
      </c>
      <c r="D449" s="11">
        <v>0.82078076493293073</v>
      </c>
      <c r="F449" t="str">
        <f t="shared" si="6"/>
        <v>B</v>
      </c>
    </row>
    <row r="450" spans="1:6" x14ac:dyDescent="0.25">
      <c r="A450" s="22" t="s">
        <v>771</v>
      </c>
      <c r="B450" s="6">
        <v>11995.153920000001</v>
      </c>
      <c r="C450" s="11">
        <v>7.7606037722589109E-3</v>
      </c>
      <c r="D450" s="11">
        <v>0.82854136870518968</v>
      </c>
      <c r="F450" t="str">
        <f t="shared" si="6"/>
        <v>B</v>
      </c>
    </row>
    <row r="451" spans="1:6" x14ac:dyDescent="0.25">
      <c r="A451" s="22" t="s">
        <v>1127</v>
      </c>
      <c r="B451" s="6">
        <v>19800.88896</v>
      </c>
      <c r="C451" s="11">
        <v>1.2810744620862341E-2</v>
      </c>
      <c r="D451" s="11">
        <v>0.84135211332605198</v>
      </c>
      <c r="F451" t="str">
        <f t="shared" si="6"/>
        <v>B</v>
      </c>
    </row>
    <row r="452" spans="1:6" x14ac:dyDescent="0.25">
      <c r="A452" s="22" t="s">
        <v>1170</v>
      </c>
      <c r="B452" s="6">
        <v>7340.3891399999993</v>
      </c>
      <c r="C452" s="11">
        <v>4.7490721694492715E-3</v>
      </c>
      <c r="D452" s="11">
        <v>0.84610118549550128</v>
      </c>
      <c r="F452" t="str">
        <f t="shared" si="6"/>
        <v>B</v>
      </c>
    </row>
    <row r="453" spans="1:6" x14ac:dyDescent="0.25">
      <c r="A453" s="22" t="s">
        <v>1137</v>
      </c>
      <c r="B453" s="6">
        <v>7832.0010999999995</v>
      </c>
      <c r="C453" s="11">
        <v>5.0671344183131524E-3</v>
      </c>
      <c r="D453" s="11">
        <v>0.85116831991381436</v>
      </c>
      <c r="F453" t="str">
        <f t="shared" ref="F453:F516" si="7">IF(D453="","",IF(D453&lt;=0.8,"A",IF(D453&lt;=0.95,"B","C")))</f>
        <v>B</v>
      </c>
    </row>
    <row r="454" spans="1:6" x14ac:dyDescent="0.25">
      <c r="A454" s="22" t="s">
        <v>1023</v>
      </c>
      <c r="B454" s="6">
        <v>10456.416880000001</v>
      </c>
      <c r="C454" s="11">
        <v>6.7650743645680331E-3</v>
      </c>
      <c r="D454" s="11">
        <v>0.85793339427838244</v>
      </c>
      <c r="F454" t="str">
        <f t="shared" si="7"/>
        <v>B</v>
      </c>
    </row>
    <row r="455" spans="1:6" x14ac:dyDescent="0.25">
      <c r="A455" s="22" t="s">
        <v>1210</v>
      </c>
      <c r="B455" s="6">
        <v>4212.3745999999992</v>
      </c>
      <c r="C455" s="11">
        <v>2.7253147753628503E-3</v>
      </c>
      <c r="D455" s="11">
        <v>0.8606587090537452</v>
      </c>
      <c r="F455" t="str">
        <f t="shared" si="7"/>
        <v>B</v>
      </c>
    </row>
    <row r="456" spans="1:6" x14ac:dyDescent="0.25">
      <c r="A456" s="22" t="s">
        <v>971</v>
      </c>
      <c r="B456" s="6">
        <v>139277.83032000001</v>
      </c>
      <c r="C456" s="11">
        <v>9.0109727860284816E-2</v>
      </c>
      <c r="D456" s="11">
        <v>0.95076843691403001</v>
      </c>
      <c r="F456" t="str">
        <f t="shared" si="7"/>
        <v>C</v>
      </c>
    </row>
    <row r="457" spans="1:6" x14ac:dyDescent="0.25">
      <c r="A457" s="22" t="s">
        <v>1319</v>
      </c>
      <c r="B457" s="6">
        <v>25131.155999999999</v>
      </c>
      <c r="C457" s="11">
        <v>1.6259311498257718E-2</v>
      </c>
      <c r="D457" s="11">
        <v>0.96702774841228767</v>
      </c>
      <c r="F457" t="str">
        <f t="shared" si="7"/>
        <v>C</v>
      </c>
    </row>
    <row r="458" spans="1:6" x14ac:dyDescent="0.25">
      <c r="A458" s="22" t="s">
        <v>911</v>
      </c>
      <c r="B458" s="6">
        <v>321.93290999999999</v>
      </c>
      <c r="C458" s="11">
        <v>2.0828359289284455E-4</v>
      </c>
      <c r="D458" s="11">
        <v>0.96723603200518049</v>
      </c>
      <c r="F458" t="str">
        <f t="shared" si="7"/>
        <v>C</v>
      </c>
    </row>
    <row r="459" spans="1:6" x14ac:dyDescent="0.25">
      <c r="A459" s="22" t="s">
        <v>1034</v>
      </c>
      <c r="B459" s="6">
        <v>25577.274079999999</v>
      </c>
      <c r="C459" s="11">
        <v>1.6547940195947738E-2</v>
      </c>
      <c r="D459" s="11">
        <v>0.98378397220112823</v>
      </c>
      <c r="F459" t="str">
        <f t="shared" si="7"/>
        <v>C</v>
      </c>
    </row>
    <row r="460" spans="1:6" x14ac:dyDescent="0.25">
      <c r="A460" s="22" t="s">
        <v>1001</v>
      </c>
      <c r="B460" s="6">
        <v>17594.028880000002</v>
      </c>
      <c r="C460" s="11">
        <v>1.1382954133477282E-2</v>
      </c>
      <c r="D460" s="11">
        <v>0.99516692633460557</v>
      </c>
      <c r="F460" t="str">
        <f t="shared" si="7"/>
        <v>C</v>
      </c>
    </row>
    <row r="461" spans="1:6" x14ac:dyDescent="0.25">
      <c r="A461" s="22" t="s">
        <v>1293</v>
      </c>
      <c r="B461" s="6">
        <v>6766.9829999999993</v>
      </c>
      <c r="C461" s="11">
        <v>4.3780908645990862E-3</v>
      </c>
      <c r="D461" s="11">
        <v>0.99954501719920463</v>
      </c>
      <c r="F461" t="str">
        <f t="shared" si="7"/>
        <v>C</v>
      </c>
    </row>
    <row r="462" spans="1:6" x14ac:dyDescent="0.25">
      <c r="A462" s="22" t="s">
        <v>1057</v>
      </c>
      <c r="B462" s="6">
        <v>703.2428000000001</v>
      </c>
      <c r="C462" s="11">
        <v>4.5498280079543321E-4</v>
      </c>
      <c r="D462" s="11">
        <v>1</v>
      </c>
      <c r="F462" t="str">
        <f t="shared" si="7"/>
        <v>C</v>
      </c>
    </row>
    <row r="463" spans="1:6" x14ac:dyDescent="0.25">
      <c r="A463" s="19" t="s">
        <v>730</v>
      </c>
      <c r="B463" s="6">
        <v>1398841.4532999997</v>
      </c>
      <c r="C463" s="11">
        <v>0.12799535189595335</v>
      </c>
      <c r="D463" s="11"/>
      <c r="F463" t="str">
        <f t="shared" si="7"/>
        <v/>
      </c>
    </row>
    <row r="464" spans="1:6" x14ac:dyDescent="0.25">
      <c r="A464" s="22" t="s">
        <v>1154</v>
      </c>
      <c r="B464" s="6">
        <v>9984.7160999999978</v>
      </c>
      <c r="C464" s="11">
        <v>7.1378468778181435E-3</v>
      </c>
      <c r="D464" s="11">
        <v>7.1378468778181435E-3</v>
      </c>
      <c r="F464" t="str">
        <f t="shared" si="7"/>
        <v>A</v>
      </c>
    </row>
    <row r="465" spans="1:6" x14ac:dyDescent="0.25">
      <c r="A465" s="22" t="s">
        <v>751</v>
      </c>
      <c r="B465" s="6">
        <v>35367.211040000002</v>
      </c>
      <c r="C465" s="11">
        <v>2.5283216304868142E-2</v>
      </c>
      <c r="D465" s="11">
        <v>3.242106318268629E-2</v>
      </c>
      <c r="F465" t="str">
        <f t="shared" si="7"/>
        <v>A</v>
      </c>
    </row>
    <row r="466" spans="1:6" x14ac:dyDescent="0.25">
      <c r="A466" s="22" t="s">
        <v>1016</v>
      </c>
      <c r="B466" s="6">
        <v>667.74</v>
      </c>
      <c r="C466" s="11">
        <v>4.7735216769901836E-4</v>
      </c>
      <c r="D466" s="11">
        <v>3.2898415350385304E-2</v>
      </c>
      <c r="F466" t="str">
        <f t="shared" si="7"/>
        <v>A</v>
      </c>
    </row>
    <row r="467" spans="1:6" x14ac:dyDescent="0.25">
      <c r="A467" s="22" t="s">
        <v>1081</v>
      </c>
      <c r="B467" s="6">
        <v>2206.8000000000002</v>
      </c>
      <c r="C467" s="11">
        <v>1.5775912236472187E-3</v>
      </c>
      <c r="D467" s="11">
        <v>3.4476006574032526E-2</v>
      </c>
      <c r="F467" t="str">
        <f t="shared" si="7"/>
        <v>A</v>
      </c>
    </row>
    <row r="468" spans="1:6" x14ac:dyDescent="0.25">
      <c r="A468" s="22" t="s">
        <v>947</v>
      </c>
      <c r="B468" s="6">
        <v>24223.05</v>
      </c>
      <c r="C468" s="11">
        <v>1.7316508559891135E-2</v>
      </c>
      <c r="D468" s="11">
        <v>5.1792515133923654E-2</v>
      </c>
      <c r="F468" t="str">
        <f t="shared" si="7"/>
        <v>A</v>
      </c>
    </row>
    <row r="469" spans="1:6" x14ac:dyDescent="0.25">
      <c r="A469" s="22" t="s">
        <v>1077</v>
      </c>
      <c r="B469" s="6">
        <v>8938.8996600000009</v>
      </c>
      <c r="C469" s="11">
        <v>6.390216445839726E-3</v>
      </c>
      <c r="D469" s="11">
        <v>5.8182731579763378E-2</v>
      </c>
      <c r="F469" t="str">
        <f t="shared" si="7"/>
        <v>A</v>
      </c>
    </row>
    <row r="470" spans="1:6" x14ac:dyDescent="0.25">
      <c r="A470" s="22" t="s">
        <v>762</v>
      </c>
      <c r="B470" s="6">
        <v>3913.2000000000003</v>
      </c>
      <c r="C470" s="11">
        <v>2.7974578468263076E-3</v>
      </c>
      <c r="D470" s="11">
        <v>6.0980189426589684E-2</v>
      </c>
      <c r="F470" t="str">
        <f t="shared" si="7"/>
        <v>A</v>
      </c>
    </row>
    <row r="471" spans="1:6" x14ac:dyDescent="0.25">
      <c r="A471" s="22" t="s">
        <v>1294</v>
      </c>
      <c r="B471" s="6">
        <v>33071.3145</v>
      </c>
      <c r="C471" s="11">
        <v>2.3641931987346838E-2</v>
      </c>
      <c r="D471" s="11">
        <v>8.4622121413936532E-2</v>
      </c>
      <c r="F471" t="str">
        <f t="shared" si="7"/>
        <v>A</v>
      </c>
    </row>
    <row r="472" spans="1:6" x14ac:dyDescent="0.25">
      <c r="A472" s="22" t="s">
        <v>1246</v>
      </c>
      <c r="B472" s="6">
        <v>5189.8836000000001</v>
      </c>
      <c r="C472" s="11">
        <v>3.7101299705957188E-3</v>
      </c>
      <c r="D472" s="11">
        <v>8.833225138453224E-2</v>
      </c>
      <c r="F472" t="str">
        <f t="shared" si="7"/>
        <v>A</v>
      </c>
    </row>
    <row r="473" spans="1:6" x14ac:dyDescent="0.25">
      <c r="A473" s="22" t="s">
        <v>936</v>
      </c>
      <c r="B473" s="6">
        <v>25299.040000000001</v>
      </c>
      <c r="C473" s="11">
        <v>1.8085709384946497E-2</v>
      </c>
      <c r="D473" s="11">
        <v>0.10641796076947875</v>
      </c>
      <c r="F473" t="str">
        <f t="shared" si="7"/>
        <v>A</v>
      </c>
    </row>
    <row r="474" spans="1:6" x14ac:dyDescent="0.25">
      <c r="A474" s="22" t="s">
        <v>1105</v>
      </c>
      <c r="B474" s="6">
        <v>16873.45</v>
      </c>
      <c r="C474" s="11">
        <v>1.2062446362447962E-2</v>
      </c>
      <c r="D474" s="11">
        <v>0.11848040713192672</v>
      </c>
      <c r="F474" t="str">
        <f t="shared" si="7"/>
        <v>A</v>
      </c>
    </row>
    <row r="475" spans="1:6" x14ac:dyDescent="0.25">
      <c r="A475" s="22" t="s">
        <v>1061</v>
      </c>
      <c r="B475" s="6">
        <v>3799.8031499999997</v>
      </c>
      <c r="C475" s="11">
        <v>2.716393012972202E-3</v>
      </c>
      <c r="D475" s="11">
        <v>0.12119680014489892</v>
      </c>
      <c r="F475" t="str">
        <f t="shared" si="7"/>
        <v>A</v>
      </c>
    </row>
    <row r="476" spans="1:6" x14ac:dyDescent="0.25">
      <c r="A476" s="22" t="s">
        <v>841</v>
      </c>
      <c r="B476" s="6">
        <v>23687.524440000001</v>
      </c>
      <c r="C476" s="11">
        <v>1.6933673493960938E-2</v>
      </c>
      <c r="D476" s="11">
        <v>0.13813047363885986</v>
      </c>
      <c r="F476" t="str">
        <f t="shared" si="7"/>
        <v>A</v>
      </c>
    </row>
    <row r="477" spans="1:6" x14ac:dyDescent="0.25">
      <c r="A477" s="22" t="s">
        <v>1182</v>
      </c>
      <c r="B477" s="6">
        <v>12289.2</v>
      </c>
      <c r="C477" s="11">
        <v>8.7852701040626244E-3</v>
      </c>
      <c r="D477" s="11">
        <v>0.14691574374292249</v>
      </c>
      <c r="F477" t="str">
        <f t="shared" si="7"/>
        <v>A</v>
      </c>
    </row>
    <row r="478" spans="1:6" x14ac:dyDescent="0.25">
      <c r="A478" s="22" t="s">
        <v>972</v>
      </c>
      <c r="B478" s="6">
        <v>6684.1875</v>
      </c>
      <c r="C478" s="11">
        <v>4.7783739066578042E-3</v>
      </c>
      <c r="D478" s="11">
        <v>0.1516941176495803</v>
      </c>
      <c r="F478" t="str">
        <f t="shared" si="7"/>
        <v>A</v>
      </c>
    </row>
    <row r="479" spans="1:6" x14ac:dyDescent="0.25">
      <c r="A479" s="22" t="s">
        <v>1216</v>
      </c>
      <c r="B479" s="6">
        <v>5127.0390600000001</v>
      </c>
      <c r="C479" s="11">
        <v>3.6652038355775261E-3</v>
      </c>
      <c r="D479" s="11">
        <v>0.15535932148515783</v>
      </c>
      <c r="F479" t="str">
        <f t="shared" si="7"/>
        <v>A</v>
      </c>
    </row>
    <row r="480" spans="1:6" x14ac:dyDescent="0.25">
      <c r="A480" s="22" t="s">
        <v>965</v>
      </c>
      <c r="B480" s="6">
        <v>5814.6927299999998</v>
      </c>
      <c r="C480" s="11">
        <v>4.1567918339012527E-3</v>
      </c>
      <c r="D480" s="11">
        <v>0.15951611331905907</v>
      </c>
      <c r="F480" t="str">
        <f t="shared" si="7"/>
        <v>A</v>
      </c>
    </row>
    <row r="481" spans="1:6" x14ac:dyDescent="0.25">
      <c r="A481" s="22" t="s">
        <v>1156</v>
      </c>
      <c r="B481" s="6">
        <v>29627.320319999999</v>
      </c>
      <c r="C481" s="11">
        <v>2.1179898729842713E-2</v>
      </c>
      <c r="D481" s="11">
        <v>0.18069601204890179</v>
      </c>
      <c r="F481" t="str">
        <f t="shared" si="7"/>
        <v>A</v>
      </c>
    </row>
    <row r="482" spans="1:6" x14ac:dyDescent="0.25">
      <c r="A482" s="22" t="s">
        <v>867</v>
      </c>
      <c r="B482" s="6">
        <v>3494.4040799999998</v>
      </c>
      <c r="C482" s="11">
        <v>2.4980701506638718E-3</v>
      </c>
      <c r="D482" s="11">
        <v>0.18319408219956568</v>
      </c>
      <c r="F482" t="str">
        <f t="shared" si="7"/>
        <v>A</v>
      </c>
    </row>
    <row r="483" spans="1:6" x14ac:dyDescent="0.25">
      <c r="A483" s="22" t="s">
        <v>1264</v>
      </c>
      <c r="B483" s="6">
        <v>618.19979999999987</v>
      </c>
      <c r="C483" s="11">
        <v>4.4193700332629399E-4</v>
      </c>
      <c r="D483" s="11">
        <v>0.18363601920289196</v>
      </c>
      <c r="F483" t="str">
        <f t="shared" si="7"/>
        <v>A</v>
      </c>
    </row>
    <row r="484" spans="1:6" x14ac:dyDescent="0.25">
      <c r="A484" s="22" t="s">
        <v>1002</v>
      </c>
      <c r="B484" s="6">
        <v>6946.8</v>
      </c>
      <c r="C484" s="11">
        <v>4.96610962136691E-3</v>
      </c>
      <c r="D484" s="11">
        <v>0.18860212882425886</v>
      </c>
      <c r="F484" t="str">
        <f t="shared" si="7"/>
        <v>A</v>
      </c>
    </row>
    <row r="485" spans="1:6" x14ac:dyDescent="0.25">
      <c r="A485" s="22" t="s">
        <v>1160</v>
      </c>
      <c r="B485" s="6">
        <v>19637.76528</v>
      </c>
      <c r="C485" s="11">
        <v>1.4038592603666876E-2</v>
      </c>
      <c r="D485" s="11">
        <v>0.20264072142792575</v>
      </c>
      <c r="F485" t="str">
        <f t="shared" si="7"/>
        <v>A</v>
      </c>
    </row>
    <row r="486" spans="1:6" x14ac:dyDescent="0.25">
      <c r="A486" s="22" t="s">
        <v>934</v>
      </c>
      <c r="B486" s="6">
        <v>14963.769179999999</v>
      </c>
      <c r="C486" s="11">
        <v>1.0697258895709051E-2</v>
      </c>
      <c r="D486" s="11">
        <v>0.2133379803236348</v>
      </c>
      <c r="F486" t="str">
        <f t="shared" si="7"/>
        <v>A</v>
      </c>
    </row>
    <row r="487" spans="1:6" x14ac:dyDescent="0.25">
      <c r="A487" s="22" t="s">
        <v>1126</v>
      </c>
      <c r="B487" s="6">
        <v>11285.764020000001</v>
      </c>
      <c r="C487" s="11">
        <v>8.0679365008634908E-3</v>
      </c>
      <c r="D487" s="11">
        <v>0.22140591682449828</v>
      </c>
      <c r="F487" t="str">
        <f t="shared" si="7"/>
        <v>A</v>
      </c>
    </row>
    <row r="488" spans="1:6" x14ac:dyDescent="0.25">
      <c r="A488" s="22" t="s">
        <v>825</v>
      </c>
      <c r="B488" s="6">
        <v>19510.808000000001</v>
      </c>
      <c r="C488" s="11">
        <v>1.3947833726239778E-2</v>
      </c>
      <c r="D488" s="11">
        <v>0.23535375055073809</v>
      </c>
      <c r="F488" t="str">
        <f t="shared" si="7"/>
        <v>A</v>
      </c>
    </row>
    <row r="489" spans="1:6" x14ac:dyDescent="0.25">
      <c r="A489" s="22" t="s">
        <v>975</v>
      </c>
      <c r="B489" s="6">
        <v>9684.8756000000012</v>
      </c>
      <c r="C489" s="11">
        <v>6.923497711018258E-3</v>
      </c>
      <c r="D489" s="11">
        <v>0.24227724826175637</v>
      </c>
      <c r="F489" t="str">
        <f t="shared" si="7"/>
        <v>A</v>
      </c>
    </row>
    <row r="490" spans="1:6" x14ac:dyDescent="0.25">
      <c r="A490" s="22" t="s">
        <v>1020</v>
      </c>
      <c r="B490" s="6">
        <v>76.138720000000006</v>
      </c>
      <c r="C490" s="11">
        <v>5.4429842510301321E-5</v>
      </c>
      <c r="D490" s="11">
        <v>0.24233167810426665</v>
      </c>
      <c r="F490" t="str">
        <f t="shared" si="7"/>
        <v>A</v>
      </c>
    </row>
    <row r="491" spans="1:6" x14ac:dyDescent="0.25">
      <c r="A491" s="22" t="s">
        <v>997</v>
      </c>
      <c r="B491" s="6">
        <v>560.36831999999993</v>
      </c>
      <c r="C491" s="11">
        <v>4.0059459110111293E-4</v>
      </c>
      <c r="D491" s="11">
        <v>0.24273227269536776</v>
      </c>
      <c r="F491" t="str">
        <f t="shared" si="7"/>
        <v>A</v>
      </c>
    </row>
    <row r="492" spans="1:6" x14ac:dyDescent="0.25">
      <c r="A492" s="22" t="s">
        <v>1068</v>
      </c>
      <c r="B492" s="6">
        <v>4856.35725</v>
      </c>
      <c r="C492" s="11">
        <v>3.4716995543300441E-3</v>
      </c>
      <c r="D492" s="11">
        <v>0.24620397224969781</v>
      </c>
      <c r="F492" t="str">
        <f t="shared" si="7"/>
        <v>A</v>
      </c>
    </row>
    <row r="493" spans="1:6" x14ac:dyDescent="0.25">
      <c r="A493" s="22" t="s">
        <v>1146</v>
      </c>
      <c r="B493" s="6">
        <v>16134.22069</v>
      </c>
      <c r="C493" s="11">
        <v>1.1533988109901836E-2</v>
      </c>
      <c r="D493" s="11">
        <v>0.25773796035959962</v>
      </c>
      <c r="F493" t="str">
        <f t="shared" si="7"/>
        <v>A</v>
      </c>
    </row>
    <row r="494" spans="1:6" x14ac:dyDescent="0.25">
      <c r="A494" s="22" t="s">
        <v>1174</v>
      </c>
      <c r="B494" s="6">
        <v>12668.50728</v>
      </c>
      <c r="C494" s="11">
        <v>9.0564282679168467E-3</v>
      </c>
      <c r="D494" s="11">
        <v>0.26679438862751648</v>
      </c>
      <c r="F494" t="str">
        <f t="shared" si="7"/>
        <v>A</v>
      </c>
    </row>
    <row r="495" spans="1:6" x14ac:dyDescent="0.25">
      <c r="A495" s="22" t="s">
        <v>862</v>
      </c>
      <c r="B495" s="6">
        <v>2642.1686999999997</v>
      </c>
      <c r="C495" s="11">
        <v>1.8888264240145823E-3</v>
      </c>
      <c r="D495" s="11">
        <v>0.26868321505153109</v>
      </c>
      <c r="F495" t="str">
        <f t="shared" si="7"/>
        <v>A</v>
      </c>
    </row>
    <row r="496" spans="1:6" x14ac:dyDescent="0.25">
      <c r="A496" s="22" t="s">
        <v>1304</v>
      </c>
      <c r="B496" s="6">
        <v>841.00536</v>
      </c>
      <c r="C496" s="11">
        <v>6.0121564028288454E-4</v>
      </c>
      <c r="D496" s="11">
        <v>0.26928443069181396</v>
      </c>
      <c r="F496" t="str">
        <f t="shared" si="7"/>
        <v>A</v>
      </c>
    </row>
    <row r="497" spans="1:6" x14ac:dyDescent="0.25">
      <c r="A497" s="22" t="s">
        <v>737</v>
      </c>
      <c r="B497" s="6">
        <v>5225.2710400000005</v>
      </c>
      <c r="C497" s="11">
        <v>3.7354276481248753E-3</v>
      </c>
      <c r="D497" s="11">
        <v>0.27301985833993886</v>
      </c>
      <c r="F497" t="str">
        <f t="shared" si="7"/>
        <v>A</v>
      </c>
    </row>
    <row r="498" spans="1:6" x14ac:dyDescent="0.25">
      <c r="A498" s="22" t="s">
        <v>1317</v>
      </c>
      <c r="B498" s="6">
        <v>22676.312610000001</v>
      </c>
      <c r="C498" s="11">
        <v>1.6210781112115623E-2</v>
      </c>
      <c r="D498" s="11">
        <v>0.28923063945205452</v>
      </c>
      <c r="F498" t="str">
        <f t="shared" si="7"/>
        <v>A</v>
      </c>
    </row>
    <row r="499" spans="1:6" x14ac:dyDescent="0.25">
      <c r="A499" s="22" t="s">
        <v>883</v>
      </c>
      <c r="B499" s="6">
        <v>42495.805439999996</v>
      </c>
      <c r="C499" s="11">
        <v>3.0379286615898005E-2</v>
      </c>
      <c r="D499" s="11">
        <v>0.31960992606795247</v>
      </c>
      <c r="F499" t="str">
        <f t="shared" si="7"/>
        <v>A</v>
      </c>
    </row>
    <row r="500" spans="1:6" x14ac:dyDescent="0.25">
      <c r="A500" s="22" t="s">
        <v>799</v>
      </c>
      <c r="B500" s="6">
        <v>12153.267360000002</v>
      </c>
      <c r="C500" s="11">
        <v>8.6880949455203031E-3</v>
      </c>
      <c r="D500" s="11">
        <v>0.32829802101347277</v>
      </c>
      <c r="F500" t="str">
        <f t="shared" si="7"/>
        <v>A</v>
      </c>
    </row>
    <row r="501" spans="1:6" x14ac:dyDescent="0.25">
      <c r="A501" s="22" t="s">
        <v>1360</v>
      </c>
      <c r="B501" s="6">
        <v>33017.42</v>
      </c>
      <c r="C501" s="11">
        <v>2.3603404032750654E-2</v>
      </c>
      <c r="D501" s="11">
        <v>0.3519014250462234</v>
      </c>
      <c r="F501" t="str">
        <f t="shared" si="7"/>
        <v>A</v>
      </c>
    </row>
    <row r="502" spans="1:6" x14ac:dyDescent="0.25">
      <c r="A502" s="22" t="s">
        <v>979</v>
      </c>
      <c r="B502" s="6">
        <v>2909.8689199999999</v>
      </c>
      <c r="C502" s="11">
        <v>2.08019923425585E-3</v>
      </c>
      <c r="D502" s="11">
        <v>0.35398162428047925</v>
      </c>
      <c r="F502" t="str">
        <f t="shared" si="7"/>
        <v>A</v>
      </c>
    </row>
    <row r="503" spans="1:6" x14ac:dyDescent="0.25">
      <c r="A503" s="22" t="s">
        <v>765</v>
      </c>
      <c r="B503" s="6">
        <v>26150.364320000001</v>
      </c>
      <c r="C503" s="11">
        <v>1.869430181548367E-2</v>
      </c>
      <c r="D503" s="11">
        <v>0.37267592609596289</v>
      </c>
      <c r="F503" t="str">
        <f t="shared" si="7"/>
        <v>A</v>
      </c>
    </row>
    <row r="504" spans="1:6" x14ac:dyDescent="0.25">
      <c r="A504" s="22" t="s">
        <v>1109</v>
      </c>
      <c r="B504" s="6">
        <v>38422.022320000004</v>
      </c>
      <c r="C504" s="11">
        <v>2.7467031541965538E-2</v>
      </c>
      <c r="D504" s="11">
        <v>0.40014295763792845</v>
      </c>
      <c r="F504" t="str">
        <f t="shared" si="7"/>
        <v>A</v>
      </c>
    </row>
    <row r="505" spans="1:6" x14ac:dyDescent="0.25">
      <c r="A505" s="22" t="s">
        <v>931</v>
      </c>
      <c r="B505" s="6">
        <v>11326.846439999999</v>
      </c>
      <c r="C505" s="11">
        <v>8.0973053903134577E-3</v>
      </c>
      <c r="D505" s="11">
        <v>0.4082402630282419</v>
      </c>
      <c r="F505" t="str">
        <f t="shared" si="7"/>
        <v>A</v>
      </c>
    </row>
    <row r="506" spans="1:6" x14ac:dyDescent="0.25">
      <c r="A506" s="22" t="s">
        <v>1037</v>
      </c>
      <c r="B506" s="6">
        <v>8093.4784</v>
      </c>
      <c r="C506" s="11">
        <v>5.7858439788917582E-3</v>
      </c>
      <c r="D506" s="11">
        <v>0.41402610700713366</v>
      </c>
      <c r="F506" t="str">
        <f t="shared" si="7"/>
        <v>A</v>
      </c>
    </row>
    <row r="507" spans="1:6" x14ac:dyDescent="0.25">
      <c r="A507" s="22" t="s">
        <v>1318</v>
      </c>
      <c r="B507" s="6">
        <v>370.86</v>
      </c>
      <c r="C507" s="11">
        <v>2.6511939514310652E-4</v>
      </c>
      <c r="D507" s="11">
        <v>0.41429122640227678</v>
      </c>
      <c r="F507" t="str">
        <f t="shared" si="7"/>
        <v>A</v>
      </c>
    </row>
    <row r="508" spans="1:6" x14ac:dyDescent="0.25">
      <c r="A508" s="22" t="s">
        <v>1095</v>
      </c>
      <c r="B508" s="6">
        <v>4804.4682400000002</v>
      </c>
      <c r="C508" s="11">
        <v>3.4346052790084278E-3</v>
      </c>
      <c r="D508" s="11">
        <v>0.41772583168128519</v>
      </c>
      <c r="F508" t="str">
        <f t="shared" si="7"/>
        <v>A</v>
      </c>
    </row>
    <row r="509" spans="1:6" x14ac:dyDescent="0.25">
      <c r="A509" s="22" t="s">
        <v>896</v>
      </c>
      <c r="B509" s="6">
        <v>8154.5511600000009</v>
      </c>
      <c r="C509" s="11">
        <v>5.8295035086089568E-3</v>
      </c>
      <c r="D509" s="11">
        <v>0.42355533518989413</v>
      </c>
      <c r="F509" t="str">
        <f t="shared" si="7"/>
        <v>A</v>
      </c>
    </row>
    <row r="510" spans="1:6" x14ac:dyDescent="0.25">
      <c r="A510" s="22" t="s">
        <v>1186</v>
      </c>
      <c r="B510" s="6">
        <v>11984.891250000001</v>
      </c>
      <c r="C510" s="11">
        <v>8.5677266867710457E-3</v>
      </c>
      <c r="D510" s="11">
        <v>0.43212306187666516</v>
      </c>
      <c r="F510" t="str">
        <f t="shared" si="7"/>
        <v>A</v>
      </c>
    </row>
    <row r="511" spans="1:6" x14ac:dyDescent="0.25">
      <c r="A511" s="22" t="s">
        <v>1162</v>
      </c>
      <c r="B511" s="6">
        <v>41138.261999999995</v>
      </c>
      <c r="C511" s="11">
        <v>2.940880962810398E-2</v>
      </c>
      <c r="D511" s="11">
        <v>0.46153187150476915</v>
      </c>
      <c r="F511" t="str">
        <f t="shared" si="7"/>
        <v>A</v>
      </c>
    </row>
    <row r="512" spans="1:6" x14ac:dyDescent="0.25">
      <c r="A512" s="22" t="s">
        <v>1140</v>
      </c>
      <c r="B512" s="6">
        <v>21541.017959999997</v>
      </c>
      <c r="C512" s="11">
        <v>1.5399184739044365E-2</v>
      </c>
      <c r="D512" s="11">
        <v>0.47693105624381349</v>
      </c>
      <c r="F512" t="str">
        <f t="shared" si="7"/>
        <v>A</v>
      </c>
    </row>
    <row r="513" spans="1:6" x14ac:dyDescent="0.25">
      <c r="A513" s="22" t="s">
        <v>1219</v>
      </c>
      <c r="B513" s="6">
        <v>5159.7893599999998</v>
      </c>
      <c r="C513" s="11">
        <v>3.688616281586142E-3</v>
      </c>
      <c r="D513" s="11">
        <v>0.48061967252539967</v>
      </c>
      <c r="F513" t="str">
        <f t="shared" si="7"/>
        <v>A</v>
      </c>
    </row>
    <row r="514" spans="1:6" x14ac:dyDescent="0.25">
      <c r="A514" s="22" t="s">
        <v>1287</v>
      </c>
      <c r="B514" s="6">
        <v>33551.927499999998</v>
      </c>
      <c r="C514" s="11">
        <v>2.3985511310697732E-2</v>
      </c>
      <c r="D514" s="11">
        <v>0.50460518383609743</v>
      </c>
      <c r="F514" t="str">
        <f t="shared" si="7"/>
        <v>A</v>
      </c>
    </row>
    <row r="515" spans="1:6" x14ac:dyDescent="0.25">
      <c r="A515" s="22" t="s">
        <v>1050</v>
      </c>
      <c r="B515" s="6">
        <v>9062.34692</v>
      </c>
      <c r="C515" s="11">
        <v>6.478466089649448E-3</v>
      </c>
      <c r="D515" s="11">
        <v>0.51108364992574684</v>
      </c>
      <c r="F515" t="str">
        <f t="shared" si="7"/>
        <v>A</v>
      </c>
    </row>
    <row r="516" spans="1:6" x14ac:dyDescent="0.25">
      <c r="A516" s="22" t="s">
        <v>1064</v>
      </c>
      <c r="B516" s="6">
        <v>2537.2908000000002</v>
      </c>
      <c r="C516" s="11">
        <v>1.8138515941276193E-3</v>
      </c>
      <c r="D516" s="11">
        <v>0.51289750151987445</v>
      </c>
      <c r="F516" t="str">
        <f t="shared" si="7"/>
        <v>A</v>
      </c>
    </row>
    <row r="517" spans="1:6" x14ac:dyDescent="0.25">
      <c r="A517" s="22" t="s">
        <v>1222</v>
      </c>
      <c r="B517" s="6">
        <v>9614.4403999999995</v>
      </c>
      <c r="C517" s="11">
        <v>6.8731451854809012E-3</v>
      </c>
      <c r="D517" s="11">
        <v>0.51977064670535533</v>
      </c>
      <c r="F517" t="str">
        <f t="shared" ref="F517:F580" si="8">IF(D517="","",IF(D517&lt;=0.8,"A",IF(D517&lt;=0.95,"B","C")))</f>
        <v>A</v>
      </c>
    </row>
    <row r="518" spans="1:6" x14ac:dyDescent="0.25">
      <c r="A518" s="22" t="s">
        <v>1189</v>
      </c>
      <c r="B518" s="6">
        <v>20797.98</v>
      </c>
      <c r="C518" s="11">
        <v>1.4868003769073037E-2</v>
      </c>
      <c r="D518" s="11">
        <v>0.53463865047442838</v>
      </c>
      <c r="F518" t="str">
        <f t="shared" si="8"/>
        <v>A</v>
      </c>
    </row>
    <row r="519" spans="1:6" x14ac:dyDescent="0.25">
      <c r="A519" s="22" t="s">
        <v>1019</v>
      </c>
      <c r="B519" s="6">
        <v>3978.6474000000003</v>
      </c>
      <c r="C519" s="11">
        <v>2.8442447073712277E-3</v>
      </c>
      <c r="D519" s="11">
        <v>0.53748289518179959</v>
      </c>
      <c r="F519" t="str">
        <f t="shared" si="8"/>
        <v>A</v>
      </c>
    </row>
    <row r="520" spans="1:6" x14ac:dyDescent="0.25">
      <c r="A520" s="22" t="s">
        <v>1012</v>
      </c>
      <c r="B520" s="6">
        <v>34840.344000000005</v>
      </c>
      <c r="C520" s="11">
        <v>2.4906571018329726E-2</v>
      </c>
      <c r="D520" s="11">
        <v>0.56238946620012942</v>
      </c>
      <c r="F520" t="str">
        <f t="shared" si="8"/>
        <v>A</v>
      </c>
    </row>
    <row r="521" spans="1:6" x14ac:dyDescent="0.25">
      <c r="A521" s="22" t="s">
        <v>761</v>
      </c>
      <c r="B521" s="6">
        <v>3980.7075</v>
      </c>
      <c r="C521" s="11">
        <v>2.8457174260950969E-3</v>
      </c>
      <c r="D521" s="11">
        <v>0.56523518362622449</v>
      </c>
      <c r="F521" t="str">
        <f t="shared" si="8"/>
        <v>A</v>
      </c>
    </row>
    <row r="522" spans="1:6" x14ac:dyDescent="0.25">
      <c r="A522" s="22" t="s">
        <v>1100</v>
      </c>
      <c r="B522" s="6">
        <v>19547.329920000004</v>
      </c>
      <c r="C522" s="11">
        <v>1.3973942417767216E-2</v>
      </c>
      <c r="D522" s="11">
        <v>0.57920912604399177</v>
      </c>
      <c r="F522" t="str">
        <f t="shared" si="8"/>
        <v>A</v>
      </c>
    </row>
    <row r="523" spans="1:6" x14ac:dyDescent="0.25">
      <c r="A523" s="22" t="s">
        <v>828</v>
      </c>
      <c r="B523" s="6">
        <v>5487.6023999999998</v>
      </c>
      <c r="C523" s="11">
        <v>3.9229623822301125E-3</v>
      </c>
      <c r="D523" s="11">
        <v>0.58313208842622177</v>
      </c>
      <c r="F523" t="str">
        <f t="shared" si="8"/>
        <v>A</v>
      </c>
    </row>
    <row r="524" spans="1:6" x14ac:dyDescent="0.25">
      <c r="A524" s="22" t="s">
        <v>745</v>
      </c>
      <c r="B524" s="6">
        <v>10370.549999999999</v>
      </c>
      <c r="C524" s="11">
        <v>7.4136707741501995E-3</v>
      </c>
      <c r="D524" s="11">
        <v>0.590545759200372</v>
      </c>
      <c r="F524" t="str">
        <f t="shared" si="8"/>
        <v>A</v>
      </c>
    </row>
    <row r="525" spans="1:6" x14ac:dyDescent="0.25">
      <c r="A525" s="22" t="s">
        <v>978</v>
      </c>
      <c r="B525" s="6">
        <v>12248.675999999999</v>
      </c>
      <c r="C525" s="11">
        <v>8.7563004163940163E-3</v>
      </c>
      <c r="D525" s="11">
        <v>0.59930205961676608</v>
      </c>
      <c r="F525" t="str">
        <f t="shared" si="8"/>
        <v>A</v>
      </c>
    </row>
    <row r="526" spans="1:6" x14ac:dyDescent="0.25">
      <c r="A526" s="22" t="s">
        <v>959</v>
      </c>
      <c r="B526" s="6">
        <v>21573.6495</v>
      </c>
      <c r="C526" s="11">
        <v>1.5422512286224942E-2</v>
      </c>
      <c r="D526" s="11">
        <v>0.61472457190299101</v>
      </c>
      <c r="F526" t="str">
        <f t="shared" si="8"/>
        <v>A</v>
      </c>
    </row>
    <row r="527" spans="1:6" x14ac:dyDescent="0.25">
      <c r="A527" s="22" t="s">
        <v>1339</v>
      </c>
      <c r="B527" s="6">
        <v>29175.036029999999</v>
      </c>
      <c r="C527" s="11">
        <v>2.0856570958183517E-2</v>
      </c>
      <c r="D527" s="11">
        <v>0.63558114286117451</v>
      </c>
      <c r="F527" t="str">
        <f t="shared" si="8"/>
        <v>A</v>
      </c>
    </row>
    <row r="528" spans="1:6" x14ac:dyDescent="0.25">
      <c r="A528" s="22" t="s">
        <v>915</v>
      </c>
      <c r="B528" s="6">
        <v>41352.246200000009</v>
      </c>
      <c r="C528" s="11">
        <v>2.9561782075049416E-2</v>
      </c>
      <c r="D528" s="11">
        <v>0.66514292493622396</v>
      </c>
      <c r="F528" t="str">
        <f t="shared" si="8"/>
        <v>A</v>
      </c>
    </row>
    <row r="529" spans="1:6" x14ac:dyDescent="0.25">
      <c r="A529" s="22" t="s">
        <v>1312</v>
      </c>
      <c r="B529" s="6">
        <v>7173.3342799999991</v>
      </c>
      <c r="C529" s="11">
        <v>5.1280538356061889E-3</v>
      </c>
      <c r="D529" s="11">
        <v>0.67027097877183017</v>
      </c>
      <c r="F529" t="str">
        <f t="shared" si="8"/>
        <v>A</v>
      </c>
    </row>
    <row r="530" spans="1:6" x14ac:dyDescent="0.25">
      <c r="A530" s="22" t="s">
        <v>1070</v>
      </c>
      <c r="B530" s="6">
        <v>28247.74656</v>
      </c>
      <c r="C530" s="11">
        <v>2.0193672766388848E-2</v>
      </c>
      <c r="D530" s="11">
        <v>0.69046465153821901</v>
      </c>
      <c r="F530" t="str">
        <f t="shared" si="8"/>
        <v>A</v>
      </c>
    </row>
    <row r="531" spans="1:6" x14ac:dyDescent="0.25">
      <c r="A531" s="22" t="s">
        <v>1226</v>
      </c>
      <c r="B531" s="6">
        <v>110.14919999999999</v>
      </c>
      <c r="C531" s="11">
        <v>7.8743162593693217E-5</v>
      </c>
      <c r="D531" s="11">
        <v>0.69054339470081261</v>
      </c>
      <c r="F531" t="str">
        <f t="shared" si="8"/>
        <v>A</v>
      </c>
    </row>
    <row r="532" spans="1:6" x14ac:dyDescent="0.25">
      <c r="A532" s="22" t="s">
        <v>856</v>
      </c>
      <c r="B532" s="6">
        <v>16061.972879999999</v>
      </c>
      <c r="C532" s="11">
        <v>1.1482339790623363E-2</v>
      </c>
      <c r="D532" s="11">
        <v>0.70202573449143602</v>
      </c>
      <c r="F532" t="str">
        <f t="shared" si="8"/>
        <v>A</v>
      </c>
    </row>
    <row r="533" spans="1:6" x14ac:dyDescent="0.25">
      <c r="A533" s="22" t="s">
        <v>1108</v>
      </c>
      <c r="B533" s="6">
        <v>31005.24768</v>
      </c>
      <c r="C533" s="11">
        <v>2.2164947719311347E-2</v>
      </c>
      <c r="D533" s="11">
        <v>0.72419068221074745</v>
      </c>
      <c r="F533" t="str">
        <f t="shared" si="8"/>
        <v>A</v>
      </c>
    </row>
    <row r="534" spans="1:6" x14ac:dyDescent="0.25">
      <c r="A534" s="22" t="s">
        <v>871</v>
      </c>
      <c r="B534" s="6">
        <v>4336.2427499999994</v>
      </c>
      <c r="C534" s="11">
        <v>3.0998815053488666E-3</v>
      </c>
      <c r="D534" s="11">
        <v>0.72729056371609624</v>
      </c>
      <c r="F534" t="str">
        <f t="shared" si="8"/>
        <v>A</v>
      </c>
    </row>
    <row r="535" spans="1:6" x14ac:dyDescent="0.25">
      <c r="A535" s="22" t="s">
        <v>875</v>
      </c>
      <c r="B535" s="6">
        <v>8211.6342000000004</v>
      </c>
      <c r="C535" s="11">
        <v>5.870310878068402E-3</v>
      </c>
      <c r="D535" s="11">
        <v>0.73316087459416468</v>
      </c>
      <c r="F535" t="str">
        <f t="shared" si="8"/>
        <v>A</v>
      </c>
    </row>
    <row r="536" spans="1:6" x14ac:dyDescent="0.25">
      <c r="A536" s="22" t="s">
        <v>1266</v>
      </c>
      <c r="B536" s="6">
        <v>11924.0978</v>
      </c>
      <c r="C536" s="11">
        <v>8.5242668294322581E-3</v>
      </c>
      <c r="D536" s="11">
        <v>0.74168514142359687</v>
      </c>
      <c r="F536" t="str">
        <f t="shared" si="8"/>
        <v>A</v>
      </c>
    </row>
    <row r="537" spans="1:6" x14ac:dyDescent="0.25">
      <c r="A537" s="22" t="s">
        <v>796</v>
      </c>
      <c r="B537" s="6">
        <v>10947.904</v>
      </c>
      <c r="C537" s="11">
        <v>7.8264080422930388E-3</v>
      </c>
      <c r="D537" s="11">
        <v>0.74951154946588994</v>
      </c>
      <c r="F537" t="str">
        <f t="shared" si="8"/>
        <v>A</v>
      </c>
    </row>
    <row r="538" spans="1:6" x14ac:dyDescent="0.25">
      <c r="A538" s="22" t="s">
        <v>834</v>
      </c>
      <c r="B538" s="6">
        <v>52780.07</v>
      </c>
      <c r="C538" s="11">
        <v>3.7731273887749613E-2</v>
      </c>
      <c r="D538" s="11">
        <v>0.78724282335363949</v>
      </c>
      <c r="F538" t="str">
        <f t="shared" si="8"/>
        <v>A</v>
      </c>
    </row>
    <row r="539" spans="1:6" x14ac:dyDescent="0.25">
      <c r="A539" s="22" t="s">
        <v>1153</v>
      </c>
      <c r="B539" s="6">
        <v>14527.748400000002</v>
      </c>
      <c r="C539" s="11">
        <v>1.0385557538152495E-2</v>
      </c>
      <c r="D539" s="11">
        <v>0.79762838089179189</v>
      </c>
      <c r="F539" t="str">
        <f t="shared" si="8"/>
        <v>A</v>
      </c>
    </row>
    <row r="540" spans="1:6" x14ac:dyDescent="0.25">
      <c r="A540" s="22" t="s">
        <v>1145</v>
      </c>
      <c r="B540" s="6">
        <v>2059.0056</v>
      </c>
      <c r="C540" s="11">
        <v>1.4719363621535596E-3</v>
      </c>
      <c r="D540" s="11">
        <v>0.79910031725394548</v>
      </c>
      <c r="F540" t="str">
        <f t="shared" si="8"/>
        <v>A</v>
      </c>
    </row>
    <row r="541" spans="1:6" x14ac:dyDescent="0.25">
      <c r="A541" s="22" t="s">
        <v>1239</v>
      </c>
      <c r="B541" s="6">
        <v>34800.431400000001</v>
      </c>
      <c r="C541" s="11">
        <v>2.4878038406641784E-2</v>
      </c>
      <c r="D541" s="11">
        <v>0.82397835566058719</v>
      </c>
      <c r="F541" t="str">
        <f t="shared" si="8"/>
        <v>B</v>
      </c>
    </row>
    <row r="542" spans="1:6" x14ac:dyDescent="0.25">
      <c r="A542" s="22" t="s">
        <v>970</v>
      </c>
      <c r="B542" s="6">
        <v>37038.581760000001</v>
      </c>
      <c r="C542" s="11">
        <v>2.6478041290971518E-2</v>
      </c>
      <c r="D542" s="11">
        <v>0.85045639695155872</v>
      </c>
      <c r="F542" t="str">
        <f t="shared" si="8"/>
        <v>B</v>
      </c>
    </row>
    <row r="543" spans="1:6" x14ac:dyDescent="0.25">
      <c r="A543" s="22" t="s">
        <v>1168</v>
      </c>
      <c r="B543" s="6">
        <v>27249</v>
      </c>
      <c r="C543" s="11">
        <v>1.9479691523093645E-2</v>
      </c>
      <c r="D543" s="11">
        <v>0.86993608847465231</v>
      </c>
      <c r="F543" t="str">
        <f t="shared" si="8"/>
        <v>B</v>
      </c>
    </row>
    <row r="544" spans="1:6" x14ac:dyDescent="0.25">
      <c r="A544" s="22" t="s">
        <v>840</v>
      </c>
      <c r="B544" s="6">
        <v>518.65436999999997</v>
      </c>
      <c r="C544" s="11">
        <v>3.7077423519044642E-4</v>
      </c>
      <c r="D544" s="11">
        <v>0.8703068627098427</v>
      </c>
      <c r="F544" t="str">
        <f t="shared" si="8"/>
        <v>B</v>
      </c>
    </row>
    <row r="545" spans="1:6" x14ac:dyDescent="0.25">
      <c r="A545" s="22" t="s">
        <v>1234</v>
      </c>
      <c r="B545" s="6">
        <v>7428.1108999999988</v>
      </c>
      <c r="C545" s="11">
        <v>5.310187857584847E-3</v>
      </c>
      <c r="D545" s="11">
        <v>0.87561705056742756</v>
      </c>
      <c r="F545" t="str">
        <f t="shared" si="8"/>
        <v>B</v>
      </c>
    </row>
    <row r="546" spans="1:6" x14ac:dyDescent="0.25">
      <c r="A546" s="22" t="s">
        <v>1362</v>
      </c>
      <c r="B546" s="6">
        <v>12769.38768</v>
      </c>
      <c r="C546" s="11">
        <v>9.1285453758006684E-3</v>
      </c>
      <c r="D546" s="11">
        <v>0.88474559594322821</v>
      </c>
      <c r="F546" t="str">
        <f t="shared" si="8"/>
        <v>B</v>
      </c>
    </row>
    <row r="547" spans="1:6" x14ac:dyDescent="0.25">
      <c r="A547" s="22" t="s">
        <v>893</v>
      </c>
      <c r="B547" s="6">
        <v>29263.754519999995</v>
      </c>
      <c r="C547" s="11">
        <v>2.0919993792694679E-2</v>
      </c>
      <c r="D547" s="11">
        <v>0.90566558973592282</v>
      </c>
      <c r="F547" t="str">
        <f t="shared" si="8"/>
        <v>B</v>
      </c>
    </row>
    <row r="548" spans="1:6" x14ac:dyDescent="0.25">
      <c r="A548" s="22" t="s">
        <v>1054</v>
      </c>
      <c r="B548" s="6">
        <v>22380.204000000002</v>
      </c>
      <c r="C548" s="11">
        <v>1.599909978875946E-2</v>
      </c>
      <c r="D548" s="11">
        <v>0.92166468952468217</v>
      </c>
      <c r="F548" t="str">
        <f t="shared" si="8"/>
        <v>B</v>
      </c>
    </row>
    <row r="549" spans="1:6" x14ac:dyDescent="0.25">
      <c r="A549" s="22" t="s">
        <v>1207</v>
      </c>
      <c r="B549" s="6">
        <v>19233.355499999998</v>
      </c>
      <c r="C549" s="11">
        <v>1.3749489232412071E-2</v>
      </c>
      <c r="D549" s="11">
        <v>0.93541417875709432</v>
      </c>
      <c r="F549" t="str">
        <f t="shared" si="8"/>
        <v>B</v>
      </c>
    </row>
    <row r="550" spans="1:6" x14ac:dyDescent="0.25">
      <c r="A550" s="22" t="s">
        <v>1320</v>
      </c>
      <c r="B550" s="6">
        <v>68665.574250000005</v>
      </c>
      <c r="C550" s="11">
        <v>4.9087460260783235E-2</v>
      </c>
      <c r="D550" s="11">
        <v>0.98450163901787757</v>
      </c>
      <c r="F550" t="str">
        <f t="shared" si="8"/>
        <v>C</v>
      </c>
    </row>
    <row r="551" spans="1:6" x14ac:dyDescent="0.25">
      <c r="A551" s="22" t="s">
        <v>930</v>
      </c>
      <c r="B551" s="6">
        <v>21679.749799999998</v>
      </c>
      <c r="C551" s="11">
        <v>1.549836098212232E-2</v>
      </c>
      <c r="D551" s="11">
        <v>1</v>
      </c>
      <c r="F551" t="str">
        <f t="shared" si="8"/>
        <v>C</v>
      </c>
    </row>
    <row r="552" spans="1:6" x14ac:dyDescent="0.25">
      <c r="A552" s="19" t="s">
        <v>733</v>
      </c>
      <c r="B552" s="6">
        <v>1331648.9160700005</v>
      </c>
      <c r="C552" s="11">
        <v>0.1218471694645229</v>
      </c>
      <c r="D552" s="11"/>
      <c r="F552" t="str">
        <f t="shared" si="8"/>
        <v/>
      </c>
    </row>
    <row r="553" spans="1:6" x14ac:dyDescent="0.25">
      <c r="A553" s="22" t="s">
        <v>873</v>
      </c>
      <c r="B553" s="6">
        <v>1446.9507000000001</v>
      </c>
      <c r="C553" s="11">
        <v>1.086585722812197E-3</v>
      </c>
      <c r="D553" s="11">
        <v>1.086585722812197E-3</v>
      </c>
      <c r="F553" t="str">
        <f t="shared" si="8"/>
        <v>A</v>
      </c>
    </row>
    <row r="554" spans="1:6" x14ac:dyDescent="0.25">
      <c r="A554" s="22" t="s">
        <v>1355</v>
      </c>
      <c r="B554" s="6">
        <v>10693.88488</v>
      </c>
      <c r="C554" s="11">
        <v>8.0305587688683684E-3</v>
      </c>
      <c r="D554" s="11">
        <v>9.117144491680565E-3</v>
      </c>
      <c r="F554" t="str">
        <f t="shared" si="8"/>
        <v>A</v>
      </c>
    </row>
    <row r="555" spans="1:6" x14ac:dyDescent="0.25">
      <c r="A555" s="22" t="s">
        <v>1067</v>
      </c>
      <c r="B555" s="6">
        <v>5610.0923999999995</v>
      </c>
      <c r="C555" s="11">
        <v>4.2128915003788398E-3</v>
      </c>
      <c r="D555" s="11">
        <v>1.3330035992059406E-2</v>
      </c>
      <c r="F555" t="str">
        <f t="shared" si="8"/>
        <v>A</v>
      </c>
    </row>
    <row r="556" spans="1:6" x14ac:dyDescent="0.25">
      <c r="A556" s="22" t="s">
        <v>1149</v>
      </c>
      <c r="B556" s="6">
        <v>10893.6232</v>
      </c>
      <c r="C556" s="11">
        <v>8.1805519972558277E-3</v>
      </c>
      <c r="D556" s="11">
        <v>2.1510587989315235E-2</v>
      </c>
      <c r="F556" t="str">
        <f t="shared" si="8"/>
        <v>A</v>
      </c>
    </row>
    <row r="557" spans="1:6" x14ac:dyDescent="0.25">
      <c r="A557" s="22" t="s">
        <v>1074</v>
      </c>
      <c r="B557" s="6">
        <v>17067.938400000003</v>
      </c>
      <c r="C557" s="11">
        <v>1.281714586632292E-2</v>
      </c>
      <c r="D557" s="11">
        <v>3.4327733855638157E-2</v>
      </c>
      <c r="F557" t="str">
        <f t="shared" si="8"/>
        <v>A</v>
      </c>
    </row>
    <row r="558" spans="1:6" x14ac:dyDescent="0.25">
      <c r="A558" s="22" t="s">
        <v>1128</v>
      </c>
      <c r="B558" s="6">
        <v>14431.738420000001</v>
      </c>
      <c r="C558" s="11">
        <v>1.0837494962704848E-2</v>
      </c>
      <c r="D558" s="11">
        <v>4.5165228818343006E-2</v>
      </c>
      <c r="F558" t="str">
        <f t="shared" si="8"/>
        <v>A</v>
      </c>
    </row>
    <row r="559" spans="1:6" x14ac:dyDescent="0.25">
      <c r="A559" s="22" t="s">
        <v>1175</v>
      </c>
      <c r="B559" s="6">
        <v>31513.085009999999</v>
      </c>
      <c r="C559" s="11">
        <v>2.3664709691652283E-2</v>
      </c>
      <c r="D559" s="11">
        <v>6.8829938509995289E-2</v>
      </c>
      <c r="F559" t="str">
        <f t="shared" si="8"/>
        <v>A</v>
      </c>
    </row>
    <row r="560" spans="1:6" x14ac:dyDescent="0.25">
      <c r="A560" s="22" t="s">
        <v>1027</v>
      </c>
      <c r="B560" s="6">
        <v>7382.1450000000004</v>
      </c>
      <c r="C560" s="11">
        <v>5.5436120669000305E-3</v>
      </c>
      <c r="D560" s="11">
        <v>7.437355057689532E-2</v>
      </c>
      <c r="F560" t="str">
        <f t="shared" si="8"/>
        <v>A</v>
      </c>
    </row>
    <row r="561" spans="1:6" x14ac:dyDescent="0.25">
      <c r="A561" s="22" t="s">
        <v>1225</v>
      </c>
      <c r="B561" s="6">
        <v>7507.4514899999995</v>
      </c>
      <c r="C561" s="11">
        <v>5.6377108105612403E-3</v>
      </c>
      <c r="D561" s="11">
        <v>8.0011261387456553E-2</v>
      </c>
      <c r="F561" t="str">
        <f t="shared" si="8"/>
        <v>A</v>
      </c>
    </row>
    <row r="562" spans="1:6" x14ac:dyDescent="0.25">
      <c r="A562" s="22" t="s">
        <v>1321</v>
      </c>
      <c r="B562" s="6">
        <v>12040.64352</v>
      </c>
      <c r="C562" s="11">
        <v>9.0419053961570319E-3</v>
      </c>
      <c r="D562" s="11">
        <v>8.9053166783613594E-2</v>
      </c>
      <c r="F562" t="str">
        <f t="shared" si="8"/>
        <v>A</v>
      </c>
    </row>
    <row r="563" spans="1:6" x14ac:dyDescent="0.25">
      <c r="A563" s="22" t="s">
        <v>941</v>
      </c>
      <c r="B563" s="6">
        <v>28386.015839999996</v>
      </c>
      <c r="C563" s="11">
        <v>2.1316441216183014E-2</v>
      </c>
      <c r="D563" s="11">
        <v>0.1103696079997966</v>
      </c>
      <c r="F563" t="str">
        <f t="shared" si="8"/>
        <v>A</v>
      </c>
    </row>
    <row r="564" spans="1:6" x14ac:dyDescent="0.25">
      <c r="A564" s="22" t="s">
        <v>748</v>
      </c>
      <c r="B564" s="6">
        <v>7578.84</v>
      </c>
      <c r="C564" s="11">
        <v>5.6913199181409498E-3</v>
      </c>
      <c r="D564" s="11">
        <v>0.11606092791793755</v>
      </c>
      <c r="F564" t="str">
        <f t="shared" si="8"/>
        <v>A</v>
      </c>
    </row>
    <row r="565" spans="1:6" x14ac:dyDescent="0.25">
      <c r="A565" s="22" t="s">
        <v>1212</v>
      </c>
      <c r="B565" s="6">
        <v>22620.859800000002</v>
      </c>
      <c r="C565" s="11">
        <v>1.6987104879534851E-2</v>
      </c>
      <c r="D565" s="11">
        <v>0.1330480327974724</v>
      </c>
      <c r="F565" t="str">
        <f t="shared" si="8"/>
        <v>A</v>
      </c>
    </row>
    <row r="566" spans="1:6" x14ac:dyDescent="0.25">
      <c r="A566" s="22" t="s">
        <v>792</v>
      </c>
      <c r="B566" s="6">
        <v>272.98599999999999</v>
      </c>
      <c r="C566" s="11">
        <v>2.0499847723050299E-4</v>
      </c>
      <c r="D566" s="11">
        <v>0.13325303127470292</v>
      </c>
      <c r="F566" t="str">
        <f t="shared" si="8"/>
        <v>A</v>
      </c>
    </row>
    <row r="567" spans="1:6" x14ac:dyDescent="0.25">
      <c r="A567" s="22" t="s">
        <v>995</v>
      </c>
      <c r="B567" s="6">
        <v>17964.4038</v>
      </c>
      <c r="C567" s="11">
        <v>1.3490345377982247E-2</v>
      </c>
      <c r="D567" s="11">
        <v>0.14674337665268516</v>
      </c>
      <c r="F567" t="str">
        <f t="shared" si="8"/>
        <v>A</v>
      </c>
    </row>
    <row r="568" spans="1:6" x14ac:dyDescent="0.25">
      <c r="A568" s="22" t="s">
        <v>793</v>
      </c>
      <c r="B568" s="6">
        <v>4569.8508000000002</v>
      </c>
      <c r="C568" s="11">
        <v>3.4317234406548171E-3</v>
      </c>
      <c r="D568" s="11">
        <v>0.15017510009333998</v>
      </c>
      <c r="F568" t="str">
        <f t="shared" si="8"/>
        <v>A</v>
      </c>
    </row>
    <row r="569" spans="1:6" x14ac:dyDescent="0.25">
      <c r="A569" s="22" t="s">
        <v>1059</v>
      </c>
      <c r="B569" s="6">
        <v>9829.0483199999999</v>
      </c>
      <c r="C569" s="11">
        <v>7.3811108929580042E-3</v>
      </c>
      <c r="D569" s="11">
        <v>0.15755621098629799</v>
      </c>
      <c r="F569" t="str">
        <f t="shared" si="8"/>
        <v>A</v>
      </c>
    </row>
    <row r="570" spans="1:6" x14ac:dyDescent="0.25">
      <c r="A570" s="22" t="s">
        <v>837</v>
      </c>
      <c r="B570" s="6">
        <v>5960.3340000000007</v>
      </c>
      <c r="C570" s="11">
        <v>4.475904968698736E-3</v>
      </c>
      <c r="D570" s="11">
        <v>0.16203211595499672</v>
      </c>
      <c r="F570" t="str">
        <f t="shared" si="8"/>
        <v>A</v>
      </c>
    </row>
    <row r="571" spans="1:6" x14ac:dyDescent="0.25">
      <c r="A571" s="22" t="s">
        <v>904</v>
      </c>
      <c r="B571" s="6">
        <v>14549.029120000001</v>
      </c>
      <c r="C571" s="11">
        <v>1.0925574259420796E-2</v>
      </c>
      <c r="D571" s="11">
        <v>0.17295769021441751</v>
      </c>
      <c r="F571" t="str">
        <f t="shared" si="8"/>
        <v>A</v>
      </c>
    </row>
    <row r="572" spans="1:6" x14ac:dyDescent="0.25">
      <c r="A572" s="22" t="s">
        <v>804</v>
      </c>
      <c r="B572" s="6">
        <v>10647.727199999999</v>
      </c>
      <c r="C572" s="11">
        <v>7.9958967198530597E-3</v>
      </c>
      <c r="D572" s="11">
        <v>0.18095358693427058</v>
      </c>
      <c r="F572" t="str">
        <f t="shared" si="8"/>
        <v>A</v>
      </c>
    </row>
    <row r="573" spans="1:6" x14ac:dyDescent="0.25">
      <c r="A573" s="22" t="s">
        <v>1231</v>
      </c>
      <c r="B573" s="6">
        <v>8644.6696000000011</v>
      </c>
      <c r="C573" s="11">
        <v>6.4917032527705516E-3</v>
      </c>
      <c r="D573" s="11">
        <v>0.18744529018704112</v>
      </c>
      <c r="F573" t="str">
        <f t="shared" si="8"/>
        <v>A</v>
      </c>
    </row>
    <row r="574" spans="1:6" x14ac:dyDescent="0.25">
      <c r="A574" s="22" t="s">
        <v>1150</v>
      </c>
      <c r="B574" s="6">
        <v>7969.4615000000003</v>
      </c>
      <c r="C574" s="11">
        <v>5.9846566191933664E-3</v>
      </c>
      <c r="D574" s="11">
        <v>0.19342994680623449</v>
      </c>
      <c r="F574" t="str">
        <f t="shared" si="8"/>
        <v>A</v>
      </c>
    </row>
    <row r="575" spans="1:6" x14ac:dyDescent="0.25">
      <c r="A575" s="22" t="s">
        <v>1046</v>
      </c>
      <c r="B575" s="6">
        <v>11283.400799999999</v>
      </c>
      <c r="C575" s="11">
        <v>8.4732549727144953E-3</v>
      </c>
      <c r="D575" s="11">
        <v>0.20190320177894897</v>
      </c>
      <c r="F575" t="str">
        <f t="shared" si="8"/>
        <v>A</v>
      </c>
    </row>
    <row r="576" spans="1:6" x14ac:dyDescent="0.25">
      <c r="A576" s="22" t="s">
        <v>1053</v>
      </c>
      <c r="B576" s="6">
        <v>53034.364139999991</v>
      </c>
      <c r="C576" s="11">
        <v>3.9826085914984627E-2</v>
      </c>
      <c r="D576" s="11">
        <v>0.24172928769393362</v>
      </c>
      <c r="F576" t="str">
        <f t="shared" si="8"/>
        <v>A</v>
      </c>
    </row>
    <row r="577" spans="1:6" x14ac:dyDescent="0.25">
      <c r="A577" s="22" t="s">
        <v>1223</v>
      </c>
      <c r="B577" s="6">
        <v>1547.3500000000001</v>
      </c>
      <c r="C577" s="11">
        <v>1.1619804449408352E-3</v>
      </c>
      <c r="D577" s="11">
        <v>0.24289126813887443</v>
      </c>
      <c r="F577" t="str">
        <f t="shared" si="8"/>
        <v>A</v>
      </c>
    </row>
    <row r="578" spans="1:6" x14ac:dyDescent="0.25">
      <c r="A578" s="22" t="s">
        <v>1066</v>
      </c>
      <c r="B578" s="6">
        <v>7105.3528000000006</v>
      </c>
      <c r="C578" s="11">
        <v>5.3357553287915532E-3</v>
      </c>
      <c r="D578" s="11">
        <v>0.24822702346766598</v>
      </c>
      <c r="F578" t="str">
        <f t="shared" si="8"/>
        <v>A</v>
      </c>
    </row>
    <row r="579" spans="1:6" x14ac:dyDescent="0.25">
      <c r="A579" s="22" t="s">
        <v>1089</v>
      </c>
      <c r="B579" s="6">
        <v>23195.01828</v>
      </c>
      <c r="C579" s="11">
        <v>1.7418268434035742E-2</v>
      </c>
      <c r="D579" s="11">
        <v>0.26564529190170172</v>
      </c>
      <c r="F579" t="str">
        <f t="shared" si="8"/>
        <v>A</v>
      </c>
    </row>
    <row r="580" spans="1:6" x14ac:dyDescent="0.25">
      <c r="A580" s="22" t="s">
        <v>1250</v>
      </c>
      <c r="B580" s="6">
        <v>1010.3759200000001</v>
      </c>
      <c r="C580" s="11">
        <v>7.5874046665531762E-4</v>
      </c>
      <c r="D580" s="11">
        <v>0.26640403236835708</v>
      </c>
      <c r="F580" t="str">
        <f t="shared" si="8"/>
        <v>A</v>
      </c>
    </row>
    <row r="581" spans="1:6" x14ac:dyDescent="0.25">
      <c r="A581" s="22" t="s">
        <v>919</v>
      </c>
      <c r="B581" s="6">
        <v>10388.429999999998</v>
      </c>
      <c r="C581" s="11">
        <v>7.8011778289570673E-3</v>
      </c>
      <c r="D581" s="11">
        <v>0.27420521019731414</v>
      </c>
      <c r="F581" t="str">
        <f t="shared" ref="F581:F641" si="9">IF(D581="","",IF(D581&lt;=0.8,"A",IF(D581&lt;=0.95,"B","C")))</f>
        <v>A</v>
      </c>
    </row>
    <row r="582" spans="1:6" x14ac:dyDescent="0.25">
      <c r="A582" s="22" t="s">
        <v>1279</v>
      </c>
      <c r="B582" s="6">
        <v>15530.929919999999</v>
      </c>
      <c r="C582" s="11">
        <v>1.1662931372208309E-2</v>
      </c>
      <c r="D582" s="11">
        <v>0.28586814156952245</v>
      </c>
      <c r="F582" t="str">
        <f t="shared" si="9"/>
        <v>A</v>
      </c>
    </row>
    <row r="583" spans="1:6" x14ac:dyDescent="0.25">
      <c r="A583" s="22" t="s">
        <v>955</v>
      </c>
      <c r="B583" s="6">
        <v>908.03700000000003</v>
      </c>
      <c r="C583" s="11">
        <v>6.818891894417819E-4</v>
      </c>
      <c r="D583" s="11">
        <v>0.28655003075896424</v>
      </c>
      <c r="F583" t="str">
        <f t="shared" si="9"/>
        <v>A</v>
      </c>
    </row>
    <row r="584" spans="1:6" x14ac:dyDescent="0.25">
      <c r="A584" s="22" t="s">
        <v>993</v>
      </c>
      <c r="B584" s="6">
        <v>7568.9632000000001</v>
      </c>
      <c r="C584" s="11">
        <v>5.6839029481867758E-3</v>
      </c>
      <c r="D584" s="11">
        <v>0.29223393370715101</v>
      </c>
      <c r="F584" t="str">
        <f t="shared" si="9"/>
        <v>A</v>
      </c>
    </row>
    <row r="585" spans="1:6" x14ac:dyDescent="0.25">
      <c r="A585" s="22" t="s">
        <v>1184</v>
      </c>
      <c r="B585" s="6">
        <v>19628.476999999999</v>
      </c>
      <c r="C585" s="11">
        <v>1.4739978956261316E-2</v>
      </c>
      <c r="D585" s="11">
        <v>0.30697391266341234</v>
      </c>
      <c r="F585" t="str">
        <f t="shared" si="9"/>
        <v>A</v>
      </c>
    </row>
    <row r="586" spans="1:6" x14ac:dyDescent="0.25">
      <c r="A586" s="22" t="s">
        <v>1255</v>
      </c>
      <c r="B586" s="6">
        <v>22526.66</v>
      </c>
      <c r="C586" s="11">
        <v>1.6916365663767675E-2</v>
      </c>
      <c r="D586" s="11">
        <v>0.32389027832717998</v>
      </c>
      <c r="F586" t="str">
        <f t="shared" si="9"/>
        <v>A</v>
      </c>
    </row>
    <row r="587" spans="1:6" x14ac:dyDescent="0.25">
      <c r="A587" s="22" t="s">
        <v>1310</v>
      </c>
      <c r="B587" s="6">
        <v>6732.4334000000008</v>
      </c>
      <c r="C587" s="11">
        <v>5.0557119964239122E-3</v>
      </c>
      <c r="D587" s="11">
        <v>0.32894599032360389</v>
      </c>
      <c r="F587" t="str">
        <f t="shared" si="9"/>
        <v>A</v>
      </c>
    </row>
    <row r="588" spans="1:6" x14ac:dyDescent="0.25">
      <c r="A588" s="22" t="s">
        <v>1004</v>
      </c>
      <c r="B588" s="6">
        <v>7235.2134999999998</v>
      </c>
      <c r="C588" s="11">
        <v>5.4332740504552538E-3</v>
      </c>
      <c r="D588" s="11">
        <v>0.33437926437405918</v>
      </c>
      <c r="F588" t="str">
        <f t="shared" si="9"/>
        <v>A</v>
      </c>
    </row>
    <row r="589" spans="1:6" x14ac:dyDescent="0.25">
      <c r="A589" s="22" t="s">
        <v>756</v>
      </c>
      <c r="B589" s="6">
        <v>10936.992</v>
      </c>
      <c r="C589" s="11">
        <v>8.2131197405075473E-3</v>
      </c>
      <c r="D589" s="11">
        <v>0.34259238411456672</v>
      </c>
      <c r="F589" t="str">
        <f t="shared" si="9"/>
        <v>A</v>
      </c>
    </row>
    <row r="590" spans="1:6" x14ac:dyDescent="0.25">
      <c r="A590" s="22" t="s">
        <v>892</v>
      </c>
      <c r="B590" s="6">
        <v>10382.65884</v>
      </c>
      <c r="C590" s="11">
        <v>7.796843983954564E-3</v>
      </c>
      <c r="D590" s="11">
        <v>0.3503892280985213</v>
      </c>
      <c r="F590" t="str">
        <f t="shared" si="9"/>
        <v>A</v>
      </c>
    </row>
    <row r="591" spans="1:6" x14ac:dyDescent="0.25">
      <c r="A591" s="22" t="s">
        <v>865</v>
      </c>
      <c r="B591" s="6">
        <v>4417.8334199999999</v>
      </c>
      <c r="C591" s="11">
        <v>3.3175661893211565E-3</v>
      </c>
      <c r="D591" s="11">
        <v>0.35370679428784241</v>
      </c>
      <c r="F591" t="str">
        <f t="shared" si="9"/>
        <v>A</v>
      </c>
    </row>
    <row r="592" spans="1:6" x14ac:dyDescent="0.25">
      <c r="A592" s="22" t="s">
        <v>888</v>
      </c>
      <c r="B592" s="6">
        <v>11015.510400000003</v>
      </c>
      <c r="C592" s="11">
        <v>8.2720830295940802E-3</v>
      </c>
      <c r="D592" s="11">
        <v>0.36197887731743655</v>
      </c>
      <c r="F592" t="str">
        <f t="shared" si="9"/>
        <v>A</v>
      </c>
    </row>
    <row r="593" spans="1:6" x14ac:dyDescent="0.25">
      <c r="A593" s="22" t="s">
        <v>1024</v>
      </c>
      <c r="B593" s="6">
        <v>19066.045319999997</v>
      </c>
      <c r="C593" s="11">
        <v>1.4317621626778508E-2</v>
      </c>
      <c r="D593" s="11">
        <v>0.37629649894421502</v>
      </c>
      <c r="F593" t="str">
        <f t="shared" si="9"/>
        <v>A</v>
      </c>
    </row>
    <row r="594" spans="1:6" x14ac:dyDescent="0.25">
      <c r="A594" s="22" t="s">
        <v>810</v>
      </c>
      <c r="B594" s="6">
        <v>35396.277799999996</v>
      </c>
      <c r="C594" s="11">
        <v>2.658078820389272E-2</v>
      </c>
      <c r="D594" s="11">
        <v>0.40287728714810772</v>
      </c>
      <c r="F594" t="str">
        <f t="shared" si="9"/>
        <v>A</v>
      </c>
    </row>
    <row r="595" spans="1:6" x14ac:dyDescent="0.25">
      <c r="A595" s="22" t="s">
        <v>847</v>
      </c>
      <c r="B595" s="6">
        <v>2117.4834999999998</v>
      </c>
      <c r="C595" s="11">
        <v>1.5901214460108421E-3</v>
      </c>
      <c r="D595" s="11">
        <v>0.40446740859411856</v>
      </c>
      <c r="F595" t="str">
        <f t="shared" si="9"/>
        <v>A</v>
      </c>
    </row>
    <row r="596" spans="1:6" x14ac:dyDescent="0.25">
      <c r="A596" s="22" t="s">
        <v>1303</v>
      </c>
      <c r="B596" s="6">
        <v>4577.1480000000001</v>
      </c>
      <c r="C596" s="11">
        <v>3.4372032633858234E-3</v>
      </c>
      <c r="D596" s="11">
        <v>0.40790461185750443</v>
      </c>
      <c r="F596" t="str">
        <f t="shared" si="9"/>
        <v>A</v>
      </c>
    </row>
    <row r="597" spans="1:6" x14ac:dyDescent="0.25">
      <c r="A597" s="22" t="s">
        <v>921</v>
      </c>
      <c r="B597" s="6">
        <v>26759.28775</v>
      </c>
      <c r="C597" s="11">
        <v>2.0094851899082198E-2</v>
      </c>
      <c r="D597" s="11">
        <v>0.4279994637565866</v>
      </c>
      <c r="F597" t="str">
        <f t="shared" si="9"/>
        <v>A</v>
      </c>
    </row>
    <row r="598" spans="1:6" x14ac:dyDescent="0.25">
      <c r="A598" s="22" t="s">
        <v>1352</v>
      </c>
      <c r="B598" s="6">
        <v>1030.7574</v>
      </c>
      <c r="C598" s="11">
        <v>7.7404591222287027E-4</v>
      </c>
      <c r="D598" s="11">
        <v>0.4287735096688095</v>
      </c>
      <c r="F598" t="str">
        <f t="shared" si="9"/>
        <v>A</v>
      </c>
    </row>
    <row r="599" spans="1:6" x14ac:dyDescent="0.25">
      <c r="A599" s="22" t="s">
        <v>1322</v>
      </c>
      <c r="B599" s="6">
        <v>9022.35</v>
      </c>
      <c r="C599" s="11">
        <v>6.7753218518188801E-3</v>
      </c>
      <c r="D599" s="11">
        <v>0.43554883152062834</v>
      </c>
      <c r="F599" t="str">
        <f t="shared" si="9"/>
        <v>A</v>
      </c>
    </row>
    <row r="600" spans="1:6" x14ac:dyDescent="0.25">
      <c r="A600" s="22" t="s">
        <v>961</v>
      </c>
      <c r="B600" s="6">
        <v>5533.6230000000005</v>
      </c>
      <c r="C600" s="11">
        <v>4.1554669051441749E-3</v>
      </c>
      <c r="D600" s="11">
        <v>0.43970429842577252</v>
      </c>
      <c r="F600" t="str">
        <f t="shared" si="9"/>
        <v>A</v>
      </c>
    </row>
    <row r="601" spans="1:6" x14ac:dyDescent="0.25">
      <c r="A601" s="22" t="s">
        <v>1286</v>
      </c>
      <c r="B601" s="6">
        <v>15860.782080000001</v>
      </c>
      <c r="C601" s="11">
        <v>1.1910633417409135E-2</v>
      </c>
      <c r="D601" s="11">
        <v>0.45161493184318169</v>
      </c>
      <c r="F601" t="str">
        <f t="shared" si="9"/>
        <v>A</v>
      </c>
    </row>
    <row r="602" spans="1:6" x14ac:dyDescent="0.25">
      <c r="A602" s="22" t="s">
        <v>1285</v>
      </c>
      <c r="B602" s="6">
        <v>20163.409200000002</v>
      </c>
      <c r="C602" s="11">
        <v>1.5141685587449594E-2</v>
      </c>
      <c r="D602" s="11">
        <v>0.46675661743063129</v>
      </c>
      <c r="F602" t="str">
        <f t="shared" si="9"/>
        <v>A</v>
      </c>
    </row>
    <row r="603" spans="1:6" x14ac:dyDescent="0.25">
      <c r="A603" s="22" t="s">
        <v>831</v>
      </c>
      <c r="B603" s="6">
        <v>34139.159999999996</v>
      </c>
      <c r="C603" s="11">
        <v>2.5636757247362495E-2</v>
      </c>
      <c r="D603" s="11">
        <v>0.49239337467799382</v>
      </c>
      <c r="F603" t="str">
        <f t="shared" si="9"/>
        <v>A</v>
      </c>
    </row>
    <row r="604" spans="1:6" x14ac:dyDescent="0.25">
      <c r="A604" s="22" t="s">
        <v>1194</v>
      </c>
      <c r="B604" s="6">
        <v>930.17574000000002</v>
      </c>
      <c r="C604" s="11">
        <v>6.985142470923647E-4</v>
      </c>
      <c r="D604" s="11">
        <v>0.49309188892508615</v>
      </c>
      <c r="F604" t="str">
        <f t="shared" si="9"/>
        <v>A</v>
      </c>
    </row>
    <row r="605" spans="1:6" x14ac:dyDescent="0.25">
      <c r="A605" s="22" t="s">
        <v>948</v>
      </c>
      <c r="B605" s="6">
        <v>7854.6693599999999</v>
      </c>
      <c r="C605" s="11">
        <v>5.8984536128193002E-3</v>
      </c>
      <c r="D605" s="11">
        <v>0.49899034253790553</v>
      </c>
      <c r="F605" t="str">
        <f t="shared" si="9"/>
        <v>A</v>
      </c>
    </row>
    <row r="606" spans="1:6" x14ac:dyDescent="0.25">
      <c r="A606" s="22" t="s">
        <v>1086</v>
      </c>
      <c r="B606" s="6">
        <v>26552.60298</v>
      </c>
      <c r="C606" s="11">
        <v>1.9939642243214362E-2</v>
      </c>
      <c r="D606" s="11">
        <v>0.51892998478111985</v>
      </c>
      <c r="F606" t="str">
        <f t="shared" si="9"/>
        <v>A</v>
      </c>
    </row>
    <row r="607" spans="1:6" x14ac:dyDescent="0.25">
      <c r="A607" s="22" t="s">
        <v>1033</v>
      </c>
      <c r="B607" s="6">
        <v>12699.28</v>
      </c>
      <c r="C607" s="11">
        <v>9.5365075935168186E-3</v>
      </c>
      <c r="D607" s="11">
        <v>0.52846649237463672</v>
      </c>
      <c r="F607" t="str">
        <f t="shared" si="9"/>
        <v>A</v>
      </c>
    </row>
    <row r="608" spans="1:6" x14ac:dyDescent="0.25">
      <c r="A608" s="22" t="s">
        <v>791</v>
      </c>
      <c r="B608" s="6">
        <v>4790.1068000000005</v>
      </c>
      <c r="C608" s="11">
        <v>3.5971243938204807E-3</v>
      </c>
      <c r="D608" s="11">
        <v>0.53206361676845715</v>
      </c>
      <c r="F608" t="str">
        <f t="shared" si="9"/>
        <v>A</v>
      </c>
    </row>
    <row r="609" spans="1:6" x14ac:dyDescent="0.25">
      <c r="A609" s="22" t="s">
        <v>1022</v>
      </c>
      <c r="B609" s="6">
        <v>26765.040239999998</v>
      </c>
      <c r="C609" s="11">
        <v>2.0099171723872787E-2</v>
      </c>
      <c r="D609" s="11">
        <v>0.55216278849232991</v>
      </c>
      <c r="F609" t="str">
        <f t="shared" si="9"/>
        <v>A</v>
      </c>
    </row>
    <row r="610" spans="1:6" x14ac:dyDescent="0.25">
      <c r="A610" s="22" t="s">
        <v>784</v>
      </c>
      <c r="B610" s="6">
        <v>14894.903999999999</v>
      </c>
      <c r="C610" s="11">
        <v>1.118530854510681E-2</v>
      </c>
      <c r="D610" s="11">
        <v>0.56334809703743671</v>
      </c>
      <c r="F610" t="str">
        <f t="shared" si="9"/>
        <v>A</v>
      </c>
    </row>
    <row r="611" spans="1:6" x14ac:dyDescent="0.25">
      <c r="A611" s="22" t="s">
        <v>881</v>
      </c>
      <c r="B611" s="6">
        <v>13321.14</v>
      </c>
      <c r="C611" s="11">
        <v>1.000349254164808E-2</v>
      </c>
      <c r="D611" s="11">
        <v>0.57335158957908483</v>
      </c>
      <c r="F611" t="str">
        <f t="shared" si="9"/>
        <v>A</v>
      </c>
    </row>
    <row r="612" spans="1:6" x14ac:dyDescent="0.25">
      <c r="A612" s="22" t="s">
        <v>1171</v>
      </c>
      <c r="B612" s="6">
        <v>24278.849280000002</v>
      </c>
      <c r="C612" s="11">
        <v>1.8232169896290999E-2</v>
      </c>
      <c r="D612" s="11">
        <v>0.59158375947537578</v>
      </c>
      <c r="F612" t="str">
        <f t="shared" si="9"/>
        <v>A</v>
      </c>
    </row>
    <row r="613" spans="1:6" x14ac:dyDescent="0.25">
      <c r="A613" s="22" t="s">
        <v>1080</v>
      </c>
      <c r="B613" s="6">
        <v>79082.507010000001</v>
      </c>
      <c r="C613" s="11">
        <v>5.9386904502870402E-2</v>
      </c>
      <c r="D613" s="11">
        <v>0.65097066397824621</v>
      </c>
      <c r="F613" t="str">
        <f t="shared" si="9"/>
        <v>A</v>
      </c>
    </row>
    <row r="614" spans="1:6" x14ac:dyDescent="0.25">
      <c r="A614" s="22" t="s">
        <v>914</v>
      </c>
      <c r="B614" s="6">
        <v>18.659839999999999</v>
      </c>
      <c r="C614" s="11">
        <v>1.4012582276617955E-5</v>
      </c>
      <c r="D614" s="11">
        <v>0.65098467656052283</v>
      </c>
      <c r="F614" t="str">
        <f t="shared" si="9"/>
        <v>A</v>
      </c>
    </row>
    <row r="615" spans="1:6" x14ac:dyDescent="0.25">
      <c r="A615" s="22" t="s">
        <v>1092</v>
      </c>
      <c r="B615" s="6">
        <v>4071.8</v>
      </c>
      <c r="C615" s="11">
        <v>3.0577128482309063E-3</v>
      </c>
      <c r="D615" s="11">
        <v>0.65404238940875381</v>
      </c>
      <c r="F615" t="str">
        <f t="shared" si="9"/>
        <v>A</v>
      </c>
    </row>
    <row r="616" spans="1:6" x14ac:dyDescent="0.25">
      <c r="A616" s="22" t="s">
        <v>876</v>
      </c>
      <c r="B616" s="6">
        <v>32086.37586</v>
      </c>
      <c r="C616" s="11">
        <v>2.4095221700547176E-2</v>
      </c>
      <c r="D616" s="11">
        <v>0.67813761110930093</v>
      </c>
      <c r="F616" t="str">
        <f t="shared" si="9"/>
        <v>A</v>
      </c>
    </row>
    <row r="617" spans="1:6" x14ac:dyDescent="0.25">
      <c r="A617" s="22" t="s">
        <v>1227</v>
      </c>
      <c r="B617" s="6">
        <v>11859.695119999998</v>
      </c>
      <c r="C617" s="11">
        <v>8.9060224334508997E-3</v>
      </c>
      <c r="D617" s="11">
        <v>0.68704363354275189</v>
      </c>
      <c r="F617" t="str">
        <f t="shared" si="9"/>
        <v>A</v>
      </c>
    </row>
    <row r="618" spans="1:6" x14ac:dyDescent="0.25">
      <c r="A618" s="22" t="s">
        <v>1291</v>
      </c>
      <c r="B618" s="6">
        <v>13108.78584</v>
      </c>
      <c r="C618" s="11">
        <v>9.8440254648252297E-3</v>
      </c>
      <c r="D618" s="11">
        <v>0.6968876590075771</v>
      </c>
      <c r="F618" t="str">
        <f t="shared" si="9"/>
        <v>A</v>
      </c>
    </row>
    <row r="619" spans="1:6" x14ac:dyDescent="0.25">
      <c r="A619" s="22" t="s">
        <v>1199</v>
      </c>
      <c r="B619" s="6">
        <v>2719.8567000000003</v>
      </c>
      <c r="C619" s="11">
        <v>2.0424728073424317E-3</v>
      </c>
      <c r="D619" s="11">
        <v>0.69893013181491959</v>
      </c>
      <c r="F619" t="str">
        <f t="shared" si="9"/>
        <v>A</v>
      </c>
    </row>
    <row r="620" spans="1:6" x14ac:dyDescent="0.25">
      <c r="A620" s="22" t="s">
        <v>1338</v>
      </c>
      <c r="B620" s="6">
        <v>13856.52411</v>
      </c>
      <c r="C620" s="11">
        <v>1.0405538534055779E-2</v>
      </c>
      <c r="D620" s="11">
        <v>0.70933567034897538</v>
      </c>
      <c r="F620" t="str">
        <f t="shared" si="9"/>
        <v>A</v>
      </c>
    </row>
    <row r="621" spans="1:6" x14ac:dyDescent="0.25">
      <c r="A621" s="22" t="s">
        <v>1094</v>
      </c>
      <c r="B621" s="6">
        <v>35167.7448</v>
      </c>
      <c r="C621" s="11">
        <v>2.6409171648476261E-2</v>
      </c>
      <c r="D621" s="11">
        <v>0.7357448419974516</v>
      </c>
      <c r="F621" t="str">
        <f t="shared" si="9"/>
        <v>A</v>
      </c>
    </row>
    <row r="622" spans="1:6" x14ac:dyDescent="0.25">
      <c r="A622" s="22" t="s">
        <v>1326</v>
      </c>
      <c r="B622" s="6">
        <v>8366.02</v>
      </c>
      <c r="C622" s="11">
        <v>6.2824517025779078E-3</v>
      </c>
      <c r="D622" s="11">
        <v>0.74202729370002951</v>
      </c>
      <c r="F622" t="str">
        <f t="shared" si="9"/>
        <v>A</v>
      </c>
    </row>
    <row r="623" spans="1:6" x14ac:dyDescent="0.25">
      <c r="A623" s="22" t="s">
        <v>744</v>
      </c>
      <c r="B623" s="6">
        <v>16006.14344</v>
      </c>
      <c r="C623" s="11">
        <v>1.2019792339288481E-2</v>
      </c>
      <c r="D623" s="11">
        <v>0.75404708603931803</v>
      </c>
      <c r="F623" t="str">
        <f t="shared" si="9"/>
        <v>A</v>
      </c>
    </row>
    <row r="624" spans="1:6" x14ac:dyDescent="0.25">
      <c r="A624" s="22" t="s">
        <v>1011</v>
      </c>
      <c r="B624" s="6">
        <v>6066.54648</v>
      </c>
      <c r="C624" s="11">
        <v>4.5556650906935451E-3</v>
      </c>
      <c r="D624" s="11">
        <v>0.75860275113001163</v>
      </c>
      <c r="F624" t="str">
        <f t="shared" si="9"/>
        <v>A</v>
      </c>
    </row>
    <row r="625" spans="1:6" x14ac:dyDescent="0.25">
      <c r="A625" s="22" t="s">
        <v>752</v>
      </c>
      <c r="B625" s="6">
        <v>38096.18406</v>
      </c>
      <c r="C625" s="11">
        <v>2.8608279254588007E-2</v>
      </c>
      <c r="D625" s="11">
        <v>0.78721103038459961</v>
      </c>
      <c r="F625" t="str">
        <f t="shared" si="9"/>
        <v>A</v>
      </c>
    </row>
    <row r="626" spans="1:6" x14ac:dyDescent="0.25">
      <c r="A626" s="22" t="s">
        <v>1072</v>
      </c>
      <c r="B626" s="6">
        <v>3021.5016000000001</v>
      </c>
      <c r="C626" s="11">
        <v>2.2689926477897342E-3</v>
      </c>
      <c r="D626" s="11">
        <v>0.7894800230323894</v>
      </c>
      <c r="F626" t="str">
        <f t="shared" si="9"/>
        <v>A</v>
      </c>
    </row>
    <row r="627" spans="1:6" x14ac:dyDescent="0.25">
      <c r="A627" s="22" t="s">
        <v>1275</v>
      </c>
      <c r="B627" s="6">
        <v>4737.2198399999997</v>
      </c>
      <c r="C627" s="11">
        <v>3.5574090008503255E-3</v>
      </c>
      <c r="D627" s="11">
        <v>0.79303743203323962</v>
      </c>
      <c r="F627" t="str">
        <f t="shared" si="9"/>
        <v>A</v>
      </c>
    </row>
    <row r="628" spans="1:6" x14ac:dyDescent="0.25">
      <c r="A628" s="22" t="s">
        <v>1026</v>
      </c>
      <c r="B628" s="6">
        <v>23375.594060000003</v>
      </c>
      <c r="C628" s="11">
        <v>1.7553871578243542E-2</v>
      </c>
      <c r="D628" s="11">
        <v>0.81059130361148324</v>
      </c>
      <c r="F628" t="str">
        <f t="shared" si="9"/>
        <v>B</v>
      </c>
    </row>
    <row r="629" spans="1:6" x14ac:dyDescent="0.25">
      <c r="A629" s="22" t="s">
        <v>1188</v>
      </c>
      <c r="B629" s="6">
        <v>14752.706080000002</v>
      </c>
      <c r="C629" s="11">
        <v>1.1078525204329831E-2</v>
      </c>
      <c r="D629" s="11">
        <v>0.82166982881581296</v>
      </c>
      <c r="F629" t="str">
        <f t="shared" si="9"/>
        <v>B</v>
      </c>
    </row>
    <row r="630" spans="1:6" x14ac:dyDescent="0.25">
      <c r="A630" s="22" t="s">
        <v>759</v>
      </c>
      <c r="B630" s="6">
        <v>8596.2905599999995</v>
      </c>
      <c r="C630" s="11">
        <v>6.4553730763883413E-3</v>
      </c>
      <c r="D630" s="11">
        <v>0.8281252018922014</v>
      </c>
      <c r="F630" t="str">
        <f t="shared" si="9"/>
        <v>B</v>
      </c>
    </row>
    <row r="631" spans="1:6" x14ac:dyDescent="0.25">
      <c r="A631" s="22" t="s">
        <v>943</v>
      </c>
      <c r="B631" s="6">
        <v>17847.907199999998</v>
      </c>
      <c r="C631" s="11">
        <v>1.3402862409615622E-2</v>
      </c>
      <c r="D631" s="11">
        <v>0.84152806430181704</v>
      </c>
      <c r="F631" t="str">
        <f t="shared" si="9"/>
        <v>B</v>
      </c>
    </row>
    <row r="632" spans="1:6" x14ac:dyDescent="0.25">
      <c r="A632" s="22" t="s">
        <v>827</v>
      </c>
      <c r="B632" s="6">
        <v>20079.343620000003</v>
      </c>
      <c r="C632" s="11">
        <v>1.5078556650846623E-2</v>
      </c>
      <c r="D632" s="11">
        <v>0.8566066209526636</v>
      </c>
      <c r="F632" t="str">
        <f t="shared" si="9"/>
        <v>B</v>
      </c>
    </row>
    <row r="633" spans="1:6" x14ac:dyDescent="0.25">
      <c r="A633" s="22" t="s">
        <v>800</v>
      </c>
      <c r="B633" s="6">
        <v>16013.681599999998</v>
      </c>
      <c r="C633" s="11">
        <v>1.2025453110614186E-2</v>
      </c>
      <c r="D633" s="11">
        <v>0.8686320740632778</v>
      </c>
      <c r="F633" t="str">
        <f t="shared" si="9"/>
        <v>B</v>
      </c>
    </row>
    <row r="634" spans="1:6" x14ac:dyDescent="0.25">
      <c r="A634" s="22" t="s">
        <v>811</v>
      </c>
      <c r="B634" s="6">
        <v>33062.236480000007</v>
      </c>
      <c r="C634" s="11">
        <v>2.482804294811744E-2</v>
      </c>
      <c r="D634" s="11">
        <v>0.89346011701139516</v>
      </c>
      <c r="F634" t="str">
        <f t="shared" si="9"/>
        <v>B</v>
      </c>
    </row>
    <row r="635" spans="1:6" x14ac:dyDescent="0.25">
      <c r="A635" s="22" t="s">
        <v>1288</v>
      </c>
      <c r="B635" s="6">
        <v>46450.26</v>
      </c>
      <c r="C635" s="11">
        <v>3.4881761581036917E-2</v>
      </c>
      <c r="D635" s="11">
        <v>0.92834187859243211</v>
      </c>
      <c r="F635" t="str">
        <f t="shared" si="9"/>
        <v>B</v>
      </c>
    </row>
    <row r="636" spans="1:6" x14ac:dyDescent="0.25">
      <c r="A636" s="22" t="s">
        <v>1270</v>
      </c>
      <c r="B636" s="6">
        <v>20430.771599999996</v>
      </c>
      <c r="C636" s="11">
        <v>1.5342461029665282E-2</v>
      </c>
      <c r="D636" s="11">
        <v>0.94368433962209752</v>
      </c>
      <c r="F636" t="str">
        <f t="shared" si="9"/>
        <v>B</v>
      </c>
    </row>
    <row r="637" spans="1:6" x14ac:dyDescent="0.25">
      <c r="A637" s="22" t="s">
        <v>1040</v>
      </c>
      <c r="B637" s="6">
        <v>43084.872000000003</v>
      </c>
      <c r="C637" s="11">
        <v>3.235452789399873E-2</v>
      </c>
      <c r="D637" s="11">
        <v>0.97603886751609625</v>
      </c>
      <c r="F637" t="str">
        <f t="shared" si="9"/>
        <v>C</v>
      </c>
    </row>
    <row r="638" spans="1:6" x14ac:dyDescent="0.25">
      <c r="A638" s="22" t="s">
        <v>916</v>
      </c>
      <c r="B638" s="6">
        <v>7689.4560000000001</v>
      </c>
      <c r="C638" s="11">
        <v>5.7743868576811807E-3</v>
      </c>
      <c r="D638" s="11">
        <v>0.98181325437377742</v>
      </c>
      <c r="F638" t="str">
        <f t="shared" si="9"/>
        <v>C</v>
      </c>
    </row>
    <row r="639" spans="1:6" x14ac:dyDescent="0.25">
      <c r="A639" s="22" t="s">
        <v>1142</v>
      </c>
      <c r="B639" s="6">
        <v>23668.560000000001</v>
      </c>
      <c r="C639" s="11">
        <v>1.7773873965107347E-2</v>
      </c>
      <c r="D639" s="11">
        <v>0.99958712833888475</v>
      </c>
      <c r="F639" t="str">
        <f t="shared" si="9"/>
        <v>C</v>
      </c>
    </row>
    <row r="640" spans="1:6" x14ac:dyDescent="0.25">
      <c r="A640" s="22" t="s">
        <v>843</v>
      </c>
      <c r="B640" s="6">
        <v>549.80010000000004</v>
      </c>
      <c r="C640" s="11">
        <v>4.1287166111514249E-4</v>
      </c>
      <c r="D640" s="11">
        <v>1</v>
      </c>
      <c r="F640" t="str">
        <f t="shared" si="9"/>
        <v>C</v>
      </c>
    </row>
    <row r="641" spans="1:6" x14ac:dyDescent="0.25">
      <c r="A641" s="19" t="s">
        <v>1432</v>
      </c>
      <c r="B641" s="6">
        <v>10928845.716499999</v>
      </c>
      <c r="C641" s="11">
        <v>1</v>
      </c>
      <c r="D641" s="11"/>
      <c r="F641" t="str">
        <f t="shared" si="9"/>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39"/>
  <sheetViews>
    <sheetView workbookViewId="0">
      <selection activeCell="F7" sqref="F7"/>
    </sheetView>
  </sheetViews>
  <sheetFormatPr defaultRowHeight="15" x14ac:dyDescent="0.25"/>
  <cols>
    <col min="1" max="1" width="13.140625" customWidth="1"/>
    <col min="2" max="2" width="16.140625" bestFit="1" customWidth="1"/>
    <col min="3" max="3" width="20.7109375" bestFit="1" customWidth="1"/>
    <col min="4" max="4" width="17.85546875" bestFit="1" customWidth="1"/>
    <col min="5" max="5" width="17.28515625" bestFit="1" customWidth="1"/>
    <col min="6" max="6" width="19.28515625" bestFit="1" customWidth="1"/>
  </cols>
  <sheetData>
    <row r="3" spans="1:6" x14ac:dyDescent="0.25">
      <c r="A3" s="18" t="s">
        <v>1431</v>
      </c>
      <c r="B3" t="s">
        <v>1442</v>
      </c>
      <c r="C3" t="s">
        <v>1434</v>
      </c>
      <c r="D3" t="s">
        <v>1443</v>
      </c>
      <c r="E3" s="23" t="s">
        <v>1444</v>
      </c>
      <c r="F3" s="23" t="s">
        <v>1445</v>
      </c>
    </row>
    <row r="4" spans="1:6" x14ac:dyDescent="0.25">
      <c r="A4" s="19" t="s">
        <v>720</v>
      </c>
      <c r="B4" s="6">
        <v>46</v>
      </c>
      <c r="C4" s="6">
        <v>877159.52093000012</v>
      </c>
      <c r="D4" s="6">
        <v>281944.47092999995</v>
      </c>
      <c r="E4">
        <f>IF(B4=0,"",C4/B4)</f>
        <v>19068.685237608697</v>
      </c>
      <c r="F4">
        <f>IF(B4=0,"",D4/B4)</f>
        <v>6129.2276289130423</v>
      </c>
    </row>
    <row r="5" spans="1:6" x14ac:dyDescent="0.25">
      <c r="A5" s="24">
        <v>44927</v>
      </c>
      <c r="B5" s="6">
        <v>2</v>
      </c>
      <c r="C5" s="6">
        <v>19187.65868</v>
      </c>
      <c r="D5" s="6">
        <v>10249.198680000001</v>
      </c>
      <c r="E5">
        <f t="shared" ref="E5:E68" si="0">IF(B5=0,"",C5/B5)</f>
        <v>9593.8293400000002</v>
      </c>
      <c r="F5">
        <f t="shared" ref="F5:F68" si="1">IF(B5=0,"",D5/B5)</f>
        <v>5124.5993400000007</v>
      </c>
    </row>
    <row r="6" spans="1:6" x14ac:dyDescent="0.25">
      <c r="A6" s="24">
        <v>44986</v>
      </c>
      <c r="B6" s="6">
        <v>2</v>
      </c>
      <c r="C6" s="6">
        <v>19561.0772</v>
      </c>
      <c r="D6" s="6">
        <v>697.75719999999728</v>
      </c>
      <c r="E6">
        <f t="shared" si="0"/>
        <v>9780.5385999999999</v>
      </c>
      <c r="F6">
        <f t="shared" si="1"/>
        <v>348.87859999999864</v>
      </c>
    </row>
    <row r="7" spans="1:6" x14ac:dyDescent="0.25">
      <c r="A7" s="24">
        <v>45017</v>
      </c>
      <c r="B7" s="6">
        <v>4</v>
      </c>
      <c r="C7" s="6">
        <v>59214.970409999994</v>
      </c>
      <c r="D7" s="6">
        <v>16088.30041</v>
      </c>
      <c r="E7">
        <f t="shared" si="0"/>
        <v>14803.742602499999</v>
      </c>
      <c r="F7">
        <f t="shared" si="1"/>
        <v>4022.0751025</v>
      </c>
    </row>
    <row r="8" spans="1:6" x14ac:dyDescent="0.25">
      <c r="A8" s="24">
        <v>45047</v>
      </c>
      <c r="B8" s="6">
        <v>2</v>
      </c>
      <c r="C8" s="6">
        <v>22021.946080000002</v>
      </c>
      <c r="D8" s="6">
        <v>7275.3460800000021</v>
      </c>
      <c r="E8">
        <f t="shared" si="0"/>
        <v>11010.973040000001</v>
      </c>
      <c r="F8">
        <f t="shared" si="1"/>
        <v>3637.673040000001</v>
      </c>
    </row>
    <row r="9" spans="1:6" x14ac:dyDescent="0.25">
      <c r="A9" s="24">
        <v>45078</v>
      </c>
      <c r="B9" s="6">
        <v>2</v>
      </c>
      <c r="C9" s="6">
        <v>11327.685599999999</v>
      </c>
      <c r="D9" s="6">
        <v>4725.6355999999996</v>
      </c>
      <c r="E9">
        <f t="shared" si="0"/>
        <v>5663.8427999999994</v>
      </c>
      <c r="F9">
        <f t="shared" si="1"/>
        <v>2362.8177999999998</v>
      </c>
    </row>
    <row r="10" spans="1:6" x14ac:dyDescent="0.25">
      <c r="A10" s="24">
        <v>45108</v>
      </c>
      <c r="B10" s="6">
        <v>2</v>
      </c>
      <c r="C10" s="6">
        <v>112994.13049</v>
      </c>
      <c r="D10" s="6">
        <v>56202.190489999994</v>
      </c>
      <c r="E10">
        <f t="shared" si="0"/>
        <v>56497.065244999998</v>
      </c>
      <c r="F10">
        <f t="shared" si="1"/>
        <v>28101.095244999997</v>
      </c>
    </row>
    <row r="11" spans="1:6" x14ac:dyDescent="0.25">
      <c r="A11" s="24">
        <v>45139</v>
      </c>
      <c r="B11" s="6">
        <v>1</v>
      </c>
      <c r="C11" s="6">
        <v>11924.0978</v>
      </c>
      <c r="D11" s="6">
        <v>5160.3977999999997</v>
      </c>
      <c r="E11">
        <f t="shared" si="0"/>
        <v>11924.0978</v>
      </c>
      <c r="F11">
        <f t="shared" si="1"/>
        <v>5160.3977999999997</v>
      </c>
    </row>
    <row r="12" spans="1:6" x14ac:dyDescent="0.25">
      <c r="A12" s="24">
        <v>45170</v>
      </c>
      <c r="B12" s="6">
        <v>1</v>
      </c>
      <c r="C12" s="6">
        <v>15530.929919999999</v>
      </c>
      <c r="D12" s="6">
        <v>5138.6899199999989</v>
      </c>
      <c r="E12">
        <f t="shared" si="0"/>
        <v>15530.929919999999</v>
      </c>
      <c r="F12">
        <f t="shared" si="1"/>
        <v>5138.6899199999989</v>
      </c>
    </row>
    <row r="13" spans="1:6" x14ac:dyDescent="0.25">
      <c r="A13" s="24">
        <v>45200</v>
      </c>
      <c r="B13" s="6">
        <v>1</v>
      </c>
      <c r="C13" s="6">
        <v>23375.594060000003</v>
      </c>
      <c r="D13" s="6">
        <v>7380.8740600000019</v>
      </c>
      <c r="E13">
        <f t="shared" si="0"/>
        <v>23375.594060000003</v>
      </c>
      <c r="F13">
        <f t="shared" si="1"/>
        <v>7380.8740600000019</v>
      </c>
    </row>
    <row r="14" spans="1:6" x14ac:dyDescent="0.25">
      <c r="A14" s="24">
        <v>45261</v>
      </c>
      <c r="B14" s="6">
        <v>3</v>
      </c>
      <c r="C14" s="6">
        <v>103912.62696999998</v>
      </c>
      <c r="D14" s="6">
        <v>27498.656969999996</v>
      </c>
      <c r="E14">
        <f t="shared" si="0"/>
        <v>34637.542323333328</v>
      </c>
      <c r="F14">
        <f t="shared" si="1"/>
        <v>9166.2189899999994</v>
      </c>
    </row>
    <row r="15" spans="1:6" x14ac:dyDescent="0.25">
      <c r="A15" s="24">
        <v>45292</v>
      </c>
      <c r="B15" s="6">
        <v>3</v>
      </c>
      <c r="C15" s="6">
        <v>31455.602440000002</v>
      </c>
      <c r="D15" s="6">
        <v>5096.8824400000003</v>
      </c>
      <c r="E15">
        <f t="shared" si="0"/>
        <v>10485.200813333335</v>
      </c>
      <c r="F15">
        <f t="shared" si="1"/>
        <v>1698.9608133333334</v>
      </c>
    </row>
    <row r="16" spans="1:6" x14ac:dyDescent="0.25">
      <c r="A16" s="24">
        <v>45323</v>
      </c>
      <c r="B16" s="6">
        <v>3</v>
      </c>
      <c r="C16" s="6">
        <v>46443.0026</v>
      </c>
      <c r="D16" s="6">
        <v>19019.2526</v>
      </c>
      <c r="E16">
        <f t="shared" si="0"/>
        <v>15481.000866666667</v>
      </c>
      <c r="F16">
        <f t="shared" si="1"/>
        <v>6339.7508666666663</v>
      </c>
    </row>
    <row r="17" spans="1:6" x14ac:dyDescent="0.25">
      <c r="A17" s="24">
        <v>45383</v>
      </c>
      <c r="B17" s="6">
        <v>3</v>
      </c>
      <c r="C17" s="6">
        <v>36687.222049999997</v>
      </c>
      <c r="D17" s="6">
        <v>1101.1620500000008</v>
      </c>
      <c r="E17">
        <f t="shared" si="0"/>
        <v>12229.074016666666</v>
      </c>
      <c r="F17">
        <f t="shared" si="1"/>
        <v>367.05401666666694</v>
      </c>
    </row>
    <row r="18" spans="1:6" x14ac:dyDescent="0.25">
      <c r="A18" s="24">
        <v>45413</v>
      </c>
      <c r="B18" s="6">
        <v>1</v>
      </c>
      <c r="C18" s="6">
        <v>24321.57</v>
      </c>
      <c r="D18" s="6">
        <v>7889.0499999999993</v>
      </c>
      <c r="E18">
        <f t="shared" si="0"/>
        <v>24321.57</v>
      </c>
      <c r="F18">
        <f t="shared" si="1"/>
        <v>7889.0499999999993</v>
      </c>
    </row>
    <row r="19" spans="1:6" x14ac:dyDescent="0.25">
      <c r="A19" s="24">
        <v>45444</v>
      </c>
      <c r="B19" s="6">
        <v>1</v>
      </c>
      <c r="C19" s="6">
        <v>549.80010000000004</v>
      </c>
      <c r="D19" s="6">
        <v>-36.079899999999952</v>
      </c>
      <c r="E19">
        <f t="shared" si="0"/>
        <v>549.80010000000004</v>
      </c>
      <c r="F19">
        <f t="shared" si="1"/>
        <v>-36.079899999999952</v>
      </c>
    </row>
    <row r="20" spans="1:6" x14ac:dyDescent="0.25">
      <c r="A20" s="24">
        <v>45474</v>
      </c>
      <c r="B20" s="6">
        <v>1</v>
      </c>
      <c r="C20" s="6">
        <v>3980.7075</v>
      </c>
      <c r="D20" s="6">
        <v>-1162.7325000000005</v>
      </c>
      <c r="E20">
        <f t="shared" si="0"/>
        <v>3980.7075</v>
      </c>
      <c r="F20">
        <f t="shared" si="1"/>
        <v>-1162.7325000000005</v>
      </c>
    </row>
    <row r="21" spans="1:6" x14ac:dyDescent="0.25">
      <c r="A21" s="24">
        <v>45536</v>
      </c>
      <c r="B21" s="6">
        <v>1</v>
      </c>
      <c r="C21" s="6">
        <v>40563.321749999996</v>
      </c>
      <c r="D21" s="6">
        <v>11831.751749999996</v>
      </c>
      <c r="E21">
        <f t="shared" si="0"/>
        <v>40563.321749999996</v>
      </c>
      <c r="F21">
        <f t="shared" si="1"/>
        <v>11831.751749999996</v>
      </c>
    </row>
    <row r="22" spans="1:6" x14ac:dyDescent="0.25">
      <c r="A22" s="24">
        <v>45566</v>
      </c>
      <c r="B22" s="6">
        <v>1</v>
      </c>
      <c r="C22" s="6">
        <v>18061.204320000004</v>
      </c>
      <c r="D22" s="6">
        <v>8200.7143200000046</v>
      </c>
      <c r="E22">
        <f t="shared" si="0"/>
        <v>18061.204320000004</v>
      </c>
      <c r="F22">
        <f t="shared" si="1"/>
        <v>8200.7143200000046</v>
      </c>
    </row>
    <row r="23" spans="1:6" x14ac:dyDescent="0.25">
      <c r="A23" s="24">
        <v>45597</v>
      </c>
      <c r="B23" s="6">
        <v>2</v>
      </c>
      <c r="C23" s="6">
        <v>32928.275000000001</v>
      </c>
      <c r="D23" s="6">
        <v>13956.375000000004</v>
      </c>
      <c r="E23">
        <f t="shared" si="0"/>
        <v>16464.137500000001</v>
      </c>
      <c r="F23">
        <f t="shared" si="1"/>
        <v>6978.1875000000018</v>
      </c>
    </row>
    <row r="24" spans="1:6" x14ac:dyDescent="0.25">
      <c r="A24" s="24">
        <v>45778</v>
      </c>
      <c r="B24" s="6">
        <v>3</v>
      </c>
      <c r="C24" s="6">
        <v>76164.582580000002</v>
      </c>
      <c r="D24" s="6">
        <v>25343.232579999996</v>
      </c>
      <c r="E24">
        <f t="shared" si="0"/>
        <v>25388.194193333333</v>
      </c>
      <c r="F24">
        <f t="shared" si="1"/>
        <v>8447.7441933333321</v>
      </c>
    </row>
    <row r="25" spans="1:6" x14ac:dyDescent="0.25">
      <c r="A25" s="24">
        <v>45809</v>
      </c>
      <c r="B25" s="6">
        <v>3</v>
      </c>
      <c r="C25" s="6">
        <v>60236.567860000003</v>
      </c>
      <c r="D25" s="6">
        <v>17590.227860000006</v>
      </c>
      <c r="E25">
        <f t="shared" si="0"/>
        <v>20078.855953333335</v>
      </c>
      <c r="F25">
        <f t="shared" si="1"/>
        <v>5863.4092866666688</v>
      </c>
    </row>
    <row r="26" spans="1:6" x14ac:dyDescent="0.25">
      <c r="A26" s="24">
        <v>45870</v>
      </c>
      <c r="B26" s="6">
        <v>3</v>
      </c>
      <c r="C26" s="6">
        <v>77089.627199999988</v>
      </c>
      <c r="D26" s="6">
        <v>38804.107199999999</v>
      </c>
      <c r="E26">
        <f t="shared" si="0"/>
        <v>25696.542399999995</v>
      </c>
      <c r="F26">
        <f t="shared" si="1"/>
        <v>12934.7024</v>
      </c>
    </row>
    <row r="27" spans="1:6" x14ac:dyDescent="0.25">
      <c r="A27" s="24">
        <v>45901</v>
      </c>
      <c r="B27" s="6">
        <v>1</v>
      </c>
      <c r="C27" s="6">
        <v>29627.320319999999</v>
      </c>
      <c r="D27" s="6">
        <v>-6106.5196800000049</v>
      </c>
      <c r="E27">
        <f t="shared" si="0"/>
        <v>29627.320319999999</v>
      </c>
      <c r="F27">
        <f t="shared" si="1"/>
        <v>-6106.5196800000049</v>
      </c>
    </row>
    <row r="28" spans="1:6" x14ac:dyDescent="0.25">
      <c r="A28" s="19" t="s">
        <v>717</v>
      </c>
      <c r="B28" s="6">
        <v>48</v>
      </c>
      <c r="C28" s="6">
        <v>893735.6608500001</v>
      </c>
      <c r="D28" s="6">
        <v>315969.97085000004</v>
      </c>
      <c r="E28">
        <f t="shared" si="0"/>
        <v>18619.492934375001</v>
      </c>
      <c r="F28">
        <f t="shared" si="1"/>
        <v>6582.7077260416672</v>
      </c>
    </row>
    <row r="29" spans="1:6" x14ac:dyDescent="0.25">
      <c r="A29" s="24">
        <v>44927</v>
      </c>
      <c r="B29" s="6">
        <v>2</v>
      </c>
      <c r="C29" s="6">
        <v>30901.047749999998</v>
      </c>
      <c r="D29" s="6">
        <v>-2862.5422499999977</v>
      </c>
      <c r="E29">
        <f t="shared" si="0"/>
        <v>15450.523874999999</v>
      </c>
      <c r="F29">
        <f t="shared" si="1"/>
        <v>-1431.2711249999988</v>
      </c>
    </row>
    <row r="30" spans="1:6" x14ac:dyDescent="0.25">
      <c r="A30" s="24">
        <v>44986</v>
      </c>
      <c r="B30" s="6">
        <v>1</v>
      </c>
      <c r="C30" s="6">
        <v>5785.8</v>
      </c>
      <c r="D30" s="6">
        <v>-2213.0999999999995</v>
      </c>
      <c r="E30">
        <f t="shared" si="0"/>
        <v>5785.8</v>
      </c>
      <c r="F30">
        <f t="shared" si="1"/>
        <v>-2213.0999999999995</v>
      </c>
    </row>
    <row r="31" spans="1:6" x14ac:dyDescent="0.25">
      <c r="A31" s="24">
        <v>45017</v>
      </c>
      <c r="B31" s="6">
        <v>1</v>
      </c>
      <c r="C31" s="6">
        <v>22620.859800000002</v>
      </c>
      <c r="D31" s="6">
        <v>4351.729800000001</v>
      </c>
      <c r="E31">
        <f t="shared" si="0"/>
        <v>22620.859800000002</v>
      </c>
      <c r="F31">
        <f t="shared" si="1"/>
        <v>4351.729800000001</v>
      </c>
    </row>
    <row r="32" spans="1:6" x14ac:dyDescent="0.25">
      <c r="A32" s="24">
        <v>45047</v>
      </c>
      <c r="B32" s="6">
        <v>1</v>
      </c>
      <c r="C32" s="6">
        <v>9062.34692</v>
      </c>
      <c r="D32" s="6">
        <v>2656.3869199999999</v>
      </c>
      <c r="E32">
        <f t="shared" si="0"/>
        <v>9062.34692</v>
      </c>
      <c r="F32">
        <f t="shared" si="1"/>
        <v>2656.3869199999999</v>
      </c>
    </row>
    <row r="33" spans="1:6" x14ac:dyDescent="0.25">
      <c r="A33" s="24">
        <v>45108</v>
      </c>
      <c r="B33" s="6">
        <v>4</v>
      </c>
      <c r="C33" s="6">
        <v>87249.711199999991</v>
      </c>
      <c r="D33" s="6">
        <v>28088.721199999993</v>
      </c>
      <c r="E33">
        <f t="shared" si="0"/>
        <v>21812.427799999998</v>
      </c>
      <c r="F33">
        <f t="shared" si="1"/>
        <v>7022.1802999999982</v>
      </c>
    </row>
    <row r="34" spans="1:6" x14ac:dyDescent="0.25">
      <c r="A34" s="24">
        <v>45139</v>
      </c>
      <c r="B34" s="6">
        <v>2</v>
      </c>
      <c r="C34" s="6">
        <v>45459.287980000008</v>
      </c>
      <c r="D34" s="6">
        <v>14105.927980000004</v>
      </c>
      <c r="E34">
        <f t="shared" si="0"/>
        <v>22729.643990000004</v>
      </c>
      <c r="F34">
        <f t="shared" si="1"/>
        <v>7052.963990000002</v>
      </c>
    </row>
    <row r="35" spans="1:6" x14ac:dyDescent="0.25">
      <c r="A35" s="24">
        <v>45170</v>
      </c>
      <c r="B35" s="6">
        <v>4</v>
      </c>
      <c r="C35" s="6">
        <v>60336.665009999997</v>
      </c>
      <c r="D35" s="6">
        <v>21192.48501</v>
      </c>
      <c r="E35">
        <f t="shared" si="0"/>
        <v>15084.166252499999</v>
      </c>
      <c r="F35">
        <f t="shared" si="1"/>
        <v>5298.1212525000001</v>
      </c>
    </row>
    <row r="36" spans="1:6" x14ac:dyDescent="0.25">
      <c r="A36" s="24">
        <v>45261</v>
      </c>
      <c r="B36" s="6">
        <v>1</v>
      </c>
      <c r="C36" s="6">
        <v>9771.4483199999995</v>
      </c>
      <c r="D36" s="6">
        <v>4768.4883199999995</v>
      </c>
      <c r="E36">
        <f t="shared" si="0"/>
        <v>9771.4483199999995</v>
      </c>
      <c r="F36">
        <f t="shared" si="1"/>
        <v>4768.4883199999995</v>
      </c>
    </row>
    <row r="37" spans="1:6" x14ac:dyDescent="0.25">
      <c r="A37" s="24">
        <v>45292</v>
      </c>
      <c r="B37" s="6">
        <v>4</v>
      </c>
      <c r="C37" s="6">
        <v>29601.981640000005</v>
      </c>
      <c r="D37" s="6">
        <v>5140.4416400000027</v>
      </c>
      <c r="E37">
        <f t="shared" si="0"/>
        <v>7400.4954100000014</v>
      </c>
      <c r="F37">
        <f t="shared" si="1"/>
        <v>1285.1104100000007</v>
      </c>
    </row>
    <row r="38" spans="1:6" x14ac:dyDescent="0.25">
      <c r="A38" s="24">
        <v>45323</v>
      </c>
      <c r="B38" s="6">
        <v>1</v>
      </c>
      <c r="C38" s="6">
        <v>11326.846439999999</v>
      </c>
      <c r="D38" s="6">
        <v>4090.8064399999994</v>
      </c>
      <c r="E38">
        <f t="shared" si="0"/>
        <v>11326.846439999999</v>
      </c>
      <c r="F38">
        <f t="shared" si="1"/>
        <v>4090.8064399999994</v>
      </c>
    </row>
    <row r="39" spans="1:6" x14ac:dyDescent="0.25">
      <c r="A39" s="24">
        <v>45352</v>
      </c>
      <c r="B39" s="6">
        <v>1</v>
      </c>
      <c r="C39" s="6">
        <v>18957.37689</v>
      </c>
      <c r="D39" s="6">
        <v>-289.30311000000074</v>
      </c>
      <c r="E39">
        <f t="shared" si="0"/>
        <v>18957.37689</v>
      </c>
      <c r="F39">
        <f t="shared" si="1"/>
        <v>-289.30311000000074</v>
      </c>
    </row>
    <row r="40" spans="1:6" x14ac:dyDescent="0.25">
      <c r="A40" s="24">
        <v>45383</v>
      </c>
      <c r="B40" s="6">
        <v>1</v>
      </c>
      <c r="C40" s="6">
        <v>49336.511399999996</v>
      </c>
      <c r="D40" s="6">
        <v>17565.881399999995</v>
      </c>
      <c r="E40">
        <f t="shared" si="0"/>
        <v>49336.511399999996</v>
      </c>
      <c r="F40">
        <f t="shared" si="1"/>
        <v>17565.881399999995</v>
      </c>
    </row>
    <row r="41" spans="1:6" x14ac:dyDescent="0.25">
      <c r="A41" s="24">
        <v>45413</v>
      </c>
      <c r="B41" s="6">
        <v>2</v>
      </c>
      <c r="C41" s="6">
        <v>119051.78427999999</v>
      </c>
      <c r="D41" s="6">
        <v>68481.474279999995</v>
      </c>
      <c r="E41">
        <f t="shared" si="0"/>
        <v>59525.892139999996</v>
      </c>
      <c r="F41">
        <f t="shared" si="1"/>
        <v>34240.737139999997</v>
      </c>
    </row>
    <row r="42" spans="1:6" x14ac:dyDescent="0.25">
      <c r="A42" s="24">
        <v>45444</v>
      </c>
      <c r="B42" s="6">
        <v>1</v>
      </c>
      <c r="C42" s="6">
        <v>34.689059999999998</v>
      </c>
      <c r="D42" s="6">
        <v>-13.550940000000004</v>
      </c>
      <c r="E42">
        <f t="shared" si="0"/>
        <v>34.689059999999998</v>
      </c>
      <c r="F42">
        <f t="shared" si="1"/>
        <v>-13.550940000000004</v>
      </c>
    </row>
    <row r="43" spans="1:6" x14ac:dyDescent="0.25">
      <c r="A43" s="24">
        <v>45505</v>
      </c>
      <c r="B43" s="6">
        <v>1</v>
      </c>
      <c r="C43" s="6">
        <v>24147.922500000001</v>
      </c>
      <c r="D43" s="6">
        <v>10696.672500000001</v>
      </c>
      <c r="E43">
        <f t="shared" si="0"/>
        <v>24147.922500000001</v>
      </c>
      <c r="F43">
        <f t="shared" si="1"/>
        <v>10696.672500000001</v>
      </c>
    </row>
    <row r="44" spans="1:6" x14ac:dyDescent="0.25">
      <c r="A44" s="24">
        <v>45536</v>
      </c>
      <c r="B44" s="6">
        <v>1</v>
      </c>
      <c r="C44" s="6">
        <v>20028.787380000002</v>
      </c>
      <c r="D44" s="6">
        <v>10428.937380000001</v>
      </c>
      <c r="E44">
        <f t="shared" si="0"/>
        <v>20028.787380000002</v>
      </c>
      <c r="F44">
        <f t="shared" si="1"/>
        <v>10428.937380000001</v>
      </c>
    </row>
    <row r="45" spans="1:6" x14ac:dyDescent="0.25">
      <c r="A45" s="24">
        <v>45566</v>
      </c>
      <c r="B45" s="6">
        <v>2</v>
      </c>
      <c r="C45" s="6">
        <v>63031.996000000006</v>
      </c>
      <c r="D45" s="6">
        <v>16470.996000000006</v>
      </c>
      <c r="E45">
        <f t="shared" si="0"/>
        <v>31515.998000000003</v>
      </c>
      <c r="F45">
        <f t="shared" si="1"/>
        <v>8235.4980000000032</v>
      </c>
    </row>
    <row r="46" spans="1:6" x14ac:dyDescent="0.25">
      <c r="A46" s="24">
        <v>45597</v>
      </c>
      <c r="B46" s="6">
        <v>2</v>
      </c>
      <c r="C46" s="6">
        <v>15692.094929999997</v>
      </c>
      <c r="D46" s="6">
        <v>7087.2349299999969</v>
      </c>
      <c r="E46">
        <f t="shared" si="0"/>
        <v>7846.0474649999987</v>
      </c>
      <c r="F46">
        <f t="shared" si="1"/>
        <v>3543.6174649999984</v>
      </c>
    </row>
    <row r="47" spans="1:6" x14ac:dyDescent="0.25">
      <c r="A47" s="24">
        <v>45627</v>
      </c>
      <c r="B47" s="6">
        <v>3</v>
      </c>
      <c r="C47" s="6">
        <v>50188.719000000005</v>
      </c>
      <c r="D47" s="6">
        <v>12373.609000000002</v>
      </c>
      <c r="E47">
        <f t="shared" si="0"/>
        <v>16729.573</v>
      </c>
      <c r="F47">
        <f t="shared" si="1"/>
        <v>4124.5363333333344</v>
      </c>
    </row>
    <row r="48" spans="1:6" x14ac:dyDescent="0.25">
      <c r="A48" s="24">
        <v>45658</v>
      </c>
      <c r="B48" s="6">
        <v>3</v>
      </c>
      <c r="C48" s="6">
        <v>52077.656799999997</v>
      </c>
      <c r="D48" s="6">
        <v>17344.946799999998</v>
      </c>
      <c r="E48">
        <f t="shared" si="0"/>
        <v>17359.218933333334</v>
      </c>
      <c r="F48">
        <f t="shared" si="1"/>
        <v>5781.6489333333329</v>
      </c>
    </row>
    <row r="49" spans="1:6" x14ac:dyDescent="0.25">
      <c r="A49" s="24">
        <v>45689</v>
      </c>
      <c r="B49" s="6">
        <v>2</v>
      </c>
      <c r="C49" s="6">
        <v>37363.554029999999</v>
      </c>
      <c r="D49" s="6">
        <v>21342.91403</v>
      </c>
      <c r="E49">
        <f t="shared" si="0"/>
        <v>18681.777015</v>
      </c>
      <c r="F49">
        <f t="shared" si="1"/>
        <v>10671.457015</v>
      </c>
    </row>
    <row r="50" spans="1:6" x14ac:dyDescent="0.25">
      <c r="A50" s="24">
        <v>45717</v>
      </c>
      <c r="B50" s="6">
        <v>1</v>
      </c>
      <c r="C50" s="6">
        <v>10464.138360000001</v>
      </c>
      <c r="D50" s="6">
        <v>2558.6583600000013</v>
      </c>
      <c r="E50">
        <f t="shared" si="0"/>
        <v>10464.138360000001</v>
      </c>
      <c r="F50">
        <f t="shared" si="1"/>
        <v>2558.6583600000013</v>
      </c>
    </row>
    <row r="51" spans="1:6" x14ac:dyDescent="0.25">
      <c r="A51" s="24">
        <v>45748</v>
      </c>
      <c r="B51" s="6">
        <v>1</v>
      </c>
      <c r="C51" s="6">
        <v>5127.0390600000001</v>
      </c>
      <c r="D51" s="6">
        <v>1268.6790600000004</v>
      </c>
      <c r="E51">
        <f t="shared" si="0"/>
        <v>5127.0390600000001</v>
      </c>
      <c r="F51">
        <f t="shared" si="1"/>
        <v>1268.6790600000004</v>
      </c>
    </row>
    <row r="52" spans="1:6" x14ac:dyDescent="0.25">
      <c r="A52" s="24">
        <v>45778</v>
      </c>
      <c r="B52" s="6">
        <v>1</v>
      </c>
      <c r="C52" s="6">
        <v>11696.156879999999</v>
      </c>
      <c r="D52" s="6">
        <v>4215.3568799999994</v>
      </c>
      <c r="E52">
        <f t="shared" si="0"/>
        <v>11696.156879999999</v>
      </c>
      <c r="F52">
        <f t="shared" si="1"/>
        <v>4215.3568799999994</v>
      </c>
    </row>
    <row r="53" spans="1:6" x14ac:dyDescent="0.25">
      <c r="A53" s="24">
        <v>45809</v>
      </c>
      <c r="B53" s="6">
        <v>1</v>
      </c>
      <c r="C53" s="6">
        <v>11984.891250000001</v>
      </c>
      <c r="D53" s="6">
        <v>4377.4812500000007</v>
      </c>
      <c r="E53">
        <f t="shared" si="0"/>
        <v>11984.891250000001</v>
      </c>
      <c r="F53">
        <f t="shared" si="1"/>
        <v>4377.4812500000007</v>
      </c>
    </row>
    <row r="54" spans="1:6" x14ac:dyDescent="0.25">
      <c r="A54" s="24">
        <v>45839</v>
      </c>
      <c r="B54" s="6">
        <v>2</v>
      </c>
      <c r="C54" s="6">
        <v>74496.222689999995</v>
      </c>
      <c r="D54" s="6">
        <v>35865.632689999984</v>
      </c>
      <c r="E54">
        <f t="shared" si="0"/>
        <v>37248.111344999998</v>
      </c>
      <c r="F54">
        <f t="shared" si="1"/>
        <v>17932.816344999992</v>
      </c>
    </row>
    <row r="55" spans="1:6" x14ac:dyDescent="0.25">
      <c r="A55" s="24">
        <v>45870</v>
      </c>
      <c r="B55" s="6">
        <v>2</v>
      </c>
      <c r="C55" s="6">
        <v>17940.125279999997</v>
      </c>
      <c r="D55" s="6">
        <v>6875.0052799999976</v>
      </c>
      <c r="E55">
        <f t="shared" si="0"/>
        <v>8970.0626399999983</v>
      </c>
      <c r="F55">
        <f t="shared" si="1"/>
        <v>3437.5026399999988</v>
      </c>
    </row>
    <row r="56" spans="1:6" x14ac:dyDescent="0.25">
      <c r="A56" s="19" t="s">
        <v>712</v>
      </c>
      <c r="B56" s="6">
        <v>37</v>
      </c>
      <c r="C56" s="6">
        <v>685111.85992000008</v>
      </c>
      <c r="D56" s="6">
        <v>225695.01991999999</v>
      </c>
      <c r="E56">
        <f t="shared" si="0"/>
        <v>18516.536754594596</v>
      </c>
      <c r="F56">
        <f t="shared" si="1"/>
        <v>6099.8654032432432</v>
      </c>
    </row>
    <row r="57" spans="1:6" x14ac:dyDescent="0.25">
      <c r="A57" s="24">
        <v>44958</v>
      </c>
      <c r="B57" s="6">
        <v>1</v>
      </c>
      <c r="C57" s="6">
        <v>4132.0325200000007</v>
      </c>
      <c r="D57" s="6">
        <v>750.9625200000005</v>
      </c>
      <c r="E57">
        <f t="shared" si="0"/>
        <v>4132.0325200000007</v>
      </c>
      <c r="F57">
        <f t="shared" si="1"/>
        <v>750.9625200000005</v>
      </c>
    </row>
    <row r="58" spans="1:6" x14ac:dyDescent="0.25">
      <c r="A58" s="24">
        <v>44986</v>
      </c>
      <c r="B58" s="6">
        <v>3</v>
      </c>
      <c r="C58" s="6">
        <v>70807.907129999992</v>
      </c>
      <c r="D58" s="6">
        <v>11966.497129999985</v>
      </c>
      <c r="E58">
        <f t="shared" si="0"/>
        <v>23602.635709999999</v>
      </c>
      <c r="F58">
        <f t="shared" si="1"/>
        <v>3988.8323766666617</v>
      </c>
    </row>
    <row r="59" spans="1:6" x14ac:dyDescent="0.25">
      <c r="A59" s="24">
        <v>45047</v>
      </c>
      <c r="B59" s="6">
        <v>1</v>
      </c>
      <c r="C59" s="6">
        <v>9232.2830599999998</v>
      </c>
      <c r="D59" s="6">
        <v>515.88306000000011</v>
      </c>
      <c r="E59">
        <f t="shared" si="0"/>
        <v>9232.2830599999998</v>
      </c>
      <c r="F59">
        <f t="shared" si="1"/>
        <v>515.88306000000011</v>
      </c>
    </row>
    <row r="60" spans="1:6" x14ac:dyDescent="0.25">
      <c r="A60" s="24">
        <v>45078</v>
      </c>
      <c r="B60" s="6">
        <v>2</v>
      </c>
      <c r="C60" s="6">
        <v>32617.777679999999</v>
      </c>
      <c r="D60" s="6">
        <v>16115.177680000001</v>
      </c>
      <c r="E60">
        <f t="shared" si="0"/>
        <v>16308.88884</v>
      </c>
      <c r="F60">
        <f t="shared" si="1"/>
        <v>8057.5888400000003</v>
      </c>
    </row>
    <row r="61" spans="1:6" x14ac:dyDescent="0.25">
      <c r="A61" s="24">
        <v>45108</v>
      </c>
      <c r="B61" s="6">
        <v>2</v>
      </c>
      <c r="C61" s="6">
        <v>57608.906159999999</v>
      </c>
      <c r="D61" s="6">
        <v>17276.346159999997</v>
      </c>
      <c r="E61">
        <f t="shared" si="0"/>
        <v>28804.453079999999</v>
      </c>
      <c r="F61">
        <f t="shared" si="1"/>
        <v>8638.1730799999987</v>
      </c>
    </row>
    <row r="62" spans="1:6" x14ac:dyDescent="0.25">
      <c r="A62" s="24">
        <v>45200</v>
      </c>
      <c r="B62" s="6">
        <v>2</v>
      </c>
      <c r="C62" s="6">
        <v>53257.700410000005</v>
      </c>
      <c r="D62" s="6">
        <v>10470.300410000007</v>
      </c>
      <c r="E62">
        <f t="shared" si="0"/>
        <v>26628.850205000002</v>
      </c>
      <c r="F62">
        <f t="shared" si="1"/>
        <v>5235.1502050000036</v>
      </c>
    </row>
    <row r="63" spans="1:6" x14ac:dyDescent="0.25">
      <c r="A63" s="24">
        <v>45231</v>
      </c>
      <c r="B63" s="6">
        <v>1</v>
      </c>
      <c r="C63" s="6">
        <v>32704.386400000003</v>
      </c>
      <c r="D63" s="6">
        <v>13817.826400000005</v>
      </c>
      <c r="E63">
        <f t="shared" si="0"/>
        <v>32704.386400000003</v>
      </c>
      <c r="F63">
        <f t="shared" si="1"/>
        <v>13817.826400000005</v>
      </c>
    </row>
    <row r="64" spans="1:6" x14ac:dyDescent="0.25">
      <c r="A64" s="24">
        <v>45261</v>
      </c>
      <c r="B64" s="6">
        <v>1</v>
      </c>
      <c r="C64" s="6">
        <v>6946.8</v>
      </c>
      <c r="D64" s="6">
        <v>-424.0600000000004</v>
      </c>
      <c r="E64">
        <f t="shared" si="0"/>
        <v>6946.8</v>
      </c>
      <c r="F64">
        <f t="shared" si="1"/>
        <v>-424.0600000000004</v>
      </c>
    </row>
    <row r="65" spans="1:6" x14ac:dyDescent="0.25">
      <c r="A65" s="24">
        <v>45292</v>
      </c>
      <c r="B65" s="6">
        <v>1</v>
      </c>
      <c r="C65" s="6">
        <v>11842.8464</v>
      </c>
      <c r="D65" s="6">
        <v>6082.1463999999996</v>
      </c>
      <c r="E65">
        <f t="shared" si="0"/>
        <v>11842.8464</v>
      </c>
      <c r="F65">
        <f t="shared" si="1"/>
        <v>6082.1463999999996</v>
      </c>
    </row>
    <row r="66" spans="1:6" x14ac:dyDescent="0.25">
      <c r="A66" s="24">
        <v>45323</v>
      </c>
      <c r="B66" s="6">
        <v>1</v>
      </c>
      <c r="C66" s="6">
        <v>34307.159999999996</v>
      </c>
      <c r="D66" s="6">
        <v>17422.559999999998</v>
      </c>
      <c r="E66">
        <f t="shared" si="0"/>
        <v>34307.159999999996</v>
      </c>
      <c r="F66">
        <f t="shared" si="1"/>
        <v>17422.559999999998</v>
      </c>
    </row>
    <row r="67" spans="1:6" x14ac:dyDescent="0.25">
      <c r="A67" s="24">
        <v>45352</v>
      </c>
      <c r="B67" s="6">
        <v>1</v>
      </c>
      <c r="C67" s="6">
        <v>4866.3287999999993</v>
      </c>
      <c r="D67" s="6">
        <v>2353.1687999999995</v>
      </c>
      <c r="E67">
        <f t="shared" si="0"/>
        <v>4866.3287999999993</v>
      </c>
      <c r="F67">
        <f t="shared" si="1"/>
        <v>2353.1687999999995</v>
      </c>
    </row>
    <row r="68" spans="1:6" x14ac:dyDescent="0.25">
      <c r="A68" s="24">
        <v>45383</v>
      </c>
      <c r="B68" s="6">
        <v>1</v>
      </c>
      <c r="C68" s="6">
        <v>24161.205600000001</v>
      </c>
      <c r="D68" s="6">
        <v>14126.6556</v>
      </c>
      <c r="E68">
        <f t="shared" si="0"/>
        <v>24161.205600000001</v>
      </c>
      <c r="F68">
        <f t="shared" si="1"/>
        <v>14126.6556</v>
      </c>
    </row>
    <row r="69" spans="1:6" x14ac:dyDescent="0.25">
      <c r="A69" s="24">
        <v>45413</v>
      </c>
      <c r="B69" s="6">
        <v>2</v>
      </c>
      <c r="C69" s="6">
        <v>45293.144029999996</v>
      </c>
      <c r="D69" s="6">
        <v>18721.944029999999</v>
      </c>
      <c r="E69">
        <f t="shared" ref="E69:E132" si="2">IF(B69=0,"",C69/B69)</f>
        <v>22646.572014999998</v>
      </c>
      <c r="F69">
        <f t="shared" ref="F69:F132" si="3">IF(B69=0,"",D69/B69)</f>
        <v>9360.9720149999994</v>
      </c>
    </row>
    <row r="70" spans="1:6" x14ac:dyDescent="0.25">
      <c r="A70" s="24">
        <v>45444</v>
      </c>
      <c r="B70" s="6">
        <v>1</v>
      </c>
      <c r="C70" s="6">
        <v>8596.2905599999995</v>
      </c>
      <c r="D70" s="6">
        <v>2628.8905599999998</v>
      </c>
      <c r="E70">
        <f t="shared" si="2"/>
        <v>8596.2905599999995</v>
      </c>
      <c r="F70">
        <f t="shared" si="3"/>
        <v>2628.8905599999998</v>
      </c>
    </row>
    <row r="71" spans="1:6" x14ac:dyDescent="0.25">
      <c r="A71" s="24">
        <v>45505</v>
      </c>
      <c r="B71" s="6">
        <v>2</v>
      </c>
      <c r="C71" s="6">
        <v>27104.071679999997</v>
      </c>
      <c r="D71" s="6">
        <v>-3027.5383200000024</v>
      </c>
      <c r="E71">
        <f t="shared" si="2"/>
        <v>13552.035839999999</v>
      </c>
      <c r="F71">
        <f t="shared" si="3"/>
        <v>-1513.7691600000012</v>
      </c>
    </row>
    <row r="72" spans="1:6" x14ac:dyDescent="0.25">
      <c r="A72" s="24">
        <v>45566</v>
      </c>
      <c r="B72" s="6">
        <v>1</v>
      </c>
      <c r="C72" s="6">
        <v>9256.14</v>
      </c>
      <c r="D72" s="6">
        <v>777.95999999999913</v>
      </c>
      <c r="E72">
        <f t="shared" si="2"/>
        <v>9256.14</v>
      </c>
      <c r="F72">
        <f t="shared" si="3"/>
        <v>777.95999999999913</v>
      </c>
    </row>
    <row r="73" spans="1:6" x14ac:dyDescent="0.25">
      <c r="A73" s="24">
        <v>45597</v>
      </c>
      <c r="B73" s="6">
        <v>1</v>
      </c>
      <c r="C73" s="6">
        <v>84136.119600000005</v>
      </c>
      <c r="D73" s="6">
        <v>30705.719600000004</v>
      </c>
      <c r="E73">
        <f t="shared" si="2"/>
        <v>84136.119600000005</v>
      </c>
      <c r="F73">
        <f t="shared" si="3"/>
        <v>30705.719600000004</v>
      </c>
    </row>
    <row r="74" spans="1:6" x14ac:dyDescent="0.25">
      <c r="A74" s="24">
        <v>45627</v>
      </c>
      <c r="B74" s="6">
        <v>1</v>
      </c>
      <c r="C74" s="6">
        <v>14752.706080000002</v>
      </c>
      <c r="D74" s="6">
        <v>5578.9460800000015</v>
      </c>
      <c r="E74">
        <f t="shared" si="2"/>
        <v>14752.706080000002</v>
      </c>
      <c r="F74">
        <f t="shared" si="3"/>
        <v>5578.9460800000015</v>
      </c>
    </row>
    <row r="75" spans="1:6" x14ac:dyDescent="0.25">
      <c r="A75" s="24">
        <v>45658</v>
      </c>
      <c r="B75" s="6">
        <v>1</v>
      </c>
      <c r="C75" s="6">
        <v>3494.4040799999998</v>
      </c>
      <c r="D75" s="6">
        <v>1056.16408</v>
      </c>
      <c r="E75">
        <f t="shared" si="2"/>
        <v>3494.4040799999998</v>
      </c>
      <c r="F75">
        <f t="shared" si="3"/>
        <v>1056.16408</v>
      </c>
    </row>
    <row r="76" spans="1:6" x14ac:dyDescent="0.25">
      <c r="A76" s="24">
        <v>45689</v>
      </c>
      <c r="B76" s="6">
        <v>1</v>
      </c>
      <c r="C76" s="6">
        <v>2146.5580500000001</v>
      </c>
      <c r="D76" s="6">
        <v>242.27804999999989</v>
      </c>
      <c r="E76">
        <f t="shared" si="2"/>
        <v>2146.5580500000001</v>
      </c>
      <c r="F76">
        <f t="shared" si="3"/>
        <v>242.27804999999989</v>
      </c>
    </row>
    <row r="77" spans="1:6" x14ac:dyDescent="0.25">
      <c r="A77" s="24">
        <v>45717</v>
      </c>
      <c r="B77" s="6">
        <v>2</v>
      </c>
      <c r="C77" s="6">
        <v>32224.1803</v>
      </c>
      <c r="D77" s="6">
        <v>17767.150299999998</v>
      </c>
      <c r="E77">
        <f t="shared" si="2"/>
        <v>16112.09015</v>
      </c>
      <c r="F77">
        <f t="shared" si="3"/>
        <v>8883.5751499999988</v>
      </c>
    </row>
    <row r="78" spans="1:6" x14ac:dyDescent="0.25">
      <c r="A78" s="24">
        <v>45748</v>
      </c>
      <c r="B78" s="6">
        <v>2</v>
      </c>
      <c r="C78" s="6">
        <v>6421.9994099999994</v>
      </c>
      <c r="D78" s="6">
        <v>3300.3894099999998</v>
      </c>
      <c r="E78">
        <f t="shared" si="2"/>
        <v>3210.9997049999997</v>
      </c>
      <c r="F78">
        <f t="shared" si="3"/>
        <v>1650.1947049999999</v>
      </c>
    </row>
    <row r="79" spans="1:6" x14ac:dyDescent="0.25">
      <c r="A79" s="24">
        <v>45778</v>
      </c>
      <c r="B79" s="6">
        <v>1</v>
      </c>
      <c r="C79" s="6">
        <v>25577.274079999999</v>
      </c>
      <c r="D79" s="6">
        <v>9182.3640799999994</v>
      </c>
      <c r="E79">
        <f t="shared" si="2"/>
        <v>25577.274079999999</v>
      </c>
      <c r="F79">
        <f t="shared" si="3"/>
        <v>9182.3640799999994</v>
      </c>
    </row>
    <row r="80" spans="1:6" x14ac:dyDescent="0.25">
      <c r="A80" s="24">
        <v>45809</v>
      </c>
      <c r="B80" s="6">
        <v>2</v>
      </c>
      <c r="C80" s="6">
        <v>24508.54783</v>
      </c>
      <c r="D80" s="6">
        <v>4000.2678299999998</v>
      </c>
      <c r="E80">
        <f t="shared" si="2"/>
        <v>12254.273915</v>
      </c>
      <c r="F80">
        <f t="shared" si="3"/>
        <v>2000.1339149999999</v>
      </c>
    </row>
    <row r="81" spans="1:6" x14ac:dyDescent="0.25">
      <c r="A81" s="24">
        <v>45839</v>
      </c>
      <c r="B81" s="6">
        <v>1</v>
      </c>
      <c r="C81" s="6">
        <v>7173.3342799999991</v>
      </c>
      <c r="D81" s="6">
        <v>544.52427999999873</v>
      </c>
      <c r="E81">
        <f t="shared" si="2"/>
        <v>7173.3342799999991</v>
      </c>
      <c r="F81">
        <f t="shared" si="3"/>
        <v>544.52427999999873</v>
      </c>
    </row>
    <row r="82" spans="1:6" x14ac:dyDescent="0.25">
      <c r="A82" s="24">
        <v>45901</v>
      </c>
      <c r="B82" s="6">
        <v>2</v>
      </c>
      <c r="C82" s="6">
        <v>51941.755780000007</v>
      </c>
      <c r="D82" s="6">
        <v>23742.495780000005</v>
      </c>
      <c r="E82">
        <f t="shared" si="2"/>
        <v>25970.877890000003</v>
      </c>
      <c r="F82">
        <f t="shared" si="3"/>
        <v>11871.247890000002</v>
      </c>
    </row>
    <row r="83" spans="1:6" x14ac:dyDescent="0.25">
      <c r="A83" s="19" t="s">
        <v>726</v>
      </c>
      <c r="B83" s="6">
        <v>38</v>
      </c>
      <c r="C83" s="6">
        <v>576820.19091</v>
      </c>
      <c r="D83" s="6">
        <v>151076.93091</v>
      </c>
      <c r="E83">
        <f t="shared" si="2"/>
        <v>15179.478708157894</v>
      </c>
      <c r="F83">
        <f t="shared" si="3"/>
        <v>3975.7087081578948</v>
      </c>
    </row>
    <row r="84" spans="1:6" x14ac:dyDescent="0.25">
      <c r="A84" s="24">
        <v>44927</v>
      </c>
      <c r="B84" s="6">
        <v>2</v>
      </c>
      <c r="C84" s="6">
        <v>11648.643460000001</v>
      </c>
      <c r="D84" s="6">
        <v>4895.7234600000002</v>
      </c>
      <c r="E84">
        <f t="shared" si="2"/>
        <v>5824.3217300000006</v>
      </c>
      <c r="F84">
        <f t="shared" si="3"/>
        <v>2447.8617300000001</v>
      </c>
    </row>
    <row r="85" spans="1:6" x14ac:dyDescent="0.25">
      <c r="A85" s="24">
        <v>44958</v>
      </c>
      <c r="B85" s="6">
        <v>3</v>
      </c>
      <c r="C85" s="6">
        <v>62709.608090000002</v>
      </c>
      <c r="D85" s="6">
        <v>11638.808090000004</v>
      </c>
      <c r="E85">
        <f t="shared" si="2"/>
        <v>20903.202696666667</v>
      </c>
      <c r="F85">
        <f t="shared" si="3"/>
        <v>3879.6026966666682</v>
      </c>
    </row>
    <row r="86" spans="1:6" x14ac:dyDescent="0.25">
      <c r="A86" s="24">
        <v>44986</v>
      </c>
      <c r="B86" s="6">
        <v>2</v>
      </c>
      <c r="C86" s="6">
        <v>26276.645619999999</v>
      </c>
      <c r="D86" s="6">
        <v>3152.7756199999994</v>
      </c>
      <c r="E86">
        <f t="shared" si="2"/>
        <v>13138.32281</v>
      </c>
      <c r="F86">
        <f t="shared" si="3"/>
        <v>1576.3878099999997</v>
      </c>
    </row>
    <row r="87" spans="1:6" x14ac:dyDescent="0.25">
      <c r="A87" s="24">
        <v>45017</v>
      </c>
      <c r="B87" s="6">
        <v>1</v>
      </c>
      <c r="C87" s="6">
        <v>5457.4317000000001</v>
      </c>
      <c r="D87" s="6">
        <v>2617.8116999999997</v>
      </c>
      <c r="E87">
        <f t="shared" si="2"/>
        <v>5457.4317000000001</v>
      </c>
      <c r="F87">
        <f t="shared" si="3"/>
        <v>2617.8116999999997</v>
      </c>
    </row>
    <row r="88" spans="1:6" x14ac:dyDescent="0.25">
      <c r="A88" s="24">
        <v>45047</v>
      </c>
      <c r="B88" s="6">
        <v>1</v>
      </c>
      <c r="C88" s="6">
        <v>46450.26</v>
      </c>
      <c r="D88" s="6">
        <v>20471.22</v>
      </c>
      <c r="E88">
        <f t="shared" si="2"/>
        <v>46450.26</v>
      </c>
      <c r="F88">
        <f t="shared" si="3"/>
        <v>20471.22</v>
      </c>
    </row>
    <row r="89" spans="1:6" x14ac:dyDescent="0.25">
      <c r="A89" s="24">
        <v>45108</v>
      </c>
      <c r="B89" s="6">
        <v>1</v>
      </c>
      <c r="C89" s="6">
        <v>19581.87</v>
      </c>
      <c r="D89" s="6">
        <v>10770.829999999998</v>
      </c>
      <c r="E89">
        <f t="shared" si="2"/>
        <v>19581.87</v>
      </c>
      <c r="F89">
        <f t="shared" si="3"/>
        <v>10770.829999999998</v>
      </c>
    </row>
    <row r="90" spans="1:6" x14ac:dyDescent="0.25">
      <c r="A90" s="24">
        <v>45139</v>
      </c>
      <c r="B90" s="6">
        <v>1</v>
      </c>
      <c r="C90" s="6">
        <v>8671.7354400000004</v>
      </c>
      <c r="D90" s="6">
        <v>-231.24455999999918</v>
      </c>
      <c r="E90">
        <f t="shared" si="2"/>
        <v>8671.7354400000004</v>
      </c>
      <c r="F90">
        <f t="shared" si="3"/>
        <v>-231.24455999999918</v>
      </c>
    </row>
    <row r="91" spans="1:6" x14ac:dyDescent="0.25">
      <c r="A91" s="24">
        <v>45170</v>
      </c>
      <c r="B91" s="6">
        <v>2</v>
      </c>
      <c r="C91" s="6">
        <v>31130.741829999995</v>
      </c>
      <c r="D91" s="6">
        <v>9376.0818299999974</v>
      </c>
      <c r="E91">
        <f t="shared" si="2"/>
        <v>15565.370914999998</v>
      </c>
      <c r="F91">
        <f t="shared" si="3"/>
        <v>4688.0409149999987</v>
      </c>
    </row>
    <row r="92" spans="1:6" x14ac:dyDescent="0.25">
      <c r="A92" s="24">
        <v>45261</v>
      </c>
      <c r="B92" s="6">
        <v>2</v>
      </c>
      <c r="C92" s="6">
        <v>27408.395089999998</v>
      </c>
      <c r="D92" s="6">
        <v>4502.3150899999964</v>
      </c>
      <c r="E92">
        <f t="shared" si="2"/>
        <v>13704.197544999999</v>
      </c>
      <c r="F92">
        <f t="shared" si="3"/>
        <v>2251.1575449999982</v>
      </c>
    </row>
    <row r="93" spans="1:6" x14ac:dyDescent="0.25">
      <c r="A93" s="24">
        <v>45292</v>
      </c>
      <c r="B93" s="6">
        <v>1</v>
      </c>
      <c r="C93" s="6">
        <v>23195.01828</v>
      </c>
      <c r="D93" s="6">
        <v>9388.5682799999995</v>
      </c>
      <c r="E93">
        <f t="shared" si="2"/>
        <v>23195.01828</v>
      </c>
      <c r="F93">
        <f t="shared" si="3"/>
        <v>9388.5682799999995</v>
      </c>
    </row>
    <row r="94" spans="1:6" x14ac:dyDescent="0.25">
      <c r="A94" s="24">
        <v>45323</v>
      </c>
      <c r="B94" s="6">
        <v>1</v>
      </c>
      <c r="C94" s="6">
        <v>9774.3888000000006</v>
      </c>
      <c r="D94" s="6">
        <v>1668.5088000000005</v>
      </c>
      <c r="E94">
        <f t="shared" si="2"/>
        <v>9774.3888000000006</v>
      </c>
      <c r="F94">
        <f t="shared" si="3"/>
        <v>1668.5088000000005</v>
      </c>
    </row>
    <row r="95" spans="1:6" x14ac:dyDescent="0.25">
      <c r="A95" s="24">
        <v>45383</v>
      </c>
      <c r="B95" s="6">
        <v>2</v>
      </c>
      <c r="C95" s="6">
        <v>21545.185250000002</v>
      </c>
      <c r="D95" s="6">
        <v>9874.9852499999997</v>
      </c>
      <c r="E95">
        <f t="shared" si="2"/>
        <v>10772.592625000001</v>
      </c>
      <c r="F95">
        <f t="shared" si="3"/>
        <v>4937.4926249999999</v>
      </c>
    </row>
    <row r="96" spans="1:6" x14ac:dyDescent="0.25">
      <c r="A96" s="24">
        <v>45413</v>
      </c>
      <c r="B96" s="6">
        <v>1</v>
      </c>
      <c r="C96" s="6">
        <v>6899.8804600000003</v>
      </c>
      <c r="D96" s="6">
        <v>-400.379539999999</v>
      </c>
      <c r="E96">
        <f t="shared" si="2"/>
        <v>6899.8804600000003</v>
      </c>
      <c r="F96">
        <f t="shared" si="3"/>
        <v>-400.379539999999</v>
      </c>
    </row>
    <row r="97" spans="1:6" x14ac:dyDescent="0.25">
      <c r="A97" s="24">
        <v>45444</v>
      </c>
      <c r="B97" s="6">
        <v>1</v>
      </c>
      <c r="C97" s="6">
        <v>58526.83122</v>
      </c>
      <c r="D97" s="6">
        <v>11385.971219999999</v>
      </c>
      <c r="E97">
        <f t="shared" si="2"/>
        <v>58526.83122</v>
      </c>
      <c r="F97">
        <f t="shared" si="3"/>
        <v>11385.971219999999</v>
      </c>
    </row>
    <row r="98" spans="1:6" x14ac:dyDescent="0.25">
      <c r="A98" s="24">
        <v>45474</v>
      </c>
      <c r="B98" s="6">
        <v>1</v>
      </c>
      <c r="C98" s="6">
        <v>22526.66</v>
      </c>
      <c r="D98" s="6">
        <v>5313.6899999999987</v>
      </c>
      <c r="E98">
        <f t="shared" si="2"/>
        <v>22526.66</v>
      </c>
      <c r="F98">
        <f t="shared" si="3"/>
        <v>5313.6899999999987</v>
      </c>
    </row>
    <row r="99" spans="1:6" x14ac:dyDescent="0.25">
      <c r="A99" s="24">
        <v>45505</v>
      </c>
      <c r="B99" s="6">
        <v>3</v>
      </c>
      <c r="C99" s="6">
        <v>63216.917750000008</v>
      </c>
      <c r="D99" s="6">
        <v>16935.817750000002</v>
      </c>
      <c r="E99">
        <f t="shared" si="2"/>
        <v>21072.305916666668</v>
      </c>
      <c r="F99">
        <f t="shared" si="3"/>
        <v>5645.2725833333343</v>
      </c>
    </row>
    <row r="100" spans="1:6" x14ac:dyDescent="0.25">
      <c r="A100" s="24">
        <v>45536</v>
      </c>
      <c r="B100" s="6">
        <v>2</v>
      </c>
      <c r="C100" s="6">
        <v>18252.859980000001</v>
      </c>
      <c r="D100" s="6">
        <v>4556.6899799999992</v>
      </c>
      <c r="E100">
        <f t="shared" si="2"/>
        <v>9126.4299900000005</v>
      </c>
      <c r="F100">
        <f t="shared" si="3"/>
        <v>2278.3449899999996</v>
      </c>
    </row>
    <row r="101" spans="1:6" x14ac:dyDescent="0.25">
      <c r="A101" s="24">
        <v>45597</v>
      </c>
      <c r="B101" s="6">
        <v>1</v>
      </c>
      <c r="C101" s="6">
        <v>14894.903999999999</v>
      </c>
      <c r="D101" s="6">
        <v>3262.0239999999994</v>
      </c>
      <c r="E101">
        <f t="shared" si="2"/>
        <v>14894.903999999999</v>
      </c>
      <c r="F101">
        <f t="shared" si="3"/>
        <v>3262.0239999999994</v>
      </c>
    </row>
    <row r="102" spans="1:6" x14ac:dyDescent="0.25">
      <c r="A102" s="24">
        <v>45627</v>
      </c>
      <c r="B102" s="6">
        <v>3</v>
      </c>
      <c r="C102" s="6">
        <v>36066.265759999995</v>
      </c>
      <c r="D102" s="6">
        <v>-2477.9942400000073</v>
      </c>
      <c r="E102">
        <f t="shared" si="2"/>
        <v>12022.088586666665</v>
      </c>
      <c r="F102">
        <f t="shared" si="3"/>
        <v>-825.99808000000246</v>
      </c>
    </row>
    <row r="103" spans="1:6" x14ac:dyDescent="0.25">
      <c r="A103" s="24">
        <v>45689</v>
      </c>
      <c r="B103" s="6">
        <v>2</v>
      </c>
      <c r="C103" s="6">
        <v>33682.301550000004</v>
      </c>
      <c r="D103" s="6">
        <v>15819.11155</v>
      </c>
      <c r="E103">
        <f t="shared" si="2"/>
        <v>16841.150775000002</v>
      </c>
      <c r="F103">
        <f t="shared" si="3"/>
        <v>7909.5557749999998</v>
      </c>
    </row>
    <row r="104" spans="1:6" x14ac:dyDescent="0.25">
      <c r="A104" s="24">
        <v>45717</v>
      </c>
      <c r="B104" s="6">
        <v>1</v>
      </c>
      <c r="C104" s="6">
        <v>741.43835999999999</v>
      </c>
      <c r="D104" s="6">
        <v>257.89835999999997</v>
      </c>
      <c r="E104">
        <f t="shared" si="2"/>
        <v>741.43835999999999</v>
      </c>
      <c r="F104">
        <f t="shared" si="3"/>
        <v>257.89835999999997</v>
      </c>
    </row>
    <row r="105" spans="1:6" x14ac:dyDescent="0.25">
      <c r="A105" s="24">
        <v>45748</v>
      </c>
      <c r="B105" s="6">
        <v>1</v>
      </c>
      <c r="C105" s="6">
        <v>524.81174999999996</v>
      </c>
      <c r="D105" s="6">
        <v>176.21174999999999</v>
      </c>
      <c r="E105">
        <f t="shared" si="2"/>
        <v>524.81174999999996</v>
      </c>
      <c r="F105">
        <f t="shared" si="3"/>
        <v>176.21174999999999</v>
      </c>
    </row>
    <row r="106" spans="1:6" x14ac:dyDescent="0.25">
      <c r="A106" s="24">
        <v>45809</v>
      </c>
      <c r="B106" s="6">
        <v>1</v>
      </c>
      <c r="C106" s="6">
        <v>4804.4682400000002</v>
      </c>
      <c r="D106" s="6">
        <v>-2304.3217600000007</v>
      </c>
      <c r="E106">
        <f t="shared" si="2"/>
        <v>4804.4682400000002</v>
      </c>
      <c r="F106">
        <f t="shared" si="3"/>
        <v>-2304.3217600000007</v>
      </c>
    </row>
    <row r="107" spans="1:6" x14ac:dyDescent="0.25">
      <c r="A107" s="24">
        <v>45839</v>
      </c>
      <c r="B107" s="6">
        <v>1</v>
      </c>
      <c r="C107" s="6">
        <v>9647.3852800000004</v>
      </c>
      <c r="D107" s="6">
        <v>3791.7852800000001</v>
      </c>
      <c r="E107">
        <f t="shared" si="2"/>
        <v>9647.3852800000004</v>
      </c>
      <c r="F107">
        <f t="shared" si="3"/>
        <v>3791.7852800000001</v>
      </c>
    </row>
    <row r="108" spans="1:6" x14ac:dyDescent="0.25">
      <c r="A108" s="24">
        <v>45901</v>
      </c>
      <c r="B108" s="6">
        <v>1</v>
      </c>
      <c r="C108" s="6">
        <v>13185.543</v>
      </c>
      <c r="D108" s="6">
        <v>6634.0429999999997</v>
      </c>
      <c r="E108">
        <f t="shared" si="2"/>
        <v>13185.543</v>
      </c>
      <c r="F108">
        <f t="shared" si="3"/>
        <v>6634.0429999999997</v>
      </c>
    </row>
    <row r="109" spans="1:6" x14ac:dyDescent="0.25">
      <c r="A109" s="19" t="s">
        <v>718</v>
      </c>
      <c r="B109" s="6">
        <v>34</v>
      </c>
      <c r="C109" s="6">
        <v>543846.44053000014</v>
      </c>
      <c r="D109" s="6">
        <v>204981.34052999999</v>
      </c>
      <c r="E109">
        <f t="shared" si="2"/>
        <v>15995.483545000005</v>
      </c>
      <c r="F109">
        <f t="shared" si="3"/>
        <v>6028.8629567647058</v>
      </c>
    </row>
    <row r="110" spans="1:6" x14ac:dyDescent="0.25">
      <c r="A110" s="24">
        <v>45017</v>
      </c>
      <c r="B110" s="6">
        <v>4</v>
      </c>
      <c r="C110" s="6">
        <v>69113.110860000001</v>
      </c>
      <c r="D110" s="6">
        <v>31174.07086</v>
      </c>
      <c r="E110">
        <f t="shared" si="2"/>
        <v>17278.277715</v>
      </c>
      <c r="F110">
        <f t="shared" si="3"/>
        <v>7793.517715</v>
      </c>
    </row>
    <row r="111" spans="1:6" x14ac:dyDescent="0.25">
      <c r="A111" s="24">
        <v>45047</v>
      </c>
      <c r="B111" s="6">
        <v>3</v>
      </c>
      <c r="C111" s="6">
        <v>43453.410560000004</v>
      </c>
      <c r="D111" s="6">
        <v>18489.250560000004</v>
      </c>
      <c r="E111">
        <f t="shared" si="2"/>
        <v>14484.470186666667</v>
      </c>
      <c r="F111">
        <f t="shared" si="3"/>
        <v>6163.083520000001</v>
      </c>
    </row>
    <row r="112" spans="1:6" x14ac:dyDescent="0.25">
      <c r="A112" s="24">
        <v>45078</v>
      </c>
      <c r="B112" s="6">
        <v>2</v>
      </c>
      <c r="C112" s="6">
        <v>14738.614239999999</v>
      </c>
      <c r="D112" s="6">
        <v>4959.6842400000005</v>
      </c>
      <c r="E112">
        <f t="shared" si="2"/>
        <v>7369.3071199999995</v>
      </c>
      <c r="F112">
        <f t="shared" si="3"/>
        <v>2479.8421200000003</v>
      </c>
    </row>
    <row r="113" spans="1:6" x14ac:dyDescent="0.25">
      <c r="A113" s="24">
        <v>45108</v>
      </c>
      <c r="B113" s="6">
        <v>1</v>
      </c>
      <c r="C113" s="6">
        <v>12462.65055</v>
      </c>
      <c r="D113" s="6">
        <v>5833.72055</v>
      </c>
      <c r="E113">
        <f t="shared" si="2"/>
        <v>12462.65055</v>
      </c>
      <c r="F113">
        <f t="shared" si="3"/>
        <v>5833.72055</v>
      </c>
    </row>
    <row r="114" spans="1:6" x14ac:dyDescent="0.25">
      <c r="A114" s="24">
        <v>45231</v>
      </c>
      <c r="B114" s="6">
        <v>1</v>
      </c>
      <c r="C114" s="6">
        <v>12954.358080000002</v>
      </c>
      <c r="D114" s="6">
        <v>6616.4780800000017</v>
      </c>
      <c r="E114">
        <f t="shared" si="2"/>
        <v>12954.358080000002</v>
      </c>
      <c r="F114">
        <f t="shared" si="3"/>
        <v>6616.4780800000017</v>
      </c>
    </row>
    <row r="115" spans="1:6" x14ac:dyDescent="0.25">
      <c r="A115" s="24">
        <v>45261</v>
      </c>
      <c r="B115" s="6">
        <v>1</v>
      </c>
      <c r="C115" s="6">
        <v>40476.013200000001</v>
      </c>
      <c r="D115" s="6">
        <v>21180.193200000002</v>
      </c>
      <c r="E115">
        <f t="shared" si="2"/>
        <v>40476.013200000001</v>
      </c>
      <c r="F115">
        <f t="shared" si="3"/>
        <v>21180.193200000002</v>
      </c>
    </row>
    <row r="116" spans="1:6" x14ac:dyDescent="0.25">
      <c r="A116" s="24">
        <v>45292</v>
      </c>
      <c r="B116" s="6">
        <v>3</v>
      </c>
      <c r="C116" s="6">
        <v>29196.022199999999</v>
      </c>
      <c r="D116" s="6">
        <v>-2681.4078000000009</v>
      </c>
      <c r="E116">
        <f t="shared" si="2"/>
        <v>9732.0074000000004</v>
      </c>
      <c r="F116">
        <f t="shared" si="3"/>
        <v>-893.80260000000033</v>
      </c>
    </row>
    <row r="117" spans="1:6" x14ac:dyDescent="0.25">
      <c r="A117" s="24">
        <v>45323</v>
      </c>
      <c r="B117" s="6">
        <v>1</v>
      </c>
      <c r="C117" s="6">
        <v>13450.74</v>
      </c>
      <c r="D117" s="6">
        <v>2487.7800000000007</v>
      </c>
      <c r="E117">
        <f t="shared" si="2"/>
        <v>13450.74</v>
      </c>
      <c r="F117">
        <f t="shared" si="3"/>
        <v>2487.7800000000007</v>
      </c>
    </row>
    <row r="118" spans="1:6" x14ac:dyDescent="0.25">
      <c r="A118" s="24">
        <v>45352</v>
      </c>
      <c r="B118" s="6">
        <v>1</v>
      </c>
      <c r="C118" s="6">
        <v>33938.142760000002</v>
      </c>
      <c r="D118" s="6">
        <v>15214.592760000003</v>
      </c>
      <c r="E118">
        <f t="shared" si="2"/>
        <v>33938.142760000002</v>
      </c>
      <c r="F118">
        <f t="shared" si="3"/>
        <v>15214.592760000003</v>
      </c>
    </row>
    <row r="119" spans="1:6" x14ac:dyDescent="0.25">
      <c r="A119" s="24">
        <v>45383</v>
      </c>
      <c r="B119" s="6">
        <v>1</v>
      </c>
      <c r="C119" s="6">
        <v>16219.34496</v>
      </c>
      <c r="D119" s="6">
        <v>7197.3949600000014</v>
      </c>
      <c r="E119">
        <f t="shared" si="2"/>
        <v>16219.34496</v>
      </c>
      <c r="F119">
        <f t="shared" si="3"/>
        <v>7197.3949600000014</v>
      </c>
    </row>
    <row r="120" spans="1:6" x14ac:dyDescent="0.25">
      <c r="A120" s="24">
        <v>45413</v>
      </c>
      <c r="B120" s="6">
        <v>2</v>
      </c>
      <c r="C120" s="6">
        <v>30970.913400000005</v>
      </c>
      <c r="D120" s="6">
        <v>13571.113400000002</v>
      </c>
      <c r="E120">
        <f t="shared" si="2"/>
        <v>15485.456700000002</v>
      </c>
      <c r="F120">
        <f t="shared" si="3"/>
        <v>6785.556700000001</v>
      </c>
    </row>
    <row r="121" spans="1:6" x14ac:dyDescent="0.25">
      <c r="A121" s="24">
        <v>45505</v>
      </c>
      <c r="B121" s="6">
        <v>1</v>
      </c>
      <c r="C121" s="6">
        <v>27331.829999999998</v>
      </c>
      <c r="D121" s="6">
        <v>14439.149999999998</v>
      </c>
      <c r="E121">
        <f t="shared" si="2"/>
        <v>27331.829999999998</v>
      </c>
      <c r="F121">
        <f t="shared" si="3"/>
        <v>14439.149999999998</v>
      </c>
    </row>
    <row r="122" spans="1:6" x14ac:dyDescent="0.25">
      <c r="A122" s="24">
        <v>45536</v>
      </c>
      <c r="B122" s="6">
        <v>1</v>
      </c>
      <c r="C122" s="6">
        <v>21664.440000000002</v>
      </c>
      <c r="D122" s="6">
        <v>9942.4500000000007</v>
      </c>
      <c r="E122">
        <f t="shared" si="2"/>
        <v>21664.440000000002</v>
      </c>
      <c r="F122">
        <f t="shared" si="3"/>
        <v>9942.4500000000007</v>
      </c>
    </row>
    <row r="123" spans="1:6" x14ac:dyDescent="0.25">
      <c r="A123" s="24">
        <v>45566</v>
      </c>
      <c r="B123" s="6">
        <v>2</v>
      </c>
      <c r="C123" s="6">
        <v>44468.934560000009</v>
      </c>
      <c r="D123" s="6">
        <v>19359.594560000009</v>
      </c>
      <c r="E123">
        <f t="shared" si="2"/>
        <v>22234.467280000004</v>
      </c>
      <c r="F123">
        <f t="shared" si="3"/>
        <v>9679.7972800000043</v>
      </c>
    </row>
    <row r="124" spans="1:6" x14ac:dyDescent="0.25">
      <c r="A124" s="24">
        <v>45597</v>
      </c>
      <c r="B124" s="6">
        <v>1</v>
      </c>
      <c r="C124" s="6">
        <v>4280.6786400000001</v>
      </c>
      <c r="D124" s="6">
        <v>1977.25864</v>
      </c>
      <c r="E124">
        <f t="shared" si="2"/>
        <v>4280.6786400000001</v>
      </c>
      <c r="F124">
        <f t="shared" si="3"/>
        <v>1977.25864</v>
      </c>
    </row>
    <row r="125" spans="1:6" x14ac:dyDescent="0.25">
      <c r="A125" s="24">
        <v>45627</v>
      </c>
      <c r="B125" s="6">
        <v>1</v>
      </c>
      <c r="C125" s="6">
        <v>2886.4496399999998</v>
      </c>
      <c r="D125" s="6">
        <v>542.16963999999962</v>
      </c>
      <c r="E125">
        <f t="shared" si="2"/>
        <v>2886.4496399999998</v>
      </c>
      <c r="F125">
        <f t="shared" si="3"/>
        <v>542.16963999999962</v>
      </c>
    </row>
    <row r="126" spans="1:6" x14ac:dyDescent="0.25">
      <c r="A126" s="24">
        <v>45658</v>
      </c>
      <c r="B126" s="6">
        <v>1</v>
      </c>
      <c r="C126" s="6">
        <v>4831.9464600000001</v>
      </c>
      <c r="D126" s="6">
        <v>1263.5064600000001</v>
      </c>
      <c r="E126">
        <f t="shared" si="2"/>
        <v>4831.9464600000001</v>
      </c>
      <c r="F126">
        <f t="shared" si="3"/>
        <v>1263.5064600000001</v>
      </c>
    </row>
    <row r="127" spans="1:6" x14ac:dyDescent="0.25">
      <c r="A127" s="24">
        <v>45717</v>
      </c>
      <c r="B127" s="6">
        <v>2</v>
      </c>
      <c r="C127" s="6">
        <v>37836.913499999995</v>
      </c>
      <c r="D127" s="6">
        <v>7557.4434999999958</v>
      </c>
      <c r="E127">
        <f t="shared" si="2"/>
        <v>18918.456749999998</v>
      </c>
      <c r="F127">
        <f t="shared" si="3"/>
        <v>3778.7217499999979</v>
      </c>
    </row>
    <row r="128" spans="1:6" x14ac:dyDescent="0.25">
      <c r="A128" s="24">
        <v>45748</v>
      </c>
      <c r="B128" s="6">
        <v>1</v>
      </c>
      <c r="C128" s="6">
        <v>20084.133720000002</v>
      </c>
      <c r="D128" s="6">
        <v>9517.3537200000028</v>
      </c>
      <c r="E128">
        <f t="shared" si="2"/>
        <v>20084.133720000002</v>
      </c>
      <c r="F128">
        <f t="shared" si="3"/>
        <v>9517.3537200000028</v>
      </c>
    </row>
    <row r="129" spans="1:6" x14ac:dyDescent="0.25">
      <c r="A129" s="24">
        <v>45809</v>
      </c>
      <c r="B129" s="6">
        <v>1</v>
      </c>
      <c r="C129" s="6">
        <v>20455.985130000001</v>
      </c>
      <c r="D129" s="6">
        <v>10919.815130000001</v>
      </c>
      <c r="E129">
        <f t="shared" si="2"/>
        <v>20455.985130000001</v>
      </c>
      <c r="F129">
        <f t="shared" si="3"/>
        <v>10919.815130000001</v>
      </c>
    </row>
    <row r="130" spans="1:6" x14ac:dyDescent="0.25">
      <c r="A130" s="24">
        <v>45870</v>
      </c>
      <c r="B130" s="6">
        <v>3</v>
      </c>
      <c r="C130" s="6">
        <v>43031.808069999999</v>
      </c>
      <c r="D130" s="6">
        <v>5419.7280700000001</v>
      </c>
      <c r="E130">
        <f t="shared" si="2"/>
        <v>14343.936023333334</v>
      </c>
      <c r="F130">
        <f t="shared" si="3"/>
        <v>1806.5760233333333</v>
      </c>
    </row>
    <row r="131" spans="1:6" x14ac:dyDescent="0.25">
      <c r="A131" s="19" t="s">
        <v>721</v>
      </c>
      <c r="B131" s="6">
        <v>51</v>
      </c>
      <c r="C131" s="6">
        <v>812637.17232000001</v>
      </c>
      <c r="D131" s="6">
        <v>251733.01232000001</v>
      </c>
      <c r="E131">
        <f t="shared" si="2"/>
        <v>15934.062202352941</v>
      </c>
      <c r="F131">
        <f t="shared" si="3"/>
        <v>4935.9414180392159</v>
      </c>
    </row>
    <row r="132" spans="1:6" x14ac:dyDescent="0.25">
      <c r="A132" s="24">
        <v>44927</v>
      </c>
      <c r="B132" s="6">
        <v>1</v>
      </c>
      <c r="C132" s="6">
        <v>2231.6467200000002</v>
      </c>
      <c r="D132" s="6">
        <v>1024.7667200000001</v>
      </c>
      <c r="E132">
        <f t="shared" si="2"/>
        <v>2231.6467200000002</v>
      </c>
      <c r="F132">
        <f t="shared" si="3"/>
        <v>1024.7667200000001</v>
      </c>
    </row>
    <row r="133" spans="1:6" x14ac:dyDescent="0.25">
      <c r="A133" s="24">
        <v>44958</v>
      </c>
      <c r="B133" s="6">
        <v>1</v>
      </c>
      <c r="C133" s="6">
        <v>2795.6384399999997</v>
      </c>
      <c r="D133" s="6">
        <v>679.73844000000008</v>
      </c>
      <c r="E133">
        <f t="shared" ref="E133:E196" si="4">IF(B133=0,"",C133/B133)</f>
        <v>2795.6384399999997</v>
      </c>
      <c r="F133">
        <f t="shared" ref="F133:F196" si="5">IF(B133=0,"",D133/B133)</f>
        <v>679.73844000000008</v>
      </c>
    </row>
    <row r="134" spans="1:6" x14ac:dyDescent="0.25">
      <c r="A134" s="24">
        <v>45047</v>
      </c>
      <c r="B134" s="6">
        <v>2</v>
      </c>
      <c r="C134" s="6">
        <v>11283.786180000001</v>
      </c>
      <c r="D134" s="6">
        <v>5115.7561800000003</v>
      </c>
      <c r="E134">
        <f t="shared" si="4"/>
        <v>5641.8930900000005</v>
      </c>
      <c r="F134">
        <f t="shared" si="5"/>
        <v>2557.8780900000002</v>
      </c>
    </row>
    <row r="135" spans="1:6" x14ac:dyDescent="0.25">
      <c r="A135" s="24">
        <v>45078</v>
      </c>
      <c r="B135" s="6">
        <v>3</v>
      </c>
      <c r="C135" s="6">
        <v>9584.5821600000017</v>
      </c>
      <c r="D135" s="6">
        <v>3384.2821600000002</v>
      </c>
      <c r="E135">
        <f t="shared" si="4"/>
        <v>3194.8607200000006</v>
      </c>
      <c r="F135">
        <f t="shared" si="5"/>
        <v>1128.0940533333335</v>
      </c>
    </row>
    <row r="136" spans="1:6" x14ac:dyDescent="0.25">
      <c r="A136" s="24">
        <v>45108</v>
      </c>
      <c r="B136" s="6">
        <v>3</v>
      </c>
      <c r="C136" s="6">
        <v>69082.45594</v>
      </c>
      <c r="D136" s="6">
        <v>16404.075940000002</v>
      </c>
      <c r="E136">
        <f t="shared" si="4"/>
        <v>23027.485313333334</v>
      </c>
      <c r="F136">
        <f t="shared" si="5"/>
        <v>5468.0253133333345</v>
      </c>
    </row>
    <row r="137" spans="1:6" x14ac:dyDescent="0.25">
      <c r="A137" s="24">
        <v>45139</v>
      </c>
      <c r="B137" s="6">
        <v>2</v>
      </c>
      <c r="C137" s="6">
        <v>15955.52744</v>
      </c>
      <c r="D137" s="6">
        <v>6988.6674400000002</v>
      </c>
      <c r="E137">
        <f t="shared" si="4"/>
        <v>7977.7637199999999</v>
      </c>
      <c r="F137">
        <f t="shared" si="5"/>
        <v>3494.3337200000001</v>
      </c>
    </row>
    <row r="138" spans="1:6" x14ac:dyDescent="0.25">
      <c r="A138" s="24">
        <v>45200</v>
      </c>
      <c r="B138" s="6">
        <v>1</v>
      </c>
      <c r="C138" s="6">
        <v>8907.6924999999992</v>
      </c>
      <c r="D138" s="6">
        <v>4140.392499999999</v>
      </c>
      <c r="E138">
        <f t="shared" si="4"/>
        <v>8907.6924999999992</v>
      </c>
      <c r="F138">
        <f t="shared" si="5"/>
        <v>4140.392499999999</v>
      </c>
    </row>
    <row r="139" spans="1:6" x14ac:dyDescent="0.25">
      <c r="A139" s="24">
        <v>45231</v>
      </c>
      <c r="B139" s="6">
        <v>1</v>
      </c>
      <c r="C139" s="6">
        <v>7643.2649999999994</v>
      </c>
      <c r="D139" s="6">
        <v>3973.7249999999995</v>
      </c>
      <c r="E139">
        <f t="shared" si="4"/>
        <v>7643.2649999999994</v>
      </c>
      <c r="F139">
        <f t="shared" si="5"/>
        <v>3973.7249999999995</v>
      </c>
    </row>
    <row r="140" spans="1:6" x14ac:dyDescent="0.25">
      <c r="A140" s="24">
        <v>45261</v>
      </c>
      <c r="B140" s="6">
        <v>1</v>
      </c>
      <c r="C140" s="6">
        <v>20797.98</v>
      </c>
      <c r="D140" s="6">
        <v>7885.92</v>
      </c>
      <c r="E140">
        <f t="shared" si="4"/>
        <v>20797.98</v>
      </c>
      <c r="F140">
        <f t="shared" si="5"/>
        <v>7885.92</v>
      </c>
    </row>
    <row r="141" spans="1:6" x14ac:dyDescent="0.25">
      <c r="A141" s="24">
        <v>45292</v>
      </c>
      <c r="B141" s="6">
        <v>1</v>
      </c>
      <c r="C141" s="6">
        <v>26765.040239999998</v>
      </c>
      <c r="D141" s="6">
        <v>12392.940239999998</v>
      </c>
      <c r="E141">
        <f t="shared" si="4"/>
        <v>26765.040239999998</v>
      </c>
      <c r="F141">
        <f t="shared" si="5"/>
        <v>12392.940239999998</v>
      </c>
    </row>
    <row r="142" spans="1:6" x14ac:dyDescent="0.25">
      <c r="A142" s="24">
        <v>45323</v>
      </c>
      <c r="B142" s="6">
        <v>2</v>
      </c>
      <c r="C142" s="6">
        <v>26479.100780000001</v>
      </c>
      <c r="D142" s="6">
        <v>3052.540780000003</v>
      </c>
      <c r="E142">
        <f t="shared" si="4"/>
        <v>13239.55039</v>
      </c>
      <c r="F142">
        <f t="shared" si="5"/>
        <v>1526.2703900000015</v>
      </c>
    </row>
    <row r="143" spans="1:6" x14ac:dyDescent="0.25">
      <c r="A143" s="24">
        <v>45352</v>
      </c>
      <c r="B143" s="6">
        <v>2</v>
      </c>
      <c r="C143" s="6">
        <v>21215.173559999999</v>
      </c>
      <c r="D143" s="6">
        <v>353.13356000000158</v>
      </c>
      <c r="E143">
        <f t="shared" si="4"/>
        <v>10607.58678</v>
      </c>
      <c r="F143">
        <f t="shared" si="5"/>
        <v>176.56678000000079</v>
      </c>
    </row>
    <row r="144" spans="1:6" x14ac:dyDescent="0.25">
      <c r="A144" s="24">
        <v>45413</v>
      </c>
      <c r="B144" s="6">
        <v>3</v>
      </c>
      <c r="C144" s="6">
        <v>38733.964379999998</v>
      </c>
      <c r="D144" s="6">
        <v>13779.384379999998</v>
      </c>
      <c r="E144">
        <f t="shared" si="4"/>
        <v>12911.321459999999</v>
      </c>
      <c r="F144">
        <f t="shared" si="5"/>
        <v>4593.1281266666656</v>
      </c>
    </row>
    <row r="145" spans="1:6" x14ac:dyDescent="0.25">
      <c r="A145" s="24">
        <v>45444</v>
      </c>
      <c r="B145" s="6">
        <v>2</v>
      </c>
      <c r="C145" s="6">
        <v>103505.91825000002</v>
      </c>
      <c r="D145" s="6">
        <v>49372.558250000009</v>
      </c>
      <c r="E145">
        <f t="shared" si="4"/>
        <v>51752.959125000008</v>
      </c>
      <c r="F145">
        <f t="shared" si="5"/>
        <v>24686.279125000005</v>
      </c>
    </row>
    <row r="146" spans="1:6" x14ac:dyDescent="0.25">
      <c r="A146" s="24">
        <v>45474</v>
      </c>
      <c r="B146" s="6">
        <v>3</v>
      </c>
      <c r="C146" s="6">
        <v>24158.32186</v>
      </c>
      <c r="D146" s="6">
        <v>-520.39813999999865</v>
      </c>
      <c r="E146">
        <f t="shared" si="4"/>
        <v>8052.7739533333333</v>
      </c>
      <c r="F146">
        <f t="shared" si="5"/>
        <v>-173.46604666666622</v>
      </c>
    </row>
    <row r="147" spans="1:6" x14ac:dyDescent="0.25">
      <c r="A147" s="24">
        <v>45505</v>
      </c>
      <c r="B147" s="6">
        <v>1</v>
      </c>
      <c r="C147" s="6">
        <v>2525.0635000000002</v>
      </c>
      <c r="D147" s="6">
        <v>1375.2635000000002</v>
      </c>
      <c r="E147">
        <f t="shared" si="4"/>
        <v>2525.0635000000002</v>
      </c>
      <c r="F147">
        <f t="shared" si="5"/>
        <v>1375.2635000000002</v>
      </c>
    </row>
    <row r="148" spans="1:6" x14ac:dyDescent="0.25">
      <c r="A148" s="24">
        <v>45536</v>
      </c>
      <c r="B148" s="6">
        <v>1</v>
      </c>
      <c r="C148" s="6">
        <v>25249.613219999999</v>
      </c>
      <c r="D148" s="6">
        <v>-5343.5467799999969</v>
      </c>
      <c r="E148">
        <f t="shared" si="4"/>
        <v>25249.613219999999</v>
      </c>
      <c r="F148">
        <f t="shared" si="5"/>
        <v>-5343.5467799999969</v>
      </c>
    </row>
    <row r="149" spans="1:6" x14ac:dyDescent="0.25">
      <c r="A149" s="24">
        <v>45566</v>
      </c>
      <c r="B149" s="6">
        <v>3</v>
      </c>
      <c r="C149" s="6">
        <v>68034.500350000002</v>
      </c>
      <c r="D149" s="6">
        <v>18347.01035</v>
      </c>
      <c r="E149">
        <f t="shared" si="4"/>
        <v>22678.166783333334</v>
      </c>
      <c r="F149">
        <f t="shared" si="5"/>
        <v>6115.6701166666671</v>
      </c>
    </row>
    <row r="150" spans="1:6" x14ac:dyDescent="0.25">
      <c r="A150" s="24">
        <v>45597</v>
      </c>
      <c r="B150" s="6">
        <v>2</v>
      </c>
      <c r="C150" s="6">
        <v>12650.323199999999</v>
      </c>
      <c r="D150" s="6">
        <v>-2149.9168000000004</v>
      </c>
      <c r="E150">
        <f t="shared" si="4"/>
        <v>6325.1615999999995</v>
      </c>
      <c r="F150">
        <f t="shared" si="5"/>
        <v>-1074.9584000000002</v>
      </c>
    </row>
    <row r="151" spans="1:6" x14ac:dyDescent="0.25">
      <c r="A151" s="24">
        <v>45627</v>
      </c>
      <c r="B151" s="6">
        <v>2</v>
      </c>
      <c r="C151" s="6">
        <v>71079.6636</v>
      </c>
      <c r="D151" s="6">
        <v>35852.993599999994</v>
      </c>
      <c r="E151">
        <f t="shared" si="4"/>
        <v>35539.8318</v>
      </c>
      <c r="F151">
        <f t="shared" si="5"/>
        <v>17926.496799999997</v>
      </c>
    </row>
    <row r="152" spans="1:6" x14ac:dyDescent="0.25">
      <c r="A152" s="24">
        <v>45658</v>
      </c>
      <c r="B152" s="6">
        <v>2</v>
      </c>
      <c r="C152" s="6">
        <v>18202.551099999997</v>
      </c>
      <c r="D152" s="6">
        <v>-9710.5489000000016</v>
      </c>
      <c r="E152">
        <f t="shared" si="4"/>
        <v>9101.2755499999985</v>
      </c>
      <c r="F152">
        <f t="shared" si="5"/>
        <v>-4855.2744500000008</v>
      </c>
    </row>
    <row r="153" spans="1:6" x14ac:dyDescent="0.25">
      <c r="A153" s="24">
        <v>45689</v>
      </c>
      <c r="B153" s="6">
        <v>1</v>
      </c>
      <c r="C153" s="6">
        <v>33200.038079999998</v>
      </c>
      <c r="D153" s="6">
        <v>18127.018079999998</v>
      </c>
      <c r="E153">
        <f t="shared" si="4"/>
        <v>33200.038079999998</v>
      </c>
      <c r="F153">
        <f t="shared" si="5"/>
        <v>18127.018079999998</v>
      </c>
    </row>
    <row r="154" spans="1:6" x14ac:dyDescent="0.25">
      <c r="A154" s="24">
        <v>45717</v>
      </c>
      <c r="B154" s="6">
        <v>1</v>
      </c>
      <c r="C154" s="6">
        <v>10189.8891</v>
      </c>
      <c r="D154" s="6">
        <v>1219.3191000000006</v>
      </c>
      <c r="E154">
        <f t="shared" si="4"/>
        <v>10189.8891</v>
      </c>
      <c r="F154">
        <f t="shared" si="5"/>
        <v>1219.3191000000006</v>
      </c>
    </row>
    <row r="155" spans="1:6" x14ac:dyDescent="0.25">
      <c r="A155" s="24">
        <v>45748</v>
      </c>
      <c r="B155" s="6">
        <v>4</v>
      </c>
      <c r="C155" s="6">
        <v>64340.731619999991</v>
      </c>
      <c r="D155" s="6">
        <v>11884.491619999993</v>
      </c>
      <c r="E155">
        <f t="shared" si="4"/>
        <v>16085.182904999998</v>
      </c>
      <c r="F155">
        <f t="shared" si="5"/>
        <v>2971.1229049999984</v>
      </c>
    </row>
    <row r="156" spans="1:6" x14ac:dyDescent="0.25">
      <c r="A156" s="24">
        <v>45778</v>
      </c>
      <c r="B156" s="6">
        <v>3</v>
      </c>
      <c r="C156" s="6">
        <v>61240.570739999996</v>
      </c>
      <c r="D156" s="6">
        <v>29509.910739999999</v>
      </c>
      <c r="E156">
        <f t="shared" si="4"/>
        <v>20413.523579999997</v>
      </c>
      <c r="F156">
        <f t="shared" si="5"/>
        <v>9836.6369133333337</v>
      </c>
    </row>
    <row r="157" spans="1:6" x14ac:dyDescent="0.25">
      <c r="A157" s="24">
        <v>45870</v>
      </c>
      <c r="B157" s="6">
        <v>2</v>
      </c>
      <c r="C157" s="6">
        <v>44970.530200000001</v>
      </c>
      <c r="D157" s="6">
        <v>22483.850200000001</v>
      </c>
      <c r="E157">
        <f t="shared" si="4"/>
        <v>22485.265100000001</v>
      </c>
      <c r="F157">
        <f t="shared" si="5"/>
        <v>11241.9251</v>
      </c>
    </row>
    <row r="158" spans="1:6" x14ac:dyDescent="0.25">
      <c r="A158" s="24">
        <v>45901</v>
      </c>
      <c r="B158" s="6">
        <v>1</v>
      </c>
      <c r="C158" s="6">
        <v>11813.604160000001</v>
      </c>
      <c r="D158" s="6">
        <v>2109.6841600000007</v>
      </c>
      <c r="E158">
        <f t="shared" si="4"/>
        <v>11813.604160000001</v>
      </c>
      <c r="F158">
        <f t="shared" si="5"/>
        <v>2109.6841600000007</v>
      </c>
    </row>
    <row r="159" spans="1:6" x14ac:dyDescent="0.25">
      <c r="A159" s="19" t="s">
        <v>715</v>
      </c>
      <c r="B159" s="6">
        <v>30</v>
      </c>
      <c r="C159" s="6">
        <v>510653.71305000008</v>
      </c>
      <c r="D159" s="6">
        <v>172441.87304999999</v>
      </c>
      <c r="E159">
        <f t="shared" si="4"/>
        <v>17021.790435000003</v>
      </c>
      <c r="F159">
        <f t="shared" si="5"/>
        <v>5748.0624349999998</v>
      </c>
    </row>
    <row r="160" spans="1:6" x14ac:dyDescent="0.25">
      <c r="A160" s="24">
        <v>44927</v>
      </c>
      <c r="B160" s="6">
        <v>2</v>
      </c>
      <c r="C160" s="6">
        <v>27977.699419999997</v>
      </c>
      <c r="D160" s="6">
        <v>11246.939419999999</v>
      </c>
      <c r="E160">
        <f t="shared" si="4"/>
        <v>13988.849709999999</v>
      </c>
      <c r="F160">
        <f t="shared" si="5"/>
        <v>5623.4697099999994</v>
      </c>
    </row>
    <row r="161" spans="1:6" x14ac:dyDescent="0.25">
      <c r="A161" s="24">
        <v>44986</v>
      </c>
      <c r="B161" s="6">
        <v>1</v>
      </c>
      <c r="C161" s="6">
        <v>24523.006720000001</v>
      </c>
      <c r="D161" s="6">
        <v>12734.366720000002</v>
      </c>
      <c r="E161">
        <f t="shared" si="4"/>
        <v>24523.006720000001</v>
      </c>
      <c r="F161">
        <f t="shared" si="5"/>
        <v>12734.366720000002</v>
      </c>
    </row>
    <row r="162" spans="1:6" x14ac:dyDescent="0.25">
      <c r="A162" s="24">
        <v>45017</v>
      </c>
      <c r="B162" s="6">
        <v>1</v>
      </c>
      <c r="C162" s="6">
        <v>1115.1975999999997</v>
      </c>
      <c r="D162" s="6">
        <v>408.99759999999969</v>
      </c>
      <c r="E162">
        <f t="shared" si="4"/>
        <v>1115.1975999999997</v>
      </c>
      <c r="F162">
        <f t="shared" si="5"/>
        <v>408.99759999999969</v>
      </c>
    </row>
    <row r="163" spans="1:6" x14ac:dyDescent="0.25">
      <c r="A163" s="24">
        <v>45047</v>
      </c>
      <c r="B163" s="6">
        <v>1</v>
      </c>
      <c r="C163" s="6">
        <v>23132.398349999996</v>
      </c>
      <c r="D163" s="6">
        <v>10922.848349999995</v>
      </c>
      <c r="E163">
        <f t="shared" si="4"/>
        <v>23132.398349999996</v>
      </c>
      <c r="F163">
        <f t="shared" si="5"/>
        <v>10922.848349999995</v>
      </c>
    </row>
    <row r="164" spans="1:6" x14ac:dyDescent="0.25">
      <c r="A164" s="24">
        <v>45108</v>
      </c>
      <c r="B164" s="6">
        <v>1</v>
      </c>
      <c r="C164" s="6">
        <v>18500.693520000001</v>
      </c>
      <c r="D164" s="6">
        <v>7152.6135200000008</v>
      </c>
      <c r="E164">
        <f t="shared" si="4"/>
        <v>18500.693520000001</v>
      </c>
      <c r="F164">
        <f t="shared" si="5"/>
        <v>7152.6135200000008</v>
      </c>
    </row>
    <row r="165" spans="1:6" x14ac:dyDescent="0.25">
      <c r="A165" s="24">
        <v>45139</v>
      </c>
      <c r="B165" s="6">
        <v>1</v>
      </c>
      <c r="C165" s="6">
        <v>21908.731650000002</v>
      </c>
      <c r="D165" s="6">
        <v>4910.9716500000031</v>
      </c>
      <c r="E165">
        <f t="shared" si="4"/>
        <v>21908.731650000002</v>
      </c>
      <c r="F165">
        <f t="shared" si="5"/>
        <v>4910.9716500000031</v>
      </c>
    </row>
    <row r="166" spans="1:6" x14ac:dyDescent="0.25">
      <c r="A166" s="24">
        <v>45200</v>
      </c>
      <c r="B166" s="6">
        <v>1</v>
      </c>
      <c r="C166" s="6">
        <v>6824.2884000000004</v>
      </c>
      <c r="D166" s="6">
        <v>1383.4284000000007</v>
      </c>
      <c r="E166">
        <f t="shared" si="4"/>
        <v>6824.2884000000004</v>
      </c>
      <c r="F166">
        <f t="shared" si="5"/>
        <v>1383.4284000000007</v>
      </c>
    </row>
    <row r="167" spans="1:6" x14ac:dyDescent="0.25">
      <c r="A167" s="24">
        <v>45292</v>
      </c>
      <c r="B167" s="6">
        <v>2</v>
      </c>
      <c r="C167" s="6">
        <v>56494.936400000006</v>
      </c>
      <c r="D167" s="6">
        <v>22174.066400000007</v>
      </c>
      <c r="E167">
        <f t="shared" si="4"/>
        <v>28247.468200000003</v>
      </c>
      <c r="F167">
        <f t="shared" si="5"/>
        <v>11087.033200000003</v>
      </c>
    </row>
    <row r="168" spans="1:6" x14ac:dyDescent="0.25">
      <c r="A168" s="24">
        <v>45323</v>
      </c>
      <c r="B168" s="6">
        <v>1</v>
      </c>
      <c r="C168" s="6">
        <v>15366.983199999999</v>
      </c>
      <c r="D168" s="6">
        <v>7085.4631999999983</v>
      </c>
      <c r="E168">
        <f t="shared" si="4"/>
        <v>15366.983199999999</v>
      </c>
      <c r="F168">
        <f t="shared" si="5"/>
        <v>7085.4631999999983</v>
      </c>
    </row>
    <row r="169" spans="1:6" x14ac:dyDescent="0.25">
      <c r="A169" s="24">
        <v>45352</v>
      </c>
      <c r="B169" s="6">
        <v>3</v>
      </c>
      <c r="C169" s="6">
        <v>54914.040399999998</v>
      </c>
      <c r="D169" s="6">
        <v>8622.4204000000027</v>
      </c>
      <c r="E169">
        <f t="shared" si="4"/>
        <v>18304.680133333331</v>
      </c>
      <c r="F169">
        <f t="shared" si="5"/>
        <v>2874.1401333333342</v>
      </c>
    </row>
    <row r="170" spans="1:6" x14ac:dyDescent="0.25">
      <c r="A170" s="24">
        <v>45413</v>
      </c>
      <c r="B170" s="6">
        <v>1</v>
      </c>
      <c r="C170" s="6">
        <v>1009.2969000000002</v>
      </c>
      <c r="D170" s="6">
        <v>-44.50309999999979</v>
      </c>
      <c r="E170">
        <f t="shared" si="4"/>
        <v>1009.2969000000002</v>
      </c>
      <c r="F170">
        <f t="shared" si="5"/>
        <v>-44.50309999999979</v>
      </c>
    </row>
    <row r="171" spans="1:6" x14ac:dyDescent="0.25">
      <c r="A171" s="24">
        <v>45444</v>
      </c>
      <c r="B171" s="6">
        <v>1</v>
      </c>
      <c r="C171" s="6">
        <v>45547.183360000003</v>
      </c>
      <c r="D171" s="6">
        <v>17820.683360000003</v>
      </c>
      <c r="E171">
        <f t="shared" si="4"/>
        <v>45547.183360000003</v>
      </c>
      <c r="F171">
        <f t="shared" si="5"/>
        <v>17820.683360000003</v>
      </c>
    </row>
    <row r="172" spans="1:6" x14ac:dyDescent="0.25">
      <c r="A172" s="24">
        <v>45474</v>
      </c>
      <c r="B172" s="6">
        <v>2</v>
      </c>
      <c r="C172" s="6">
        <v>42796.775679999999</v>
      </c>
      <c r="D172" s="6">
        <v>15728.735680000002</v>
      </c>
      <c r="E172">
        <f t="shared" si="4"/>
        <v>21398.387839999999</v>
      </c>
      <c r="F172">
        <f t="shared" si="5"/>
        <v>7864.3678400000008</v>
      </c>
    </row>
    <row r="173" spans="1:6" x14ac:dyDescent="0.25">
      <c r="A173" s="24">
        <v>45597</v>
      </c>
      <c r="B173" s="6">
        <v>1</v>
      </c>
      <c r="C173" s="6">
        <v>35567.737920000007</v>
      </c>
      <c r="D173" s="6">
        <v>9088.9779200000085</v>
      </c>
      <c r="E173">
        <f t="shared" si="4"/>
        <v>35567.737920000007</v>
      </c>
      <c r="F173">
        <f t="shared" si="5"/>
        <v>9088.9779200000085</v>
      </c>
    </row>
    <row r="174" spans="1:6" x14ac:dyDescent="0.25">
      <c r="A174" s="24">
        <v>45627</v>
      </c>
      <c r="B174" s="6">
        <v>1</v>
      </c>
      <c r="C174" s="6">
        <v>9805.8573800000013</v>
      </c>
      <c r="D174" s="6">
        <v>1380.8273800000024</v>
      </c>
      <c r="E174">
        <f t="shared" si="4"/>
        <v>9805.8573800000013</v>
      </c>
      <c r="F174">
        <f t="shared" si="5"/>
        <v>1380.8273800000024</v>
      </c>
    </row>
    <row r="175" spans="1:6" x14ac:dyDescent="0.25">
      <c r="A175" s="24">
        <v>45658</v>
      </c>
      <c r="B175" s="6">
        <v>1</v>
      </c>
      <c r="C175" s="6">
        <v>2117.4834999999998</v>
      </c>
      <c r="D175" s="6">
        <v>554.49349999999981</v>
      </c>
      <c r="E175">
        <f t="shared" si="4"/>
        <v>2117.4834999999998</v>
      </c>
      <c r="F175">
        <f t="shared" si="5"/>
        <v>554.49349999999981</v>
      </c>
    </row>
    <row r="176" spans="1:6" x14ac:dyDescent="0.25">
      <c r="A176" s="24">
        <v>45717</v>
      </c>
      <c r="B176" s="6">
        <v>3</v>
      </c>
      <c r="C176" s="6">
        <v>56947.33049</v>
      </c>
      <c r="D176" s="6">
        <v>10753.400490000004</v>
      </c>
      <c r="E176">
        <f t="shared" si="4"/>
        <v>18982.443496666667</v>
      </c>
      <c r="F176">
        <f t="shared" si="5"/>
        <v>3584.4668300000012</v>
      </c>
    </row>
    <row r="177" spans="1:6" x14ac:dyDescent="0.25">
      <c r="A177" s="24">
        <v>45748</v>
      </c>
      <c r="B177" s="6">
        <v>2</v>
      </c>
      <c r="C177" s="6">
        <v>5265.1394399999999</v>
      </c>
      <c r="D177" s="6">
        <v>2119.7194399999998</v>
      </c>
      <c r="E177">
        <f t="shared" si="4"/>
        <v>2632.56972</v>
      </c>
      <c r="F177">
        <f t="shared" si="5"/>
        <v>1059.8597199999999</v>
      </c>
    </row>
    <row r="178" spans="1:6" x14ac:dyDescent="0.25">
      <c r="A178" s="24">
        <v>45778</v>
      </c>
      <c r="B178" s="6">
        <v>1</v>
      </c>
      <c r="C178" s="6">
        <v>9586.8057599999993</v>
      </c>
      <c r="D178" s="6">
        <v>3824.6457599999994</v>
      </c>
      <c r="E178">
        <f t="shared" si="4"/>
        <v>9586.8057599999993</v>
      </c>
      <c r="F178">
        <f t="shared" si="5"/>
        <v>3824.6457599999994</v>
      </c>
    </row>
    <row r="179" spans="1:6" x14ac:dyDescent="0.25">
      <c r="A179" s="24">
        <v>45809</v>
      </c>
      <c r="B179" s="6">
        <v>2</v>
      </c>
      <c r="C179" s="6">
        <v>13155.942900000002</v>
      </c>
      <c r="D179" s="6">
        <v>5703.652900000001</v>
      </c>
      <c r="E179">
        <f t="shared" si="4"/>
        <v>6577.9714500000009</v>
      </c>
      <c r="F179">
        <f t="shared" si="5"/>
        <v>2851.8264500000005</v>
      </c>
    </row>
    <row r="180" spans="1:6" x14ac:dyDescent="0.25">
      <c r="A180" s="24">
        <v>45839</v>
      </c>
      <c r="B180" s="6">
        <v>1</v>
      </c>
      <c r="C180" s="6">
        <v>38096.18406</v>
      </c>
      <c r="D180" s="6">
        <v>18869.124059999998</v>
      </c>
      <c r="E180">
        <f t="shared" si="4"/>
        <v>38096.18406</v>
      </c>
      <c r="F180">
        <f t="shared" si="5"/>
        <v>18869.124059999998</v>
      </c>
    </row>
    <row r="181" spans="1:6" x14ac:dyDescent="0.25">
      <c r="A181" s="19" t="s">
        <v>722</v>
      </c>
      <c r="B181" s="6">
        <v>45</v>
      </c>
      <c r="C181" s="6">
        <v>697568.29853000003</v>
      </c>
      <c r="D181" s="6">
        <v>137020.80853000004</v>
      </c>
      <c r="E181">
        <f t="shared" si="4"/>
        <v>15501.517745111112</v>
      </c>
      <c r="F181">
        <f t="shared" si="5"/>
        <v>3044.9068562222233</v>
      </c>
    </row>
    <row r="182" spans="1:6" x14ac:dyDescent="0.25">
      <c r="A182" s="24">
        <v>44927</v>
      </c>
      <c r="B182" s="6">
        <v>1</v>
      </c>
      <c r="C182" s="6">
        <v>14963.769179999999</v>
      </c>
      <c r="D182" s="6">
        <v>-40.490820000000895</v>
      </c>
      <c r="E182">
        <f t="shared" si="4"/>
        <v>14963.769179999999</v>
      </c>
      <c r="F182">
        <f t="shared" si="5"/>
        <v>-40.490820000000895</v>
      </c>
    </row>
    <row r="183" spans="1:6" x14ac:dyDescent="0.25">
      <c r="A183" s="24">
        <v>44958</v>
      </c>
      <c r="B183" s="6">
        <v>1</v>
      </c>
      <c r="C183" s="6">
        <v>25502.910479999999</v>
      </c>
      <c r="D183" s="6">
        <v>3888.8704799999978</v>
      </c>
      <c r="E183">
        <f t="shared" si="4"/>
        <v>25502.910479999999</v>
      </c>
      <c r="F183">
        <f t="shared" si="5"/>
        <v>3888.8704799999978</v>
      </c>
    </row>
    <row r="184" spans="1:6" x14ac:dyDescent="0.25">
      <c r="A184" s="24">
        <v>45017</v>
      </c>
      <c r="B184" s="6">
        <v>2</v>
      </c>
      <c r="C184" s="6">
        <v>16842.459259999996</v>
      </c>
      <c r="D184" s="6">
        <v>-360.76074000000199</v>
      </c>
      <c r="E184">
        <f t="shared" si="4"/>
        <v>8421.229629999998</v>
      </c>
      <c r="F184">
        <f t="shared" si="5"/>
        <v>-180.38037000000099</v>
      </c>
    </row>
    <row r="185" spans="1:6" x14ac:dyDescent="0.25">
      <c r="A185" s="24">
        <v>45047</v>
      </c>
      <c r="B185" s="6">
        <v>1</v>
      </c>
      <c r="C185" s="6">
        <v>22064.910300000003</v>
      </c>
      <c r="D185" s="6">
        <v>-13932.289700000001</v>
      </c>
      <c r="E185">
        <f t="shared" si="4"/>
        <v>22064.910300000003</v>
      </c>
      <c r="F185">
        <f t="shared" si="5"/>
        <v>-13932.289700000001</v>
      </c>
    </row>
    <row r="186" spans="1:6" x14ac:dyDescent="0.25">
      <c r="A186" s="24">
        <v>45078</v>
      </c>
      <c r="B186" s="6">
        <v>1</v>
      </c>
      <c r="C186" s="6">
        <v>3799.8031499999997</v>
      </c>
      <c r="D186" s="6">
        <v>1117.1131499999997</v>
      </c>
      <c r="E186">
        <f t="shared" si="4"/>
        <v>3799.8031499999997</v>
      </c>
      <c r="F186">
        <f t="shared" si="5"/>
        <v>1117.1131499999997</v>
      </c>
    </row>
    <row r="187" spans="1:6" x14ac:dyDescent="0.25">
      <c r="A187" s="24">
        <v>45200</v>
      </c>
      <c r="B187" s="6">
        <v>1</v>
      </c>
      <c r="C187" s="6">
        <v>14527.748400000002</v>
      </c>
      <c r="D187" s="6">
        <v>3505.8484000000008</v>
      </c>
      <c r="E187">
        <f t="shared" si="4"/>
        <v>14527.748400000002</v>
      </c>
      <c r="F187">
        <f t="shared" si="5"/>
        <v>3505.8484000000008</v>
      </c>
    </row>
    <row r="188" spans="1:6" x14ac:dyDescent="0.25">
      <c r="A188" s="24">
        <v>45231</v>
      </c>
      <c r="B188" s="6">
        <v>2</v>
      </c>
      <c r="C188" s="6">
        <v>28593.438029999998</v>
      </c>
      <c r="D188" s="6">
        <v>10991.708029999998</v>
      </c>
      <c r="E188">
        <f t="shared" si="4"/>
        <v>14296.719014999999</v>
      </c>
      <c r="F188">
        <f t="shared" si="5"/>
        <v>5495.854014999999</v>
      </c>
    </row>
    <row r="189" spans="1:6" x14ac:dyDescent="0.25">
      <c r="A189" s="24">
        <v>45261</v>
      </c>
      <c r="B189" s="6">
        <v>1</v>
      </c>
      <c r="C189" s="6">
        <v>4139.8127999999997</v>
      </c>
      <c r="D189" s="6">
        <v>-2445.7271999999994</v>
      </c>
      <c r="E189">
        <f t="shared" si="4"/>
        <v>4139.8127999999997</v>
      </c>
      <c r="F189">
        <f t="shared" si="5"/>
        <v>-2445.7271999999994</v>
      </c>
    </row>
    <row r="190" spans="1:6" x14ac:dyDescent="0.25">
      <c r="A190" s="24">
        <v>45292</v>
      </c>
      <c r="B190" s="6">
        <v>1</v>
      </c>
      <c r="C190" s="6">
        <v>21585.15</v>
      </c>
      <c r="D190" s="6">
        <v>11932.200000000003</v>
      </c>
      <c r="E190">
        <f t="shared" si="4"/>
        <v>21585.15</v>
      </c>
      <c r="F190">
        <f t="shared" si="5"/>
        <v>11932.200000000003</v>
      </c>
    </row>
    <row r="191" spans="1:6" x14ac:dyDescent="0.25">
      <c r="A191" s="24">
        <v>45323</v>
      </c>
      <c r="B191" s="6">
        <v>3</v>
      </c>
      <c r="C191" s="6">
        <v>37868.755940000003</v>
      </c>
      <c r="D191" s="6">
        <v>8475.4959400000007</v>
      </c>
      <c r="E191">
        <f t="shared" si="4"/>
        <v>12622.918646666667</v>
      </c>
      <c r="F191">
        <f t="shared" si="5"/>
        <v>2825.1653133333334</v>
      </c>
    </row>
    <row r="192" spans="1:6" x14ac:dyDescent="0.25">
      <c r="A192" s="24">
        <v>45352</v>
      </c>
      <c r="B192" s="6">
        <v>1</v>
      </c>
      <c r="C192" s="6">
        <v>34632.106319999999</v>
      </c>
      <c r="D192" s="6">
        <v>5917.8263200000001</v>
      </c>
      <c r="E192">
        <f t="shared" si="4"/>
        <v>34632.106319999999</v>
      </c>
      <c r="F192">
        <f t="shared" si="5"/>
        <v>5917.8263200000001</v>
      </c>
    </row>
    <row r="193" spans="1:6" x14ac:dyDescent="0.25">
      <c r="A193" s="24">
        <v>45413</v>
      </c>
      <c r="B193" s="6">
        <v>3</v>
      </c>
      <c r="C193" s="6">
        <v>45193.705759999997</v>
      </c>
      <c r="D193" s="6">
        <v>18444.82576</v>
      </c>
      <c r="E193">
        <f t="shared" si="4"/>
        <v>15064.568586666666</v>
      </c>
      <c r="F193">
        <f t="shared" si="5"/>
        <v>6148.2752533333332</v>
      </c>
    </row>
    <row r="194" spans="1:6" x14ac:dyDescent="0.25">
      <c r="A194" s="24">
        <v>45444</v>
      </c>
      <c r="B194" s="6">
        <v>2</v>
      </c>
      <c r="C194" s="6">
        <v>36545.866399999999</v>
      </c>
      <c r="D194" s="6">
        <v>18575.166400000002</v>
      </c>
      <c r="E194">
        <f t="shared" si="4"/>
        <v>18272.933199999999</v>
      </c>
      <c r="F194">
        <f t="shared" si="5"/>
        <v>9287.5832000000009</v>
      </c>
    </row>
    <row r="195" spans="1:6" x14ac:dyDescent="0.25">
      <c r="A195" s="24">
        <v>45474</v>
      </c>
      <c r="B195" s="6">
        <v>1</v>
      </c>
      <c r="C195" s="6">
        <v>5250.4239000000007</v>
      </c>
      <c r="D195" s="6">
        <v>2742.9239000000007</v>
      </c>
      <c r="E195">
        <f t="shared" si="4"/>
        <v>5250.4239000000007</v>
      </c>
      <c r="F195">
        <f t="shared" si="5"/>
        <v>2742.9239000000007</v>
      </c>
    </row>
    <row r="196" spans="1:6" x14ac:dyDescent="0.25">
      <c r="A196" s="24">
        <v>45505</v>
      </c>
      <c r="B196" s="6">
        <v>2</v>
      </c>
      <c r="C196" s="6">
        <v>38640.583160000002</v>
      </c>
      <c r="D196" s="6">
        <v>11400.543160000003</v>
      </c>
      <c r="E196">
        <f t="shared" si="4"/>
        <v>19320.291580000001</v>
      </c>
      <c r="F196">
        <f t="shared" si="5"/>
        <v>5700.2715800000014</v>
      </c>
    </row>
    <row r="197" spans="1:6" x14ac:dyDescent="0.25">
      <c r="A197" s="24">
        <v>45536</v>
      </c>
      <c r="B197" s="6">
        <v>2</v>
      </c>
      <c r="C197" s="6">
        <v>24522.023450000001</v>
      </c>
      <c r="D197" s="6">
        <v>11013.063450000001</v>
      </c>
      <c r="E197">
        <f t="shared" ref="E197:E260" si="6">IF(B197=0,"",C197/B197)</f>
        <v>12261.011725</v>
      </c>
      <c r="F197">
        <f t="shared" ref="F197:F260" si="7">IF(B197=0,"",D197/B197)</f>
        <v>5506.5317250000007</v>
      </c>
    </row>
    <row r="198" spans="1:6" x14ac:dyDescent="0.25">
      <c r="A198" s="24">
        <v>45566</v>
      </c>
      <c r="B198" s="6">
        <v>2</v>
      </c>
      <c r="C198" s="6">
        <v>37064.841159999996</v>
      </c>
      <c r="D198" s="6">
        <v>14658.871159999997</v>
      </c>
      <c r="E198">
        <f t="shared" si="6"/>
        <v>18532.420579999998</v>
      </c>
      <c r="F198">
        <f t="shared" si="7"/>
        <v>7329.4355799999985</v>
      </c>
    </row>
    <row r="199" spans="1:6" x14ac:dyDescent="0.25">
      <c r="A199" s="24">
        <v>45597</v>
      </c>
      <c r="B199" s="6">
        <v>1</v>
      </c>
      <c r="C199" s="6">
        <v>8297.4286000000011</v>
      </c>
      <c r="D199" s="6">
        <v>3780.3786000000009</v>
      </c>
      <c r="E199">
        <f t="shared" si="6"/>
        <v>8297.4286000000011</v>
      </c>
      <c r="F199">
        <f t="shared" si="7"/>
        <v>3780.3786000000009</v>
      </c>
    </row>
    <row r="200" spans="1:6" x14ac:dyDescent="0.25">
      <c r="A200" s="24">
        <v>45627</v>
      </c>
      <c r="B200" s="6">
        <v>1</v>
      </c>
      <c r="C200" s="6">
        <v>6063.2517199999993</v>
      </c>
      <c r="D200" s="6">
        <v>142.1317199999994</v>
      </c>
      <c r="E200">
        <f t="shared" si="6"/>
        <v>6063.2517199999993</v>
      </c>
      <c r="F200">
        <f t="shared" si="7"/>
        <v>142.1317199999994</v>
      </c>
    </row>
    <row r="201" spans="1:6" x14ac:dyDescent="0.25">
      <c r="A201" s="24">
        <v>45658</v>
      </c>
      <c r="B201" s="6">
        <v>2</v>
      </c>
      <c r="C201" s="6">
        <v>13869.433799999999</v>
      </c>
      <c r="D201" s="6">
        <v>3204.6537999999982</v>
      </c>
      <c r="E201">
        <f t="shared" si="6"/>
        <v>6934.7168999999994</v>
      </c>
      <c r="F201">
        <f t="shared" si="7"/>
        <v>1602.3268999999991</v>
      </c>
    </row>
    <row r="202" spans="1:6" x14ac:dyDescent="0.25">
      <c r="A202" s="24">
        <v>45689</v>
      </c>
      <c r="B202" s="6">
        <v>1</v>
      </c>
      <c r="C202" s="6">
        <v>9984.7160999999978</v>
      </c>
      <c r="D202" s="6">
        <v>2753.1560999999983</v>
      </c>
      <c r="E202">
        <f t="shared" si="6"/>
        <v>9984.7160999999978</v>
      </c>
      <c r="F202">
        <f t="shared" si="7"/>
        <v>2753.1560999999983</v>
      </c>
    </row>
    <row r="203" spans="1:6" x14ac:dyDescent="0.25">
      <c r="A203" s="24">
        <v>45717</v>
      </c>
      <c r="B203" s="6">
        <v>4</v>
      </c>
      <c r="C203" s="6">
        <v>42925.933000000005</v>
      </c>
      <c r="D203" s="6">
        <v>7451.4129999999986</v>
      </c>
      <c r="E203">
        <f t="shared" si="6"/>
        <v>10731.483250000001</v>
      </c>
      <c r="F203">
        <f t="shared" si="7"/>
        <v>1862.8532499999997</v>
      </c>
    </row>
    <row r="204" spans="1:6" x14ac:dyDescent="0.25">
      <c r="A204" s="24">
        <v>45748</v>
      </c>
      <c r="B204" s="6">
        <v>2</v>
      </c>
      <c r="C204" s="6">
        <v>6498.0679700000001</v>
      </c>
      <c r="D204" s="6">
        <v>3398.0279700000001</v>
      </c>
      <c r="E204">
        <f t="shared" si="6"/>
        <v>3249.033985</v>
      </c>
      <c r="F204">
        <f t="shared" si="7"/>
        <v>1699.013985</v>
      </c>
    </row>
    <row r="205" spans="1:6" x14ac:dyDescent="0.25">
      <c r="A205" s="24">
        <v>45778</v>
      </c>
      <c r="B205" s="6">
        <v>3</v>
      </c>
      <c r="C205" s="6">
        <v>27690.500100000001</v>
      </c>
      <c r="D205" s="6">
        <v>6342.4201000000021</v>
      </c>
      <c r="E205">
        <f t="shared" si="6"/>
        <v>9230.1666999999998</v>
      </c>
      <c r="F205">
        <f t="shared" si="7"/>
        <v>2114.140033333334</v>
      </c>
    </row>
    <row r="206" spans="1:6" x14ac:dyDescent="0.25">
      <c r="A206" s="24">
        <v>45809</v>
      </c>
      <c r="B206" s="6">
        <v>2</v>
      </c>
      <c r="C206" s="6">
        <v>29448.02203</v>
      </c>
      <c r="D206" s="6">
        <v>-52376.40797</v>
      </c>
      <c r="E206">
        <f t="shared" si="6"/>
        <v>14724.011015</v>
      </c>
      <c r="F206">
        <f t="shared" si="7"/>
        <v>-26188.203985</v>
      </c>
    </row>
    <row r="207" spans="1:6" x14ac:dyDescent="0.25">
      <c r="A207" s="24">
        <v>45839</v>
      </c>
      <c r="B207" s="6">
        <v>2</v>
      </c>
      <c r="C207" s="6">
        <v>141052.63752000002</v>
      </c>
      <c r="D207" s="6">
        <v>56439.847520000003</v>
      </c>
      <c r="E207">
        <f t="shared" si="6"/>
        <v>70526.318760000009</v>
      </c>
      <c r="F207">
        <f t="shared" si="7"/>
        <v>28219.923760000001</v>
      </c>
    </row>
    <row r="208" spans="1:6" x14ac:dyDescent="0.25">
      <c r="A208" s="19" t="s">
        <v>714</v>
      </c>
      <c r="B208" s="6">
        <v>38</v>
      </c>
      <c r="C208" s="6">
        <v>541165.67182000005</v>
      </c>
      <c r="D208" s="6">
        <v>140021.69182000001</v>
      </c>
      <c r="E208">
        <f t="shared" si="6"/>
        <v>14241.201890000002</v>
      </c>
      <c r="F208">
        <f t="shared" si="7"/>
        <v>3684.7813636842106</v>
      </c>
    </row>
    <row r="209" spans="1:6" x14ac:dyDescent="0.25">
      <c r="A209" s="24">
        <v>44958</v>
      </c>
      <c r="B209" s="6">
        <v>1</v>
      </c>
      <c r="C209" s="6">
        <v>319.72248000000002</v>
      </c>
      <c r="D209" s="6">
        <v>-17209.397519999999</v>
      </c>
      <c r="E209">
        <f t="shared" si="6"/>
        <v>319.72248000000002</v>
      </c>
      <c r="F209">
        <f t="shared" si="7"/>
        <v>-17209.397519999999</v>
      </c>
    </row>
    <row r="210" spans="1:6" x14ac:dyDescent="0.25">
      <c r="A210" s="24">
        <v>44986</v>
      </c>
      <c r="B210" s="6">
        <v>2</v>
      </c>
      <c r="C210" s="6">
        <v>29648.0576</v>
      </c>
      <c r="D210" s="6">
        <v>11736.3776</v>
      </c>
      <c r="E210">
        <f t="shared" si="6"/>
        <v>14824.0288</v>
      </c>
      <c r="F210">
        <f t="shared" si="7"/>
        <v>5868.1887999999999</v>
      </c>
    </row>
    <row r="211" spans="1:6" x14ac:dyDescent="0.25">
      <c r="A211" s="24">
        <v>45017</v>
      </c>
      <c r="B211" s="6">
        <v>1</v>
      </c>
      <c r="C211" s="6">
        <v>43209.006119999991</v>
      </c>
      <c r="D211" s="6">
        <v>23682.78611999999</v>
      </c>
      <c r="E211">
        <f t="shared" si="6"/>
        <v>43209.006119999991</v>
      </c>
      <c r="F211">
        <f t="shared" si="7"/>
        <v>23682.78611999999</v>
      </c>
    </row>
    <row r="212" spans="1:6" x14ac:dyDescent="0.25">
      <c r="A212" s="24">
        <v>45078</v>
      </c>
      <c r="B212" s="6">
        <v>2</v>
      </c>
      <c r="C212" s="6">
        <v>10294.631780000002</v>
      </c>
      <c r="D212" s="6">
        <v>2209.7617800000012</v>
      </c>
      <c r="E212">
        <f t="shared" si="6"/>
        <v>5147.3158900000008</v>
      </c>
      <c r="F212">
        <f t="shared" si="7"/>
        <v>1104.8808900000006</v>
      </c>
    </row>
    <row r="213" spans="1:6" x14ac:dyDescent="0.25">
      <c r="A213" s="24">
        <v>45108</v>
      </c>
      <c r="B213" s="6">
        <v>2</v>
      </c>
      <c r="C213" s="6">
        <v>29574.104579999999</v>
      </c>
      <c r="D213" s="6">
        <v>6841.4145799999988</v>
      </c>
      <c r="E213">
        <f t="shared" si="6"/>
        <v>14787.05229</v>
      </c>
      <c r="F213">
        <f t="shared" si="7"/>
        <v>3420.7072899999994</v>
      </c>
    </row>
    <row r="214" spans="1:6" x14ac:dyDescent="0.25">
      <c r="A214" s="24">
        <v>45139</v>
      </c>
      <c r="B214" s="6">
        <v>1</v>
      </c>
      <c r="C214" s="6">
        <v>18258.868320000001</v>
      </c>
      <c r="D214" s="6">
        <v>-684.33167999999932</v>
      </c>
      <c r="E214">
        <f t="shared" si="6"/>
        <v>18258.868320000001</v>
      </c>
      <c r="F214">
        <f t="shared" si="7"/>
        <v>-684.33167999999932</v>
      </c>
    </row>
    <row r="215" spans="1:6" x14ac:dyDescent="0.25">
      <c r="A215" s="24">
        <v>45170</v>
      </c>
      <c r="B215" s="6">
        <v>2</v>
      </c>
      <c r="C215" s="6">
        <v>1938.7944</v>
      </c>
      <c r="D215" s="6">
        <v>457.80439999999987</v>
      </c>
      <c r="E215">
        <f t="shared" si="6"/>
        <v>969.3972</v>
      </c>
      <c r="F215">
        <f t="shared" si="7"/>
        <v>228.90219999999994</v>
      </c>
    </row>
    <row r="216" spans="1:6" x14ac:dyDescent="0.25">
      <c r="A216" s="24">
        <v>45200</v>
      </c>
      <c r="B216" s="6">
        <v>3</v>
      </c>
      <c r="C216" s="6">
        <v>47263.944129999996</v>
      </c>
      <c r="D216" s="6">
        <v>18701.01413</v>
      </c>
      <c r="E216">
        <f t="shared" si="6"/>
        <v>15754.648043333333</v>
      </c>
      <c r="F216">
        <f t="shared" si="7"/>
        <v>6233.6713766666662</v>
      </c>
    </row>
    <row r="217" spans="1:6" x14ac:dyDescent="0.25">
      <c r="A217" s="24">
        <v>45292</v>
      </c>
      <c r="B217" s="6">
        <v>1</v>
      </c>
      <c r="C217" s="6">
        <v>9262.0686600000008</v>
      </c>
      <c r="D217" s="6">
        <v>827.62866000000031</v>
      </c>
      <c r="E217">
        <f t="shared" si="6"/>
        <v>9262.0686600000008</v>
      </c>
      <c r="F217">
        <f t="shared" si="7"/>
        <v>827.62866000000031</v>
      </c>
    </row>
    <row r="218" spans="1:6" x14ac:dyDescent="0.25">
      <c r="A218" s="24">
        <v>45323</v>
      </c>
      <c r="B218" s="6">
        <v>2</v>
      </c>
      <c r="C218" s="6">
        <v>15363.218999999999</v>
      </c>
      <c r="D218" s="6">
        <v>1443.2189999999989</v>
      </c>
      <c r="E218">
        <f t="shared" si="6"/>
        <v>7681.6094999999996</v>
      </c>
      <c r="F218">
        <f t="shared" si="7"/>
        <v>721.60949999999946</v>
      </c>
    </row>
    <row r="219" spans="1:6" x14ac:dyDescent="0.25">
      <c r="A219" s="24">
        <v>45352</v>
      </c>
      <c r="B219" s="6">
        <v>3</v>
      </c>
      <c r="C219" s="6">
        <v>47883.134740000009</v>
      </c>
      <c r="D219" s="6">
        <v>12605.524740000008</v>
      </c>
      <c r="E219">
        <f t="shared" si="6"/>
        <v>15961.044913333337</v>
      </c>
      <c r="F219">
        <f t="shared" si="7"/>
        <v>4201.841580000003</v>
      </c>
    </row>
    <row r="220" spans="1:6" x14ac:dyDescent="0.25">
      <c r="A220" s="24">
        <v>45413</v>
      </c>
      <c r="B220" s="6">
        <v>1</v>
      </c>
      <c r="C220" s="6">
        <v>879.05840000000001</v>
      </c>
      <c r="D220" s="6">
        <v>60.978399999999965</v>
      </c>
      <c r="E220">
        <f t="shared" si="6"/>
        <v>879.05840000000001</v>
      </c>
      <c r="F220">
        <f t="shared" si="7"/>
        <v>60.978399999999965</v>
      </c>
    </row>
    <row r="221" spans="1:6" x14ac:dyDescent="0.25">
      <c r="A221" s="24">
        <v>45444</v>
      </c>
      <c r="B221" s="6">
        <v>1</v>
      </c>
      <c r="C221" s="6">
        <v>12289.2</v>
      </c>
      <c r="D221" s="6">
        <v>-1143.8999999999978</v>
      </c>
      <c r="E221">
        <f t="shared" si="6"/>
        <v>12289.2</v>
      </c>
      <c r="F221">
        <f t="shared" si="7"/>
        <v>-1143.8999999999978</v>
      </c>
    </row>
    <row r="222" spans="1:6" x14ac:dyDescent="0.25">
      <c r="A222" s="24">
        <v>45474</v>
      </c>
      <c r="B222" s="6">
        <v>1</v>
      </c>
      <c r="C222" s="6">
        <v>25483.91488</v>
      </c>
      <c r="D222" s="6">
        <v>12700.39488</v>
      </c>
      <c r="E222">
        <f t="shared" si="6"/>
        <v>25483.91488</v>
      </c>
      <c r="F222">
        <f t="shared" si="7"/>
        <v>12700.39488</v>
      </c>
    </row>
    <row r="223" spans="1:6" x14ac:dyDescent="0.25">
      <c r="A223" s="24">
        <v>45505</v>
      </c>
      <c r="B223" s="6">
        <v>2</v>
      </c>
      <c r="C223" s="6">
        <v>57926.522379999995</v>
      </c>
      <c r="D223" s="6">
        <v>13748.33238</v>
      </c>
      <c r="E223">
        <f t="shared" si="6"/>
        <v>28963.261189999997</v>
      </c>
      <c r="F223">
        <f t="shared" si="7"/>
        <v>6874.1661899999999</v>
      </c>
    </row>
    <row r="224" spans="1:6" x14ac:dyDescent="0.25">
      <c r="A224" s="24">
        <v>45566</v>
      </c>
      <c r="B224" s="6">
        <v>1</v>
      </c>
      <c r="C224" s="6">
        <v>15323.926799999999</v>
      </c>
      <c r="D224" s="6">
        <v>7333.3067999999994</v>
      </c>
      <c r="E224">
        <f t="shared" si="6"/>
        <v>15323.926799999999</v>
      </c>
      <c r="F224">
        <f t="shared" si="7"/>
        <v>7333.3067999999994</v>
      </c>
    </row>
    <row r="225" spans="1:6" x14ac:dyDescent="0.25">
      <c r="A225" s="24">
        <v>45597</v>
      </c>
      <c r="B225" s="6">
        <v>2</v>
      </c>
      <c r="C225" s="6">
        <v>15694.479579999999</v>
      </c>
      <c r="D225" s="6">
        <v>1418.3595800000003</v>
      </c>
      <c r="E225">
        <f t="shared" si="6"/>
        <v>7847.2397899999996</v>
      </c>
      <c r="F225">
        <f t="shared" si="7"/>
        <v>709.17979000000014</v>
      </c>
    </row>
    <row r="226" spans="1:6" x14ac:dyDescent="0.25">
      <c r="A226" s="24">
        <v>45658</v>
      </c>
      <c r="B226" s="6">
        <v>1</v>
      </c>
      <c r="C226" s="6">
        <v>33308.550000000003</v>
      </c>
      <c r="D226" s="6">
        <v>17596.920000000006</v>
      </c>
      <c r="E226">
        <f t="shared" si="6"/>
        <v>33308.550000000003</v>
      </c>
      <c r="F226">
        <f t="shared" si="7"/>
        <v>17596.920000000006</v>
      </c>
    </row>
    <row r="227" spans="1:6" x14ac:dyDescent="0.25">
      <c r="A227" s="24">
        <v>45689</v>
      </c>
      <c r="B227" s="6">
        <v>1</v>
      </c>
      <c r="C227" s="6">
        <v>21541.017959999997</v>
      </c>
      <c r="D227" s="6">
        <v>-4332.002040000003</v>
      </c>
      <c r="E227">
        <f t="shared" si="6"/>
        <v>21541.017959999997</v>
      </c>
      <c r="F227">
        <f t="shared" si="7"/>
        <v>-4332.002040000003</v>
      </c>
    </row>
    <row r="228" spans="1:6" x14ac:dyDescent="0.25">
      <c r="A228" s="24">
        <v>45717</v>
      </c>
      <c r="B228" s="6">
        <v>1</v>
      </c>
      <c r="C228" s="6">
        <v>618.19979999999987</v>
      </c>
      <c r="D228" s="6">
        <v>33.349799999999846</v>
      </c>
      <c r="E228">
        <f t="shared" si="6"/>
        <v>618.19979999999987</v>
      </c>
      <c r="F228">
        <f t="shared" si="7"/>
        <v>33.349799999999846</v>
      </c>
    </row>
    <row r="229" spans="1:6" x14ac:dyDescent="0.25">
      <c r="A229" s="24">
        <v>45748</v>
      </c>
      <c r="B229" s="6">
        <v>2</v>
      </c>
      <c r="C229" s="6">
        <v>13863.358100000001</v>
      </c>
      <c r="D229" s="6">
        <v>5190.2580999999991</v>
      </c>
      <c r="E229">
        <f t="shared" si="6"/>
        <v>6931.6790500000006</v>
      </c>
      <c r="F229">
        <f t="shared" si="7"/>
        <v>2595.1290499999996</v>
      </c>
    </row>
    <row r="230" spans="1:6" x14ac:dyDescent="0.25">
      <c r="A230" s="24">
        <v>45809</v>
      </c>
      <c r="B230" s="6">
        <v>1</v>
      </c>
      <c r="C230" s="6">
        <v>4569.5735999999997</v>
      </c>
      <c r="D230" s="6">
        <v>483.17359999999962</v>
      </c>
      <c r="E230">
        <f t="shared" si="6"/>
        <v>4569.5735999999997</v>
      </c>
      <c r="F230">
        <f t="shared" si="7"/>
        <v>483.17359999999962</v>
      </c>
    </row>
    <row r="231" spans="1:6" x14ac:dyDescent="0.25">
      <c r="A231" s="24">
        <v>45839</v>
      </c>
      <c r="B231" s="6">
        <v>2</v>
      </c>
      <c r="C231" s="6">
        <v>38155.208489999997</v>
      </c>
      <c r="D231" s="6">
        <v>5771.8084899999985</v>
      </c>
      <c r="E231">
        <f t="shared" si="6"/>
        <v>19077.604244999999</v>
      </c>
      <c r="F231">
        <f t="shared" si="7"/>
        <v>2885.9042449999993</v>
      </c>
    </row>
    <row r="232" spans="1:6" x14ac:dyDescent="0.25">
      <c r="A232" s="24">
        <v>45870</v>
      </c>
      <c r="B232" s="6">
        <v>2</v>
      </c>
      <c r="C232" s="6">
        <v>48497.110019999993</v>
      </c>
      <c r="D232" s="6">
        <v>20548.910019999988</v>
      </c>
      <c r="E232">
        <f t="shared" si="6"/>
        <v>24248.555009999996</v>
      </c>
      <c r="F232">
        <f t="shared" si="7"/>
        <v>10274.455009999994</v>
      </c>
    </row>
    <row r="233" spans="1:6" x14ac:dyDescent="0.25">
      <c r="A233" s="19" t="s">
        <v>713</v>
      </c>
      <c r="B233" s="6">
        <v>50</v>
      </c>
      <c r="C233" s="6">
        <v>802384.66227999981</v>
      </c>
      <c r="D233" s="6">
        <v>273113.11228000006</v>
      </c>
      <c r="E233">
        <f t="shared" si="6"/>
        <v>16047.693245599996</v>
      </c>
      <c r="F233">
        <f t="shared" si="7"/>
        <v>5462.2622456000008</v>
      </c>
    </row>
    <row r="234" spans="1:6" x14ac:dyDescent="0.25">
      <c r="A234" s="24">
        <v>44986</v>
      </c>
      <c r="B234" s="6">
        <v>1</v>
      </c>
      <c r="C234" s="6">
        <v>6631.6443100000006</v>
      </c>
      <c r="D234" s="6">
        <v>26.034310000000914</v>
      </c>
      <c r="E234">
        <f t="shared" si="6"/>
        <v>6631.6443100000006</v>
      </c>
      <c r="F234">
        <f t="shared" si="7"/>
        <v>26.034310000000914</v>
      </c>
    </row>
    <row r="235" spans="1:6" x14ac:dyDescent="0.25">
      <c r="A235" s="24">
        <v>45017</v>
      </c>
      <c r="B235" s="6">
        <v>1</v>
      </c>
      <c r="C235" s="6">
        <v>55880.483749999999</v>
      </c>
      <c r="D235" s="6">
        <v>22872.233749999999</v>
      </c>
      <c r="E235">
        <f t="shared" si="6"/>
        <v>55880.483749999999</v>
      </c>
      <c r="F235">
        <f t="shared" si="7"/>
        <v>22872.233749999999</v>
      </c>
    </row>
    <row r="236" spans="1:6" x14ac:dyDescent="0.25">
      <c r="A236" s="24">
        <v>45047</v>
      </c>
      <c r="B236" s="6">
        <v>4</v>
      </c>
      <c r="C236" s="6">
        <v>14508.527249999999</v>
      </c>
      <c r="D236" s="6">
        <v>1273.39725</v>
      </c>
      <c r="E236">
        <f t="shared" si="6"/>
        <v>3627.1318124999998</v>
      </c>
      <c r="F236">
        <f t="shared" si="7"/>
        <v>318.3493125</v>
      </c>
    </row>
    <row r="237" spans="1:6" x14ac:dyDescent="0.25">
      <c r="A237" s="24">
        <v>45078</v>
      </c>
      <c r="B237" s="6">
        <v>3</v>
      </c>
      <c r="C237" s="6">
        <v>21502.647399999998</v>
      </c>
      <c r="D237" s="6">
        <v>4416.4973999999984</v>
      </c>
      <c r="E237">
        <f t="shared" si="6"/>
        <v>7167.549133333333</v>
      </c>
      <c r="F237">
        <f t="shared" si="7"/>
        <v>1472.1657999999995</v>
      </c>
    </row>
    <row r="238" spans="1:6" x14ac:dyDescent="0.25">
      <c r="A238" s="24">
        <v>45108</v>
      </c>
      <c r="B238" s="6">
        <v>1</v>
      </c>
      <c r="C238" s="6">
        <v>41914.215840000004</v>
      </c>
      <c r="D238" s="6">
        <v>20094.585840000003</v>
      </c>
      <c r="E238">
        <f t="shared" si="6"/>
        <v>41914.215840000004</v>
      </c>
      <c r="F238">
        <f t="shared" si="7"/>
        <v>20094.585840000003</v>
      </c>
    </row>
    <row r="239" spans="1:6" x14ac:dyDescent="0.25">
      <c r="A239" s="24">
        <v>45139</v>
      </c>
      <c r="B239" s="6">
        <v>3</v>
      </c>
      <c r="C239" s="6">
        <v>66024.487829999998</v>
      </c>
      <c r="D239" s="6">
        <v>28100.607829999997</v>
      </c>
      <c r="E239">
        <f t="shared" si="6"/>
        <v>22008.162609999999</v>
      </c>
      <c r="F239">
        <f t="shared" si="7"/>
        <v>9366.8692766666663</v>
      </c>
    </row>
    <row r="240" spans="1:6" x14ac:dyDescent="0.25">
      <c r="A240" s="24">
        <v>45170</v>
      </c>
      <c r="B240" s="6">
        <v>3</v>
      </c>
      <c r="C240" s="6">
        <v>32329.383030000005</v>
      </c>
      <c r="D240" s="6">
        <v>5519.9030300000031</v>
      </c>
      <c r="E240">
        <f t="shared" si="6"/>
        <v>10776.461010000001</v>
      </c>
      <c r="F240">
        <f t="shared" si="7"/>
        <v>1839.9676766666678</v>
      </c>
    </row>
    <row r="241" spans="1:6" x14ac:dyDescent="0.25">
      <c r="A241" s="24">
        <v>45200</v>
      </c>
      <c r="B241" s="6">
        <v>4</v>
      </c>
      <c r="C241" s="6">
        <v>44145.050959999993</v>
      </c>
      <c r="D241" s="6">
        <v>5311.7209599999987</v>
      </c>
      <c r="E241">
        <f t="shared" si="6"/>
        <v>11036.262739999998</v>
      </c>
      <c r="F241">
        <f t="shared" si="7"/>
        <v>1327.9302399999997</v>
      </c>
    </row>
    <row r="242" spans="1:6" x14ac:dyDescent="0.25">
      <c r="A242" s="24">
        <v>45261</v>
      </c>
      <c r="B242" s="6">
        <v>1</v>
      </c>
      <c r="C242" s="6">
        <v>21573.6495</v>
      </c>
      <c r="D242" s="6">
        <v>10769.349499999998</v>
      </c>
      <c r="E242">
        <f t="shared" si="6"/>
        <v>21573.6495</v>
      </c>
      <c r="F242">
        <f t="shared" si="7"/>
        <v>10769.349499999998</v>
      </c>
    </row>
    <row r="243" spans="1:6" x14ac:dyDescent="0.25">
      <c r="A243" s="24">
        <v>45292</v>
      </c>
      <c r="B243" s="6">
        <v>1</v>
      </c>
      <c r="C243" s="6">
        <v>6324.5775999999996</v>
      </c>
      <c r="D243" s="6">
        <v>-574.62240000000111</v>
      </c>
      <c r="E243">
        <f t="shared" si="6"/>
        <v>6324.5775999999996</v>
      </c>
      <c r="F243">
        <f t="shared" si="7"/>
        <v>-574.62240000000111</v>
      </c>
    </row>
    <row r="244" spans="1:6" x14ac:dyDescent="0.25">
      <c r="A244" s="24">
        <v>45352</v>
      </c>
      <c r="B244" s="6">
        <v>1</v>
      </c>
      <c r="C244" s="6">
        <v>66.920760000000001</v>
      </c>
      <c r="D244" s="6">
        <v>-34.959239999999994</v>
      </c>
      <c r="E244">
        <f t="shared" si="6"/>
        <v>66.920760000000001</v>
      </c>
      <c r="F244">
        <f t="shared" si="7"/>
        <v>-34.959239999999994</v>
      </c>
    </row>
    <row r="245" spans="1:6" x14ac:dyDescent="0.25">
      <c r="A245" s="24">
        <v>45444</v>
      </c>
      <c r="B245" s="6">
        <v>3</v>
      </c>
      <c r="C245" s="6">
        <v>45460.942000000003</v>
      </c>
      <c r="D245" s="6">
        <v>20478.081999999999</v>
      </c>
      <c r="E245">
        <f t="shared" si="6"/>
        <v>15153.647333333334</v>
      </c>
      <c r="F245">
        <f t="shared" si="7"/>
        <v>6826.0273333333325</v>
      </c>
    </row>
    <row r="246" spans="1:6" x14ac:dyDescent="0.25">
      <c r="A246" s="24">
        <v>45474</v>
      </c>
      <c r="B246" s="6">
        <v>4</v>
      </c>
      <c r="C246" s="6">
        <v>140494.29581000001</v>
      </c>
      <c r="D246" s="6">
        <v>49084.625810000005</v>
      </c>
      <c r="E246">
        <f t="shared" si="6"/>
        <v>35123.573952500003</v>
      </c>
      <c r="F246">
        <f t="shared" si="7"/>
        <v>12271.156452500001</v>
      </c>
    </row>
    <row r="247" spans="1:6" x14ac:dyDescent="0.25">
      <c r="A247" s="24">
        <v>45505</v>
      </c>
      <c r="B247" s="6">
        <v>2</v>
      </c>
      <c r="C247" s="6">
        <v>30351.62444</v>
      </c>
      <c r="D247" s="6">
        <v>13710.124440000003</v>
      </c>
      <c r="E247">
        <f t="shared" si="6"/>
        <v>15175.81222</v>
      </c>
      <c r="F247">
        <f t="shared" si="7"/>
        <v>6855.0622200000016</v>
      </c>
    </row>
    <row r="248" spans="1:6" x14ac:dyDescent="0.25">
      <c r="A248" s="24">
        <v>45536</v>
      </c>
      <c r="B248" s="6">
        <v>1</v>
      </c>
      <c r="C248" s="6">
        <v>26015.449459999996</v>
      </c>
      <c r="D248" s="6">
        <v>14901.819459999995</v>
      </c>
      <c r="E248">
        <f t="shared" si="6"/>
        <v>26015.449459999996</v>
      </c>
      <c r="F248">
        <f t="shared" si="7"/>
        <v>14901.819459999995</v>
      </c>
    </row>
    <row r="249" spans="1:6" x14ac:dyDescent="0.25">
      <c r="A249" s="24">
        <v>45566</v>
      </c>
      <c r="B249" s="6">
        <v>3</v>
      </c>
      <c r="C249" s="6">
        <v>21937.094690000002</v>
      </c>
      <c r="D249" s="6">
        <v>-14219.645310000005</v>
      </c>
      <c r="E249">
        <f t="shared" si="6"/>
        <v>7312.3648966666669</v>
      </c>
      <c r="F249">
        <f t="shared" si="7"/>
        <v>-4739.8817700000018</v>
      </c>
    </row>
    <row r="250" spans="1:6" x14ac:dyDescent="0.25">
      <c r="A250" s="24">
        <v>45597</v>
      </c>
      <c r="B250" s="6">
        <v>1</v>
      </c>
      <c r="C250" s="6">
        <v>1122.0896000000002</v>
      </c>
      <c r="D250" s="6">
        <v>568.58960000000025</v>
      </c>
      <c r="E250">
        <f t="shared" si="6"/>
        <v>1122.0896000000002</v>
      </c>
      <c r="F250">
        <f t="shared" si="7"/>
        <v>568.58960000000025</v>
      </c>
    </row>
    <row r="251" spans="1:6" x14ac:dyDescent="0.25">
      <c r="A251" s="24">
        <v>45627</v>
      </c>
      <c r="B251" s="6">
        <v>2</v>
      </c>
      <c r="C251" s="6">
        <v>19071.624059999998</v>
      </c>
      <c r="D251" s="6">
        <v>-2317.1759400000028</v>
      </c>
      <c r="E251">
        <f t="shared" si="6"/>
        <v>9535.8120299999991</v>
      </c>
      <c r="F251">
        <f t="shared" si="7"/>
        <v>-1158.5879700000014</v>
      </c>
    </row>
    <row r="252" spans="1:6" x14ac:dyDescent="0.25">
      <c r="A252" s="24">
        <v>45658</v>
      </c>
      <c r="B252" s="6">
        <v>1</v>
      </c>
      <c r="C252" s="6">
        <v>28386.015839999996</v>
      </c>
      <c r="D252" s="6">
        <v>14990.295839999995</v>
      </c>
      <c r="E252">
        <f t="shared" si="6"/>
        <v>28386.015839999996</v>
      </c>
      <c r="F252">
        <f t="shared" si="7"/>
        <v>14990.295839999995</v>
      </c>
    </row>
    <row r="253" spans="1:6" x14ac:dyDescent="0.25">
      <c r="A253" s="24">
        <v>45717</v>
      </c>
      <c r="B253" s="6">
        <v>3</v>
      </c>
      <c r="C253" s="6">
        <v>11374.83661</v>
      </c>
      <c r="D253" s="6">
        <v>2741.3666100000005</v>
      </c>
      <c r="E253">
        <f t="shared" si="6"/>
        <v>3791.6122033333336</v>
      </c>
      <c r="F253">
        <f t="shared" si="7"/>
        <v>913.7888700000002</v>
      </c>
    </row>
    <row r="254" spans="1:6" x14ac:dyDescent="0.25">
      <c r="A254" s="24">
        <v>45748</v>
      </c>
      <c r="B254" s="6">
        <v>1</v>
      </c>
      <c r="C254" s="6">
        <v>2355.2113199999999</v>
      </c>
      <c r="D254" s="6">
        <v>1174.4513199999999</v>
      </c>
      <c r="E254">
        <f t="shared" si="6"/>
        <v>2355.2113199999999</v>
      </c>
      <c r="F254">
        <f t="shared" si="7"/>
        <v>1174.4513199999999</v>
      </c>
    </row>
    <row r="255" spans="1:6" x14ac:dyDescent="0.25">
      <c r="A255" s="24">
        <v>45778</v>
      </c>
      <c r="B255" s="6">
        <v>2</v>
      </c>
      <c r="C255" s="6">
        <v>80948.59</v>
      </c>
      <c r="D255" s="6">
        <v>39030.609999999993</v>
      </c>
      <c r="E255">
        <f t="shared" si="6"/>
        <v>40474.294999999998</v>
      </c>
      <c r="F255">
        <f t="shared" si="7"/>
        <v>19515.304999999997</v>
      </c>
    </row>
    <row r="256" spans="1:6" x14ac:dyDescent="0.25">
      <c r="A256" s="24">
        <v>45809</v>
      </c>
      <c r="B256" s="6">
        <v>1</v>
      </c>
      <c r="C256" s="6">
        <v>42433.254400000005</v>
      </c>
      <c r="D256" s="6">
        <v>19412.054400000008</v>
      </c>
      <c r="E256">
        <f t="shared" si="6"/>
        <v>42433.254400000005</v>
      </c>
      <c r="F256">
        <f t="shared" si="7"/>
        <v>19412.054400000008</v>
      </c>
    </row>
    <row r="257" spans="1:6" x14ac:dyDescent="0.25">
      <c r="A257" s="24">
        <v>45839</v>
      </c>
      <c r="B257" s="6">
        <v>1</v>
      </c>
      <c r="C257" s="6">
        <v>1808.04592</v>
      </c>
      <c r="D257" s="6">
        <v>706.32592</v>
      </c>
      <c r="E257">
        <f t="shared" si="6"/>
        <v>1808.04592</v>
      </c>
      <c r="F257">
        <f t="shared" si="7"/>
        <v>706.32592</v>
      </c>
    </row>
    <row r="258" spans="1:6" x14ac:dyDescent="0.25">
      <c r="A258" s="24">
        <v>45870</v>
      </c>
      <c r="B258" s="6">
        <v>1</v>
      </c>
      <c r="C258" s="6">
        <v>36161.097000000002</v>
      </c>
      <c r="D258" s="6">
        <v>16862.697000000004</v>
      </c>
      <c r="E258">
        <f t="shared" si="6"/>
        <v>36161.097000000002</v>
      </c>
      <c r="F258">
        <f t="shared" si="7"/>
        <v>16862.697000000004</v>
      </c>
    </row>
    <row r="259" spans="1:6" x14ac:dyDescent="0.25">
      <c r="A259" s="24">
        <v>45901</v>
      </c>
      <c r="B259" s="6">
        <v>1</v>
      </c>
      <c r="C259" s="6">
        <v>3562.9028999999996</v>
      </c>
      <c r="D259" s="6">
        <v>-1785.8571000000006</v>
      </c>
      <c r="E259">
        <f t="shared" si="6"/>
        <v>3562.9028999999996</v>
      </c>
      <c r="F259">
        <f t="shared" si="7"/>
        <v>-1785.8571000000006</v>
      </c>
    </row>
    <row r="260" spans="1:6" x14ac:dyDescent="0.25">
      <c r="A260" s="19" t="s">
        <v>723</v>
      </c>
      <c r="B260" s="6">
        <v>44</v>
      </c>
      <c r="C260" s="6">
        <v>883348.12936000014</v>
      </c>
      <c r="D260" s="6">
        <v>278762.26935999998</v>
      </c>
      <c r="E260">
        <f t="shared" si="6"/>
        <v>20076.093849090914</v>
      </c>
      <c r="F260">
        <f t="shared" si="7"/>
        <v>6335.5061218181809</v>
      </c>
    </row>
    <row r="261" spans="1:6" x14ac:dyDescent="0.25">
      <c r="A261" s="24">
        <v>44958</v>
      </c>
      <c r="B261" s="6">
        <v>3</v>
      </c>
      <c r="C261" s="6">
        <v>76720.233479999995</v>
      </c>
      <c r="D261" s="6">
        <v>33192.123479999995</v>
      </c>
      <c r="E261">
        <f t="shared" ref="E261:E324" si="8">IF(B261=0,"",C261/B261)</f>
        <v>25573.41116</v>
      </c>
      <c r="F261">
        <f t="shared" ref="F261:F324" si="9">IF(B261=0,"",D261/B261)</f>
        <v>11064.041159999999</v>
      </c>
    </row>
    <row r="262" spans="1:6" x14ac:dyDescent="0.25">
      <c r="A262" s="24">
        <v>44986</v>
      </c>
      <c r="B262" s="6">
        <v>1</v>
      </c>
      <c r="C262" s="6">
        <v>14269.848599999999</v>
      </c>
      <c r="D262" s="6">
        <v>1172.1485999999986</v>
      </c>
      <c r="E262">
        <f t="shared" si="8"/>
        <v>14269.848599999999</v>
      </c>
      <c r="F262">
        <f t="shared" si="9"/>
        <v>1172.1485999999986</v>
      </c>
    </row>
    <row r="263" spans="1:6" x14ac:dyDescent="0.25">
      <c r="A263" s="24">
        <v>45017</v>
      </c>
      <c r="B263" s="6">
        <v>1</v>
      </c>
      <c r="C263" s="6">
        <v>32280.32474</v>
      </c>
      <c r="D263" s="6">
        <v>15712.274740000001</v>
      </c>
      <c r="E263">
        <f t="shared" si="8"/>
        <v>32280.32474</v>
      </c>
      <c r="F263">
        <f t="shared" si="9"/>
        <v>15712.274740000001</v>
      </c>
    </row>
    <row r="264" spans="1:6" x14ac:dyDescent="0.25">
      <c r="A264" s="24">
        <v>45047</v>
      </c>
      <c r="B264" s="6">
        <v>4</v>
      </c>
      <c r="C264" s="6">
        <v>117965.04294</v>
      </c>
      <c r="D264" s="6">
        <v>34647.992939999996</v>
      </c>
      <c r="E264">
        <f t="shared" si="8"/>
        <v>29491.260735</v>
      </c>
      <c r="F264">
        <f t="shared" si="9"/>
        <v>8661.9982349999991</v>
      </c>
    </row>
    <row r="265" spans="1:6" x14ac:dyDescent="0.25">
      <c r="A265" s="24">
        <v>45078</v>
      </c>
      <c r="B265" s="6">
        <v>2</v>
      </c>
      <c r="C265" s="6">
        <v>23173.104240000001</v>
      </c>
      <c r="D265" s="6">
        <v>4515.3242399999981</v>
      </c>
      <c r="E265">
        <f t="shared" si="8"/>
        <v>11586.55212</v>
      </c>
      <c r="F265">
        <f t="shared" si="9"/>
        <v>2257.662119999999</v>
      </c>
    </row>
    <row r="266" spans="1:6" x14ac:dyDescent="0.25">
      <c r="A266" s="24">
        <v>45139</v>
      </c>
      <c r="B266" s="6">
        <v>1</v>
      </c>
      <c r="C266" s="6">
        <v>25299.040000000001</v>
      </c>
      <c r="D266" s="6">
        <v>9950.4599999999991</v>
      </c>
      <c r="E266">
        <f t="shared" si="8"/>
        <v>25299.040000000001</v>
      </c>
      <c r="F266">
        <f t="shared" si="9"/>
        <v>9950.4599999999991</v>
      </c>
    </row>
    <row r="267" spans="1:6" x14ac:dyDescent="0.25">
      <c r="A267" s="24">
        <v>45200</v>
      </c>
      <c r="B267" s="6">
        <v>1</v>
      </c>
      <c r="C267" s="6">
        <v>10786.32144</v>
      </c>
      <c r="D267" s="6">
        <v>6092.4014399999996</v>
      </c>
      <c r="E267">
        <f t="shared" si="8"/>
        <v>10786.32144</v>
      </c>
      <c r="F267">
        <f t="shared" si="9"/>
        <v>6092.4014399999996</v>
      </c>
    </row>
    <row r="268" spans="1:6" x14ac:dyDescent="0.25">
      <c r="A268" s="24">
        <v>45231</v>
      </c>
      <c r="B268" s="6">
        <v>1</v>
      </c>
      <c r="C268" s="6">
        <v>16306.59375</v>
      </c>
      <c r="D268" s="6">
        <v>1037.7937500000007</v>
      </c>
      <c r="E268">
        <f t="shared" si="8"/>
        <v>16306.59375</v>
      </c>
      <c r="F268">
        <f t="shared" si="9"/>
        <v>1037.7937500000007</v>
      </c>
    </row>
    <row r="269" spans="1:6" x14ac:dyDescent="0.25">
      <c r="A269" s="24">
        <v>45261</v>
      </c>
      <c r="B269" s="6">
        <v>2</v>
      </c>
      <c r="C269" s="6">
        <v>41625.845119999998</v>
      </c>
      <c r="D269" s="6">
        <v>12150.385119999997</v>
      </c>
      <c r="E269">
        <f t="shared" si="8"/>
        <v>20812.922559999999</v>
      </c>
      <c r="F269">
        <f t="shared" si="9"/>
        <v>6075.1925599999986</v>
      </c>
    </row>
    <row r="270" spans="1:6" x14ac:dyDescent="0.25">
      <c r="A270" s="24">
        <v>45292</v>
      </c>
      <c r="B270" s="6">
        <v>1</v>
      </c>
      <c r="C270" s="6">
        <v>10558.74</v>
      </c>
      <c r="D270" s="6">
        <v>3321.5399999999991</v>
      </c>
      <c r="E270">
        <f t="shared" si="8"/>
        <v>10558.74</v>
      </c>
      <c r="F270">
        <f t="shared" si="9"/>
        <v>3321.5399999999991</v>
      </c>
    </row>
    <row r="271" spans="1:6" x14ac:dyDescent="0.25">
      <c r="A271" s="24">
        <v>45323</v>
      </c>
      <c r="B271" s="6">
        <v>2</v>
      </c>
      <c r="C271" s="6">
        <v>37985.081399999995</v>
      </c>
      <c r="D271" s="6">
        <v>18116.6214</v>
      </c>
      <c r="E271">
        <f t="shared" si="8"/>
        <v>18992.540699999998</v>
      </c>
      <c r="F271">
        <f t="shared" si="9"/>
        <v>9058.3107</v>
      </c>
    </row>
    <row r="272" spans="1:6" x14ac:dyDescent="0.25">
      <c r="A272" s="24">
        <v>45352</v>
      </c>
      <c r="B272" s="6">
        <v>2</v>
      </c>
      <c r="C272" s="6">
        <v>18745.382460000001</v>
      </c>
      <c r="D272" s="6">
        <v>3438.5424599999988</v>
      </c>
      <c r="E272">
        <f t="shared" si="8"/>
        <v>9372.6912300000004</v>
      </c>
      <c r="F272">
        <f t="shared" si="9"/>
        <v>1719.2712299999994</v>
      </c>
    </row>
    <row r="273" spans="1:6" x14ac:dyDescent="0.25">
      <c r="A273" s="24">
        <v>45383</v>
      </c>
      <c r="B273" s="6">
        <v>2</v>
      </c>
      <c r="C273" s="6">
        <v>46532.282420000003</v>
      </c>
      <c r="D273" s="6">
        <v>17854.822420000004</v>
      </c>
      <c r="E273">
        <f t="shared" si="8"/>
        <v>23266.141210000002</v>
      </c>
      <c r="F273">
        <f t="shared" si="9"/>
        <v>8927.411210000002</v>
      </c>
    </row>
    <row r="274" spans="1:6" x14ac:dyDescent="0.25">
      <c r="A274" s="24">
        <v>45413</v>
      </c>
      <c r="B274" s="6">
        <v>2</v>
      </c>
      <c r="C274" s="6">
        <v>21956.351120000003</v>
      </c>
      <c r="D274" s="6">
        <v>3877.311120000003</v>
      </c>
      <c r="E274">
        <f t="shared" si="8"/>
        <v>10978.175560000001</v>
      </c>
      <c r="F274">
        <f t="shared" si="9"/>
        <v>1938.6555600000015</v>
      </c>
    </row>
    <row r="275" spans="1:6" x14ac:dyDescent="0.25">
      <c r="A275" s="24">
        <v>45444</v>
      </c>
      <c r="B275" s="6">
        <v>1</v>
      </c>
      <c r="C275" s="6">
        <v>14910.609600000002</v>
      </c>
      <c r="D275" s="6">
        <v>8129.7396000000017</v>
      </c>
      <c r="E275">
        <f t="shared" si="8"/>
        <v>14910.609600000002</v>
      </c>
      <c r="F275">
        <f t="shared" si="9"/>
        <v>8129.7396000000017</v>
      </c>
    </row>
    <row r="276" spans="1:6" x14ac:dyDescent="0.25">
      <c r="A276" s="24">
        <v>45505</v>
      </c>
      <c r="B276" s="6">
        <v>1</v>
      </c>
      <c r="C276" s="6">
        <v>8909.6646800000017</v>
      </c>
      <c r="D276" s="6">
        <v>614.64468000000124</v>
      </c>
      <c r="E276">
        <f t="shared" si="8"/>
        <v>8909.6646800000017</v>
      </c>
      <c r="F276">
        <f t="shared" si="9"/>
        <v>614.64468000000124</v>
      </c>
    </row>
    <row r="277" spans="1:6" x14ac:dyDescent="0.25">
      <c r="A277" s="24">
        <v>45536</v>
      </c>
      <c r="B277" s="6">
        <v>3</v>
      </c>
      <c r="C277" s="6">
        <v>62283.552000000003</v>
      </c>
      <c r="D277" s="6">
        <v>18244.691999999999</v>
      </c>
      <c r="E277">
        <f t="shared" si="8"/>
        <v>20761.184000000001</v>
      </c>
      <c r="F277">
        <f t="shared" si="9"/>
        <v>6081.5639999999994</v>
      </c>
    </row>
    <row r="278" spans="1:6" x14ac:dyDescent="0.25">
      <c r="A278" s="24">
        <v>45627</v>
      </c>
      <c r="B278" s="6">
        <v>3</v>
      </c>
      <c r="C278" s="6">
        <v>92217.698999999993</v>
      </c>
      <c r="D278" s="6">
        <v>37523.658999999992</v>
      </c>
      <c r="E278">
        <f t="shared" si="8"/>
        <v>30739.232999999997</v>
      </c>
      <c r="F278">
        <f t="shared" si="9"/>
        <v>12507.88633333333</v>
      </c>
    </row>
    <row r="279" spans="1:6" x14ac:dyDescent="0.25">
      <c r="A279" s="24">
        <v>45658</v>
      </c>
      <c r="B279" s="6">
        <v>1</v>
      </c>
      <c r="C279" s="6">
        <v>6576.298960000001</v>
      </c>
      <c r="D279" s="6">
        <v>3551.3889600000011</v>
      </c>
      <c r="E279">
        <f t="shared" si="8"/>
        <v>6576.298960000001</v>
      </c>
      <c r="F279">
        <f t="shared" si="9"/>
        <v>3551.3889600000011</v>
      </c>
    </row>
    <row r="280" spans="1:6" x14ac:dyDescent="0.25">
      <c r="A280" s="24">
        <v>45689</v>
      </c>
      <c r="B280" s="6">
        <v>1</v>
      </c>
      <c r="C280" s="6">
        <v>12040.64352</v>
      </c>
      <c r="D280" s="6">
        <v>5877.0835200000001</v>
      </c>
      <c r="E280">
        <f t="shared" si="8"/>
        <v>12040.64352</v>
      </c>
      <c r="F280">
        <f t="shared" si="9"/>
        <v>5877.0835200000001</v>
      </c>
    </row>
    <row r="281" spans="1:6" x14ac:dyDescent="0.25">
      <c r="A281" s="24">
        <v>45717</v>
      </c>
      <c r="B281" s="6">
        <v>1</v>
      </c>
      <c r="C281" s="6">
        <v>4679.7141600000004</v>
      </c>
      <c r="D281" s="6">
        <v>-552.54583999999977</v>
      </c>
      <c r="E281">
        <f t="shared" si="8"/>
        <v>4679.7141600000004</v>
      </c>
      <c r="F281">
        <f t="shared" si="9"/>
        <v>-552.54583999999977</v>
      </c>
    </row>
    <row r="282" spans="1:6" x14ac:dyDescent="0.25">
      <c r="A282" s="24">
        <v>45748</v>
      </c>
      <c r="B282" s="6">
        <v>4</v>
      </c>
      <c r="C282" s="6">
        <v>132832.12643999999</v>
      </c>
      <c r="D282" s="6">
        <v>33836.716440000004</v>
      </c>
      <c r="E282">
        <f t="shared" si="8"/>
        <v>33208.031609999998</v>
      </c>
      <c r="F282">
        <f t="shared" si="9"/>
        <v>8459.1791100000009</v>
      </c>
    </row>
    <row r="283" spans="1:6" x14ac:dyDescent="0.25">
      <c r="A283" s="24">
        <v>45778</v>
      </c>
      <c r="B283" s="6">
        <v>1</v>
      </c>
      <c r="C283" s="6">
        <v>5331.6696000000002</v>
      </c>
      <c r="D283" s="6">
        <v>2775.8196000000003</v>
      </c>
      <c r="E283">
        <f t="shared" si="8"/>
        <v>5331.6696000000002</v>
      </c>
      <c r="F283">
        <f t="shared" si="9"/>
        <v>2775.8196000000003</v>
      </c>
    </row>
    <row r="284" spans="1:6" x14ac:dyDescent="0.25">
      <c r="A284" s="24">
        <v>45839</v>
      </c>
      <c r="B284" s="6">
        <v>1</v>
      </c>
      <c r="C284" s="6">
        <v>25174.028880000002</v>
      </c>
      <c r="D284" s="6">
        <v>993.24888000000283</v>
      </c>
      <c r="E284">
        <f t="shared" si="8"/>
        <v>25174.028880000002</v>
      </c>
      <c r="F284">
        <f t="shared" si="9"/>
        <v>993.24888000000283</v>
      </c>
    </row>
    <row r="285" spans="1:6" x14ac:dyDescent="0.25">
      <c r="A285" s="24">
        <v>45870</v>
      </c>
      <c r="B285" s="6">
        <v>1</v>
      </c>
      <c r="C285" s="6">
        <v>16609.090809999998</v>
      </c>
      <c r="D285" s="6">
        <v>4476.3208099999974</v>
      </c>
      <c r="E285">
        <f t="shared" si="8"/>
        <v>16609.090809999998</v>
      </c>
      <c r="F285">
        <f t="shared" si="9"/>
        <v>4476.3208099999974</v>
      </c>
    </row>
    <row r="286" spans="1:6" x14ac:dyDescent="0.25">
      <c r="A286" s="24">
        <v>45901</v>
      </c>
      <c r="B286" s="6">
        <v>1</v>
      </c>
      <c r="C286" s="6">
        <v>7578.84</v>
      </c>
      <c r="D286" s="6">
        <v>-1788.2399999999998</v>
      </c>
      <c r="E286">
        <f t="shared" si="8"/>
        <v>7578.84</v>
      </c>
      <c r="F286">
        <f t="shared" si="9"/>
        <v>-1788.2399999999998</v>
      </c>
    </row>
    <row r="287" spans="1:6" x14ac:dyDescent="0.25">
      <c r="A287" s="19" t="s">
        <v>716</v>
      </c>
      <c r="B287" s="6">
        <v>46</v>
      </c>
      <c r="C287" s="6">
        <v>853038.52344999986</v>
      </c>
      <c r="D287" s="6">
        <v>269716.55345000006</v>
      </c>
      <c r="E287">
        <f t="shared" si="8"/>
        <v>18544.315727173911</v>
      </c>
      <c r="F287">
        <f t="shared" si="9"/>
        <v>5863.4033358695669</v>
      </c>
    </row>
    <row r="288" spans="1:6" x14ac:dyDescent="0.25">
      <c r="A288" s="24">
        <v>44958</v>
      </c>
      <c r="B288" s="6">
        <v>3</v>
      </c>
      <c r="C288" s="6">
        <v>154279.37224</v>
      </c>
      <c r="D288" s="6">
        <v>60174.682239999995</v>
      </c>
      <c r="E288">
        <f t="shared" si="8"/>
        <v>51426.45741333333</v>
      </c>
      <c r="F288">
        <f t="shared" si="9"/>
        <v>20058.22741333333</v>
      </c>
    </row>
    <row r="289" spans="1:6" x14ac:dyDescent="0.25">
      <c r="A289" s="24">
        <v>44986</v>
      </c>
      <c r="B289" s="6">
        <v>1</v>
      </c>
      <c r="C289" s="6">
        <v>16013.681599999998</v>
      </c>
      <c r="D289" s="6">
        <v>-1301.0384000000031</v>
      </c>
      <c r="E289">
        <f t="shared" si="8"/>
        <v>16013.681599999998</v>
      </c>
      <c r="F289">
        <f t="shared" si="9"/>
        <v>-1301.0384000000031</v>
      </c>
    </row>
    <row r="290" spans="1:6" x14ac:dyDescent="0.25">
      <c r="A290" s="24">
        <v>45047</v>
      </c>
      <c r="B290" s="6">
        <v>2</v>
      </c>
      <c r="C290" s="6">
        <v>20703.635539999999</v>
      </c>
      <c r="D290" s="6">
        <v>10051.99554</v>
      </c>
      <c r="E290">
        <f t="shared" si="8"/>
        <v>10351.81777</v>
      </c>
      <c r="F290">
        <f t="shared" si="9"/>
        <v>5025.9977699999999</v>
      </c>
    </row>
    <row r="291" spans="1:6" x14ac:dyDescent="0.25">
      <c r="A291" s="24">
        <v>45108</v>
      </c>
      <c r="B291" s="6">
        <v>1</v>
      </c>
      <c r="C291" s="6">
        <v>10456.416880000001</v>
      </c>
      <c r="D291" s="6">
        <v>-6073.8631199999982</v>
      </c>
      <c r="E291">
        <f t="shared" si="8"/>
        <v>10456.416880000001</v>
      </c>
      <c r="F291">
        <f t="shared" si="9"/>
        <v>-6073.8631199999982</v>
      </c>
    </row>
    <row r="292" spans="1:6" x14ac:dyDescent="0.25">
      <c r="A292" s="24">
        <v>45139</v>
      </c>
      <c r="B292" s="6">
        <v>2</v>
      </c>
      <c r="C292" s="6">
        <v>23239.573490000002</v>
      </c>
      <c r="D292" s="6">
        <v>10532.763490000001</v>
      </c>
      <c r="E292">
        <f t="shared" si="8"/>
        <v>11619.786745000001</v>
      </c>
      <c r="F292">
        <f t="shared" si="9"/>
        <v>5266.3817450000006</v>
      </c>
    </row>
    <row r="293" spans="1:6" x14ac:dyDescent="0.25">
      <c r="A293" s="24">
        <v>45200</v>
      </c>
      <c r="B293" s="6">
        <v>1</v>
      </c>
      <c r="C293" s="6">
        <v>8644.6696000000011</v>
      </c>
      <c r="D293" s="6">
        <v>4570.1896000000015</v>
      </c>
      <c r="E293">
        <f t="shared" si="8"/>
        <v>8644.6696000000011</v>
      </c>
      <c r="F293">
        <f t="shared" si="9"/>
        <v>4570.1896000000015</v>
      </c>
    </row>
    <row r="294" spans="1:6" x14ac:dyDescent="0.25">
      <c r="A294" s="24">
        <v>45231</v>
      </c>
      <c r="B294" s="6">
        <v>3</v>
      </c>
      <c r="C294" s="6">
        <v>16038.076859999999</v>
      </c>
      <c r="D294" s="6">
        <v>2257.2168599999995</v>
      </c>
      <c r="E294">
        <f t="shared" si="8"/>
        <v>5346.0256199999994</v>
      </c>
      <c r="F294">
        <f t="shared" si="9"/>
        <v>752.40561999999989</v>
      </c>
    </row>
    <row r="295" spans="1:6" x14ac:dyDescent="0.25">
      <c r="A295" s="24">
        <v>45261</v>
      </c>
      <c r="B295" s="6">
        <v>4</v>
      </c>
      <c r="C295" s="6">
        <v>59037.761550000003</v>
      </c>
      <c r="D295" s="6">
        <v>4080.7615500000011</v>
      </c>
      <c r="E295">
        <f t="shared" si="8"/>
        <v>14759.440387500001</v>
      </c>
      <c r="F295">
        <f t="shared" si="9"/>
        <v>1020.1903875000003</v>
      </c>
    </row>
    <row r="296" spans="1:6" x14ac:dyDescent="0.25">
      <c r="A296" s="24">
        <v>45292</v>
      </c>
      <c r="B296" s="6">
        <v>1</v>
      </c>
      <c r="C296" s="6">
        <v>14813.731920000002</v>
      </c>
      <c r="D296" s="6">
        <v>6152.7419200000022</v>
      </c>
      <c r="E296">
        <f t="shared" si="8"/>
        <v>14813.731920000002</v>
      </c>
      <c r="F296">
        <f t="shared" si="9"/>
        <v>6152.7419200000022</v>
      </c>
    </row>
    <row r="297" spans="1:6" x14ac:dyDescent="0.25">
      <c r="A297" s="24">
        <v>45323</v>
      </c>
      <c r="B297" s="6">
        <v>1</v>
      </c>
      <c r="C297" s="6">
        <v>1446.9507000000001</v>
      </c>
      <c r="D297" s="6">
        <v>-69.439300000000003</v>
      </c>
      <c r="E297">
        <f t="shared" si="8"/>
        <v>1446.9507000000001</v>
      </c>
      <c r="F297">
        <f t="shared" si="9"/>
        <v>-69.439300000000003</v>
      </c>
    </row>
    <row r="298" spans="1:6" x14ac:dyDescent="0.25">
      <c r="A298" s="24">
        <v>45352</v>
      </c>
      <c r="B298" s="6">
        <v>1</v>
      </c>
      <c r="C298" s="6">
        <v>25131.155999999999</v>
      </c>
      <c r="D298" s="6">
        <v>5406.6759999999995</v>
      </c>
      <c r="E298">
        <f t="shared" si="8"/>
        <v>25131.155999999999</v>
      </c>
      <c r="F298">
        <f t="shared" si="9"/>
        <v>5406.6759999999995</v>
      </c>
    </row>
    <row r="299" spans="1:6" x14ac:dyDescent="0.25">
      <c r="A299" s="24">
        <v>45413</v>
      </c>
      <c r="B299" s="6">
        <v>2</v>
      </c>
      <c r="C299" s="6">
        <v>43467.767819999994</v>
      </c>
      <c r="D299" s="6">
        <v>16357.627819999996</v>
      </c>
      <c r="E299">
        <f t="shared" si="8"/>
        <v>21733.883909999997</v>
      </c>
      <c r="F299">
        <f t="shared" si="9"/>
        <v>8178.813909999998</v>
      </c>
    </row>
    <row r="300" spans="1:6" x14ac:dyDescent="0.25">
      <c r="A300" s="24">
        <v>45444</v>
      </c>
      <c r="B300" s="6">
        <v>3</v>
      </c>
      <c r="C300" s="6">
        <v>78199.401429999998</v>
      </c>
      <c r="D300" s="6">
        <v>29089.111430000008</v>
      </c>
      <c r="E300">
        <f t="shared" si="8"/>
        <v>26066.467143333331</v>
      </c>
      <c r="F300">
        <f t="shared" si="9"/>
        <v>9696.3704766666688</v>
      </c>
    </row>
    <row r="301" spans="1:6" x14ac:dyDescent="0.25">
      <c r="A301" s="24">
        <v>45505</v>
      </c>
      <c r="B301" s="6">
        <v>2</v>
      </c>
      <c r="C301" s="6">
        <v>56918.809200000003</v>
      </c>
      <c r="D301" s="6">
        <v>26911.8292</v>
      </c>
      <c r="E301">
        <f t="shared" si="8"/>
        <v>28459.404600000002</v>
      </c>
      <c r="F301">
        <f t="shared" si="9"/>
        <v>13455.9146</v>
      </c>
    </row>
    <row r="302" spans="1:6" x14ac:dyDescent="0.25">
      <c r="A302" s="24">
        <v>45536</v>
      </c>
      <c r="B302" s="6">
        <v>2</v>
      </c>
      <c r="C302" s="6">
        <v>22810.224009999998</v>
      </c>
      <c r="D302" s="6">
        <v>2080.8540099999964</v>
      </c>
      <c r="E302">
        <f t="shared" si="8"/>
        <v>11405.112004999999</v>
      </c>
      <c r="F302">
        <f t="shared" si="9"/>
        <v>1040.4270049999982</v>
      </c>
    </row>
    <row r="303" spans="1:6" x14ac:dyDescent="0.25">
      <c r="A303" s="24">
        <v>45566</v>
      </c>
      <c r="B303" s="6">
        <v>1</v>
      </c>
      <c r="C303" s="6">
        <v>50296.415399999998</v>
      </c>
      <c r="D303" s="6">
        <v>4444.2353999999978</v>
      </c>
      <c r="E303">
        <f t="shared" si="8"/>
        <v>50296.415399999998</v>
      </c>
      <c r="F303">
        <f t="shared" si="9"/>
        <v>4444.2353999999978</v>
      </c>
    </row>
    <row r="304" spans="1:6" x14ac:dyDescent="0.25">
      <c r="A304" s="24">
        <v>45597</v>
      </c>
      <c r="B304" s="6">
        <v>1</v>
      </c>
      <c r="C304" s="6">
        <v>33071.3145</v>
      </c>
      <c r="D304" s="6">
        <v>10347.694500000001</v>
      </c>
      <c r="E304">
        <f t="shared" si="8"/>
        <v>33071.3145</v>
      </c>
      <c r="F304">
        <f t="shared" si="9"/>
        <v>10347.694500000001</v>
      </c>
    </row>
    <row r="305" spans="1:6" x14ac:dyDescent="0.25">
      <c r="A305" s="24">
        <v>45627</v>
      </c>
      <c r="B305" s="6">
        <v>1</v>
      </c>
      <c r="C305" s="6">
        <v>4790.1068000000005</v>
      </c>
      <c r="D305" s="6">
        <v>2015.5468000000005</v>
      </c>
      <c r="E305">
        <f t="shared" si="8"/>
        <v>4790.1068000000005</v>
      </c>
      <c r="F305">
        <f t="shared" si="9"/>
        <v>2015.5468000000005</v>
      </c>
    </row>
    <row r="306" spans="1:6" x14ac:dyDescent="0.25">
      <c r="A306" s="24">
        <v>45658</v>
      </c>
      <c r="B306" s="6">
        <v>2</v>
      </c>
      <c r="C306" s="6">
        <v>58114.984199999999</v>
      </c>
      <c r="D306" s="6">
        <v>33386.124199999998</v>
      </c>
      <c r="E306">
        <f t="shared" si="8"/>
        <v>29057.492099999999</v>
      </c>
      <c r="F306">
        <f t="shared" si="9"/>
        <v>16693.062099999999</v>
      </c>
    </row>
    <row r="307" spans="1:6" x14ac:dyDescent="0.25">
      <c r="A307" s="24">
        <v>45689</v>
      </c>
      <c r="B307" s="6">
        <v>5</v>
      </c>
      <c r="C307" s="6">
        <v>64262.841720000011</v>
      </c>
      <c r="D307" s="6">
        <v>16718.201720000001</v>
      </c>
      <c r="E307">
        <f t="shared" si="8"/>
        <v>12852.568344000003</v>
      </c>
      <c r="F307">
        <f t="shared" si="9"/>
        <v>3343.6403440000004</v>
      </c>
    </row>
    <row r="308" spans="1:6" x14ac:dyDescent="0.25">
      <c r="A308" s="24">
        <v>45717</v>
      </c>
      <c r="B308" s="6">
        <v>1</v>
      </c>
      <c r="C308" s="6">
        <v>1098.9470800000001</v>
      </c>
      <c r="D308" s="6">
        <v>311.12708000000009</v>
      </c>
      <c r="E308">
        <f t="shared" si="8"/>
        <v>1098.9470800000001</v>
      </c>
      <c r="F308">
        <f t="shared" si="9"/>
        <v>311.12708000000009</v>
      </c>
    </row>
    <row r="309" spans="1:6" x14ac:dyDescent="0.25">
      <c r="A309" s="24">
        <v>45748</v>
      </c>
      <c r="B309" s="6">
        <v>1</v>
      </c>
      <c r="C309" s="6">
        <v>22676.312610000001</v>
      </c>
      <c r="D309" s="6">
        <v>7568.7026100000021</v>
      </c>
      <c r="E309">
        <f t="shared" si="8"/>
        <v>22676.312610000001</v>
      </c>
      <c r="F309">
        <f t="shared" si="9"/>
        <v>7568.7026100000021</v>
      </c>
    </row>
    <row r="310" spans="1:6" x14ac:dyDescent="0.25">
      <c r="A310" s="24">
        <v>45778</v>
      </c>
      <c r="B310" s="6">
        <v>1</v>
      </c>
      <c r="C310" s="6">
        <v>6229.7423999999992</v>
      </c>
      <c r="D310" s="6">
        <v>2392.0423999999994</v>
      </c>
      <c r="E310">
        <f t="shared" si="8"/>
        <v>6229.7423999999992</v>
      </c>
      <c r="F310">
        <f t="shared" si="9"/>
        <v>2392.0423999999994</v>
      </c>
    </row>
    <row r="311" spans="1:6" x14ac:dyDescent="0.25">
      <c r="A311" s="24">
        <v>45809</v>
      </c>
      <c r="B311" s="6">
        <v>2</v>
      </c>
      <c r="C311" s="6">
        <v>55790.367660000004</v>
      </c>
      <c r="D311" s="6">
        <v>22883.38766</v>
      </c>
      <c r="E311">
        <f t="shared" si="8"/>
        <v>27895.183830000002</v>
      </c>
      <c r="F311">
        <f t="shared" si="9"/>
        <v>11441.69383</v>
      </c>
    </row>
    <row r="312" spans="1:6" x14ac:dyDescent="0.25">
      <c r="A312" s="24">
        <v>45901</v>
      </c>
      <c r="B312" s="6">
        <v>2</v>
      </c>
      <c r="C312" s="6">
        <v>5506.26224</v>
      </c>
      <c r="D312" s="6">
        <v>-572.61776000000032</v>
      </c>
      <c r="E312">
        <f t="shared" si="8"/>
        <v>2753.13112</v>
      </c>
      <c r="F312">
        <f t="shared" si="9"/>
        <v>-286.30888000000016</v>
      </c>
    </row>
    <row r="313" spans="1:6" x14ac:dyDescent="0.25">
      <c r="A313" s="19" t="s">
        <v>724</v>
      </c>
      <c r="B313" s="6">
        <v>48</v>
      </c>
      <c r="C313" s="6">
        <v>966298.98754999973</v>
      </c>
      <c r="D313" s="6">
        <v>302657.05755000003</v>
      </c>
      <c r="E313">
        <f t="shared" si="8"/>
        <v>20131.228907291661</v>
      </c>
      <c r="F313">
        <f t="shared" si="9"/>
        <v>6305.3553656250006</v>
      </c>
    </row>
    <row r="314" spans="1:6" x14ac:dyDescent="0.25">
      <c r="A314" s="24">
        <v>44927</v>
      </c>
      <c r="B314" s="6">
        <v>2</v>
      </c>
      <c r="C314" s="6">
        <v>59369.677579999996</v>
      </c>
      <c r="D314" s="6">
        <v>14446.197579999995</v>
      </c>
      <c r="E314">
        <f t="shared" si="8"/>
        <v>29684.838789999998</v>
      </c>
      <c r="F314">
        <f t="shared" si="9"/>
        <v>7223.0987899999973</v>
      </c>
    </row>
    <row r="315" spans="1:6" x14ac:dyDescent="0.25">
      <c r="A315" s="24">
        <v>44958</v>
      </c>
      <c r="B315" s="6">
        <v>3</v>
      </c>
      <c r="C315" s="6">
        <v>82434.69219999999</v>
      </c>
      <c r="D315" s="6">
        <v>30717.392199999995</v>
      </c>
      <c r="E315">
        <f t="shared" si="8"/>
        <v>27478.23073333333</v>
      </c>
      <c r="F315">
        <f t="shared" si="9"/>
        <v>10239.130733333332</v>
      </c>
    </row>
    <row r="316" spans="1:6" x14ac:dyDescent="0.25">
      <c r="A316" s="24">
        <v>45017</v>
      </c>
      <c r="B316" s="6">
        <v>5</v>
      </c>
      <c r="C316" s="6">
        <v>33021.601739999998</v>
      </c>
      <c r="D316" s="6">
        <v>-1593.1182599999979</v>
      </c>
      <c r="E316">
        <f t="shared" si="8"/>
        <v>6604.3203479999993</v>
      </c>
      <c r="F316">
        <f t="shared" si="9"/>
        <v>-318.62365199999959</v>
      </c>
    </row>
    <row r="317" spans="1:6" x14ac:dyDescent="0.25">
      <c r="A317" s="24">
        <v>45047</v>
      </c>
      <c r="B317" s="6">
        <v>3</v>
      </c>
      <c r="C317" s="6">
        <v>112059.41803999999</v>
      </c>
      <c r="D317" s="6">
        <v>56511.468039999992</v>
      </c>
      <c r="E317">
        <f t="shared" si="8"/>
        <v>37353.139346666663</v>
      </c>
      <c r="F317">
        <f t="shared" si="9"/>
        <v>18837.15601333333</v>
      </c>
    </row>
    <row r="318" spans="1:6" x14ac:dyDescent="0.25">
      <c r="A318" s="24">
        <v>45078</v>
      </c>
      <c r="B318" s="6">
        <v>1</v>
      </c>
      <c r="C318" s="6">
        <v>11283.400799999999</v>
      </c>
      <c r="D318" s="6">
        <v>4212.1007999999993</v>
      </c>
      <c r="E318">
        <f t="shared" si="8"/>
        <v>11283.400799999999</v>
      </c>
      <c r="F318">
        <f t="shared" si="9"/>
        <v>4212.1007999999993</v>
      </c>
    </row>
    <row r="319" spans="1:6" x14ac:dyDescent="0.25">
      <c r="A319" s="24">
        <v>45108</v>
      </c>
      <c r="B319" s="6">
        <v>2</v>
      </c>
      <c r="C319" s="6">
        <v>49154.314259999999</v>
      </c>
      <c r="D319" s="6">
        <v>4265.4742600000009</v>
      </c>
      <c r="E319">
        <f t="shared" si="8"/>
        <v>24577.15713</v>
      </c>
      <c r="F319">
        <f t="shared" si="9"/>
        <v>2132.7371300000004</v>
      </c>
    </row>
    <row r="320" spans="1:6" x14ac:dyDescent="0.25">
      <c r="A320" s="24">
        <v>45139</v>
      </c>
      <c r="B320" s="6">
        <v>1</v>
      </c>
      <c r="C320" s="6">
        <v>33421.1</v>
      </c>
      <c r="D320" s="6">
        <v>19424.699999999997</v>
      </c>
      <c r="E320">
        <f t="shared" si="8"/>
        <v>33421.1</v>
      </c>
      <c r="F320">
        <f t="shared" si="9"/>
        <v>19424.699999999997</v>
      </c>
    </row>
    <row r="321" spans="1:6" x14ac:dyDescent="0.25">
      <c r="A321" s="24">
        <v>45261</v>
      </c>
      <c r="B321" s="6">
        <v>1</v>
      </c>
      <c r="C321" s="6">
        <v>4133.25108</v>
      </c>
      <c r="D321" s="6">
        <v>1176.75108</v>
      </c>
      <c r="E321">
        <f t="shared" si="8"/>
        <v>4133.25108</v>
      </c>
      <c r="F321">
        <f t="shared" si="9"/>
        <v>1176.75108</v>
      </c>
    </row>
    <row r="322" spans="1:6" x14ac:dyDescent="0.25">
      <c r="A322" s="24">
        <v>45352</v>
      </c>
      <c r="B322" s="6">
        <v>4</v>
      </c>
      <c r="C322" s="6">
        <v>30049.560869999998</v>
      </c>
      <c r="D322" s="6">
        <v>9117.7908700000007</v>
      </c>
      <c r="E322">
        <f t="shared" si="8"/>
        <v>7512.3902174999994</v>
      </c>
      <c r="F322">
        <f t="shared" si="9"/>
        <v>2279.4477175000002</v>
      </c>
    </row>
    <row r="323" spans="1:6" x14ac:dyDescent="0.25">
      <c r="A323" s="24">
        <v>45413</v>
      </c>
      <c r="B323" s="6">
        <v>1</v>
      </c>
      <c r="C323" s="6">
        <v>12080.215199999999</v>
      </c>
      <c r="D323" s="6">
        <v>-1809.9048000000003</v>
      </c>
      <c r="E323">
        <f t="shared" si="8"/>
        <v>12080.215199999999</v>
      </c>
      <c r="F323">
        <f t="shared" si="9"/>
        <v>-1809.9048000000003</v>
      </c>
    </row>
    <row r="324" spans="1:6" x14ac:dyDescent="0.25">
      <c r="A324" s="24">
        <v>45444</v>
      </c>
      <c r="B324" s="6">
        <v>4</v>
      </c>
      <c r="C324" s="6">
        <v>180124.25796000002</v>
      </c>
      <c r="D324" s="6">
        <v>83632.727960000018</v>
      </c>
      <c r="E324">
        <f t="shared" si="8"/>
        <v>45031.064490000004</v>
      </c>
      <c r="F324">
        <f t="shared" si="9"/>
        <v>20908.181990000005</v>
      </c>
    </row>
    <row r="325" spans="1:6" x14ac:dyDescent="0.25">
      <c r="A325" s="24">
        <v>45474</v>
      </c>
      <c r="B325" s="6">
        <v>1</v>
      </c>
      <c r="C325" s="6">
        <v>10937.519999999999</v>
      </c>
      <c r="D325" s="6">
        <v>2501.7599999999984</v>
      </c>
      <c r="E325">
        <f t="shared" ref="E325:E388" si="10">IF(B325=0,"",C325/B325)</f>
        <v>10937.519999999999</v>
      </c>
      <c r="F325">
        <f t="shared" ref="F325:F388" si="11">IF(B325=0,"",D325/B325)</f>
        <v>2501.7599999999984</v>
      </c>
    </row>
    <row r="326" spans="1:6" x14ac:dyDescent="0.25">
      <c r="A326" s="24">
        <v>45505</v>
      </c>
      <c r="B326" s="6">
        <v>1</v>
      </c>
      <c r="C326" s="6">
        <v>5962.1422499999999</v>
      </c>
      <c r="D326" s="6">
        <v>1829.6422499999999</v>
      </c>
      <c r="E326">
        <f t="shared" si="10"/>
        <v>5962.1422499999999</v>
      </c>
      <c r="F326">
        <f t="shared" si="11"/>
        <v>1829.6422499999999</v>
      </c>
    </row>
    <row r="327" spans="1:6" x14ac:dyDescent="0.25">
      <c r="A327" s="24">
        <v>45536</v>
      </c>
      <c r="B327" s="6">
        <v>1</v>
      </c>
      <c r="C327" s="6">
        <v>37038.581760000001</v>
      </c>
      <c r="D327" s="6">
        <v>4902.8217599999989</v>
      </c>
      <c r="E327">
        <f t="shared" si="10"/>
        <v>37038.581760000001</v>
      </c>
      <c r="F327">
        <f t="shared" si="11"/>
        <v>4902.8217599999989</v>
      </c>
    </row>
    <row r="328" spans="1:6" x14ac:dyDescent="0.25">
      <c r="A328" s="24">
        <v>45566</v>
      </c>
      <c r="B328" s="6">
        <v>2</v>
      </c>
      <c r="C328" s="6">
        <v>46462.078410000002</v>
      </c>
      <c r="D328" s="6">
        <v>14067.788410000001</v>
      </c>
      <c r="E328">
        <f t="shared" si="10"/>
        <v>23231.039205000001</v>
      </c>
      <c r="F328">
        <f t="shared" si="11"/>
        <v>7033.8942050000005</v>
      </c>
    </row>
    <row r="329" spans="1:6" x14ac:dyDescent="0.25">
      <c r="A329" s="24">
        <v>45597</v>
      </c>
      <c r="B329" s="6">
        <v>2</v>
      </c>
      <c r="C329" s="6">
        <v>43917.35</v>
      </c>
      <c r="D329" s="6">
        <v>18005.870000000003</v>
      </c>
      <c r="E329">
        <f t="shared" si="10"/>
        <v>21958.674999999999</v>
      </c>
      <c r="F329">
        <f t="shared" si="11"/>
        <v>9002.9350000000013</v>
      </c>
    </row>
    <row r="330" spans="1:6" x14ac:dyDescent="0.25">
      <c r="A330" s="24">
        <v>45627</v>
      </c>
      <c r="B330" s="6">
        <v>2</v>
      </c>
      <c r="C330" s="6">
        <v>34488.635480000004</v>
      </c>
      <c r="D330" s="6">
        <v>-2758.9445199999955</v>
      </c>
      <c r="E330">
        <f t="shared" si="10"/>
        <v>17244.317740000002</v>
      </c>
      <c r="F330">
        <f t="shared" si="11"/>
        <v>-1379.4722599999977</v>
      </c>
    </row>
    <row r="331" spans="1:6" x14ac:dyDescent="0.25">
      <c r="A331" s="24">
        <v>45748</v>
      </c>
      <c r="B331" s="6">
        <v>1</v>
      </c>
      <c r="C331" s="6">
        <v>8903.4839999999986</v>
      </c>
      <c r="D331" s="6">
        <v>1827.6839999999984</v>
      </c>
      <c r="E331">
        <f t="shared" si="10"/>
        <v>8903.4839999999986</v>
      </c>
      <c r="F331">
        <f t="shared" si="11"/>
        <v>1827.6839999999984</v>
      </c>
    </row>
    <row r="332" spans="1:6" x14ac:dyDescent="0.25">
      <c r="A332" s="24">
        <v>45778</v>
      </c>
      <c r="B332" s="6">
        <v>1</v>
      </c>
      <c r="C332" s="6">
        <v>39263.702919999996</v>
      </c>
      <c r="D332" s="6">
        <v>19975.662919999995</v>
      </c>
      <c r="E332">
        <f t="shared" si="10"/>
        <v>39263.702919999996</v>
      </c>
      <c r="F332">
        <f t="shared" si="11"/>
        <v>19975.662919999995</v>
      </c>
    </row>
    <row r="333" spans="1:6" x14ac:dyDescent="0.25">
      <c r="A333" s="24">
        <v>45809</v>
      </c>
      <c r="B333" s="6">
        <v>3</v>
      </c>
      <c r="C333" s="6">
        <v>55716.89</v>
      </c>
      <c r="D333" s="6">
        <v>17652.439999999995</v>
      </c>
      <c r="E333">
        <f t="shared" si="10"/>
        <v>18572.296666666665</v>
      </c>
      <c r="F333">
        <f t="shared" si="11"/>
        <v>5884.1466666666647</v>
      </c>
    </row>
    <row r="334" spans="1:6" x14ac:dyDescent="0.25">
      <c r="A334" s="24">
        <v>45839</v>
      </c>
      <c r="B334" s="6">
        <v>3</v>
      </c>
      <c r="C334" s="6">
        <v>38550.959439999991</v>
      </c>
      <c r="D334" s="6">
        <v>11070.659439999996</v>
      </c>
      <c r="E334">
        <f t="shared" si="10"/>
        <v>12850.31981333333</v>
      </c>
      <c r="F334">
        <f t="shared" si="11"/>
        <v>3690.2198133333318</v>
      </c>
    </row>
    <row r="335" spans="1:6" x14ac:dyDescent="0.25">
      <c r="A335" s="24">
        <v>45870</v>
      </c>
      <c r="B335" s="6">
        <v>3</v>
      </c>
      <c r="C335" s="6">
        <v>25328.63132</v>
      </c>
      <c r="D335" s="6">
        <v>1412.2813199999973</v>
      </c>
      <c r="E335">
        <f t="shared" si="10"/>
        <v>8442.8771066666668</v>
      </c>
      <c r="F335">
        <f t="shared" si="11"/>
        <v>470.76043999999911</v>
      </c>
    </row>
    <row r="336" spans="1:6" x14ac:dyDescent="0.25">
      <c r="A336" s="24">
        <v>45901</v>
      </c>
      <c r="B336" s="6">
        <v>1</v>
      </c>
      <c r="C336" s="6">
        <v>12597.52224</v>
      </c>
      <c r="D336" s="6">
        <v>-7932.1877600000025</v>
      </c>
      <c r="E336">
        <f t="shared" si="10"/>
        <v>12597.52224</v>
      </c>
      <c r="F336">
        <f t="shared" si="11"/>
        <v>-7932.1877600000025</v>
      </c>
    </row>
    <row r="337" spans="1:6" x14ac:dyDescent="0.25">
      <c r="A337" s="19" t="s">
        <v>725</v>
      </c>
      <c r="B337" s="6">
        <v>32</v>
      </c>
      <c r="C337" s="6">
        <v>388325.13659000001</v>
      </c>
      <c r="D337" s="6">
        <v>110646.45659</v>
      </c>
      <c r="E337">
        <f t="shared" si="10"/>
        <v>12135.1605184375</v>
      </c>
      <c r="F337">
        <f t="shared" si="11"/>
        <v>3457.7017684375</v>
      </c>
    </row>
    <row r="338" spans="1:6" x14ac:dyDescent="0.25">
      <c r="A338" s="24">
        <v>44927</v>
      </c>
      <c r="B338" s="6">
        <v>1</v>
      </c>
      <c r="C338" s="6">
        <v>8336.8896000000004</v>
      </c>
      <c r="D338" s="6">
        <v>-6722.3104000000003</v>
      </c>
      <c r="E338">
        <f t="shared" si="10"/>
        <v>8336.8896000000004</v>
      </c>
      <c r="F338">
        <f t="shared" si="11"/>
        <v>-6722.3104000000003</v>
      </c>
    </row>
    <row r="339" spans="1:6" x14ac:dyDescent="0.25">
      <c r="A339" s="24">
        <v>44958</v>
      </c>
      <c r="B339" s="6">
        <v>1</v>
      </c>
      <c r="C339" s="6">
        <v>24894.430559999997</v>
      </c>
      <c r="D339" s="6">
        <v>13511.830559999999</v>
      </c>
      <c r="E339">
        <f t="shared" si="10"/>
        <v>24894.430559999997</v>
      </c>
      <c r="F339">
        <f t="shared" si="11"/>
        <v>13511.830559999999</v>
      </c>
    </row>
    <row r="340" spans="1:6" x14ac:dyDescent="0.25">
      <c r="A340" s="24">
        <v>45017</v>
      </c>
      <c r="B340" s="6">
        <v>1</v>
      </c>
      <c r="C340" s="6">
        <v>15490.527</v>
      </c>
      <c r="D340" s="6">
        <v>-846.72300000000178</v>
      </c>
      <c r="E340">
        <f t="shared" si="10"/>
        <v>15490.527</v>
      </c>
      <c r="F340">
        <f t="shared" si="11"/>
        <v>-846.72300000000178</v>
      </c>
    </row>
    <row r="341" spans="1:6" x14ac:dyDescent="0.25">
      <c r="A341" s="24">
        <v>45078</v>
      </c>
      <c r="B341" s="6">
        <v>1</v>
      </c>
      <c r="C341" s="6">
        <v>33017.42</v>
      </c>
      <c r="D341" s="6">
        <v>14455.96</v>
      </c>
      <c r="E341">
        <f t="shared" si="10"/>
        <v>33017.42</v>
      </c>
      <c r="F341">
        <f t="shared" si="11"/>
        <v>14455.96</v>
      </c>
    </row>
    <row r="342" spans="1:6" x14ac:dyDescent="0.25">
      <c r="A342" s="24">
        <v>45108</v>
      </c>
      <c r="B342" s="6">
        <v>2</v>
      </c>
      <c r="C342" s="6">
        <v>15776.763060000001</v>
      </c>
      <c r="D342" s="6">
        <v>8062.4830600000023</v>
      </c>
      <c r="E342">
        <f t="shared" si="10"/>
        <v>7888.3815300000006</v>
      </c>
      <c r="F342">
        <f t="shared" si="11"/>
        <v>4031.2415300000011</v>
      </c>
    </row>
    <row r="343" spans="1:6" x14ac:dyDescent="0.25">
      <c r="A343" s="24">
        <v>45139</v>
      </c>
      <c r="B343" s="6">
        <v>6</v>
      </c>
      <c r="C343" s="6">
        <v>34902.60944</v>
      </c>
      <c r="D343" s="6">
        <v>16226.139439999999</v>
      </c>
      <c r="E343">
        <f t="shared" si="10"/>
        <v>5817.1015733333334</v>
      </c>
      <c r="F343">
        <f t="shared" si="11"/>
        <v>2704.356573333333</v>
      </c>
    </row>
    <row r="344" spans="1:6" x14ac:dyDescent="0.25">
      <c r="A344" s="24">
        <v>45261</v>
      </c>
      <c r="B344" s="6">
        <v>2</v>
      </c>
      <c r="C344" s="6">
        <v>30124.515809999997</v>
      </c>
      <c r="D344" s="6">
        <v>7701.2058099999986</v>
      </c>
      <c r="E344">
        <f t="shared" si="10"/>
        <v>15062.257904999999</v>
      </c>
      <c r="F344">
        <f t="shared" si="11"/>
        <v>3850.6029049999993</v>
      </c>
    </row>
    <row r="345" spans="1:6" x14ac:dyDescent="0.25">
      <c r="A345" s="24">
        <v>45292</v>
      </c>
      <c r="B345" s="6">
        <v>1</v>
      </c>
      <c r="C345" s="6">
        <v>8567.3924999999999</v>
      </c>
      <c r="D345" s="6">
        <v>101.57250000000022</v>
      </c>
      <c r="E345">
        <f t="shared" si="10"/>
        <v>8567.3924999999999</v>
      </c>
      <c r="F345">
        <f t="shared" si="11"/>
        <v>101.57250000000022</v>
      </c>
    </row>
    <row r="346" spans="1:6" x14ac:dyDescent="0.25">
      <c r="A346" s="24">
        <v>45383</v>
      </c>
      <c r="B346" s="6">
        <v>3</v>
      </c>
      <c r="C346" s="6">
        <v>31703.935460000001</v>
      </c>
      <c r="D346" s="6">
        <v>4513.6954600000017</v>
      </c>
      <c r="E346">
        <f t="shared" si="10"/>
        <v>10567.978486666667</v>
      </c>
      <c r="F346">
        <f t="shared" si="11"/>
        <v>1504.5651533333339</v>
      </c>
    </row>
    <row r="347" spans="1:6" x14ac:dyDescent="0.25">
      <c r="A347" s="24">
        <v>45413</v>
      </c>
      <c r="B347" s="6">
        <v>1</v>
      </c>
      <c r="C347" s="6">
        <v>12413.98458</v>
      </c>
      <c r="D347" s="6">
        <v>-921.67541999999958</v>
      </c>
      <c r="E347">
        <f t="shared" si="10"/>
        <v>12413.98458</v>
      </c>
      <c r="F347">
        <f t="shared" si="11"/>
        <v>-921.67541999999958</v>
      </c>
    </row>
    <row r="348" spans="1:6" x14ac:dyDescent="0.25">
      <c r="A348" s="24">
        <v>45505</v>
      </c>
      <c r="B348" s="6">
        <v>1</v>
      </c>
      <c r="C348" s="6">
        <v>5323.9903199999999</v>
      </c>
      <c r="D348" s="6">
        <v>1594.7103199999997</v>
      </c>
      <c r="E348">
        <f t="shared" si="10"/>
        <v>5323.9903199999999</v>
      </c>
      <c r="F348">
        <f t="shared" si="11"/>
        <v>1594.7103199999997</v>
      </c>
    </row>
    <row r="349" spans="1:6" x14ac:dyDescent="0.25">
      <c r="A349" s="24">
        <v>45536</v>
      </c>
      <c r="B349" s="6">
        <v>2</v>
      </c>
      <c r="C349" s="6">
        <v>47234.331539999999</v>
      </c>
      <c r="D349" s="6">
        <v>21510.681539999998</v>
      </c>
      <c r="E349">
        <f t="shared" si="10"/>
        <v>23617.16577</v>
      </c>
      <c r="F349">
        <f t="shared" si="11"/>
        <v>10755.340769999999</v>
      </c>
    </row>
    <row r="350" spans="1:6" x14ac:dyDescent="0.25">
      <c r="A350" s="24">
        <v>45566</v>
      </c>
      <c r="B350" s="6">
        <v>1</v>
      </c>
      <c r="C350" s="6">
        <v>6766.9829999999993</v>
      </c>
      <c r="D350" s="6">
        <v>67.082999999998719</v>
      </c>
      <c r="E350">
        <f t="shared" si="10"/>
        <v>6766.9829999999993</v>
      </c>
      <c r="F350">
        <f t="shared" si="11"/>
        <v>67.082999999998719</v>
      </c>
    </row>
    <row r="351" spans="1:6" x14ac:dyDescent="0.25">
      <c r="A351" s="24">
        <v>45689</v>
      </c>
      <c r="B351" s="6">
        <v>1</v>
      </c>
      <c r="C351" s="6">
        <v>266.17821999999995</v>
      </c>
      <c r="D351" s="6">
        <v>-96.841780000000028</v>
      </c>
      <c r="E351">
        <f t="shared" si="10"/>
        <v>266.17821999999995</v>
      </c>
      <c r="F351">
        <f t="shared" si="11"/>
        <v>-96.841780000000028</v>
      </c>
    </row>
    <row r="352" spans="1:6" x14ac:dyDescent="0.25">
      <c r="A352" s="24">
        <v>45748</v>
      </c>
      <c r="B352" s="6">
        <v>3</v>
      </c>
      <c r="C352" s="6">
        <v>47242.752059999999</v>
      </c>
      <c r="D352" s="6">
        <v>11368.762060000005</v>
      </c>
      <c r="E352">
        <f t="shared" si="10"/>
        <v>15747.58402</v>
      </c>
      <c r="F352">
        <f t="shared" si="11"/>
        <v>3789.5873533333347</v>
      </c>
    </row>
    <row r="353" spans="1:6" x14ac:dyDescent="0.25">
      <c r="A353" s="24">
        <v>45809</v>
      </c>
      <c r="B353" s="6">
        <v>2</v>
      </c>
      <c r="C353" s="6">
        <v>12555.52224</v>
      </c>
      <c r="D353" s="6">
        <v>5934.5422399999998</v>
      </c>
      <c r="E353">
        <f t="shared" si="10"/>
        <v>6277.7611200000001</v>
      </c>
      <c r="F353">
        <f t="shared" si="11"/>
        <v>2967.2711199999999</v>
      </c>
    </row>
    <row r="354" spans="1:6" x14ac:dyDescent="0.25">
      <c r="A354" s="24">
        <v>45870</v>
      </c>
      <c r="B354" s="6">
        <v>2</v>
      </c>
      <c r="C354" s="6">
        <v>44942.504639999992</v>
      </c>
      <c r="D354" s="6">
        <v>10947.884639999993</v>
      </c>
      <c r="E354">
        <f t="shared" si="10"/>
        <v>22471.252319999996</v>
      </c>
      <c r="F354">
        <f t="shared" si="11"/>
        <v>5473.9423199999965</v>
      </c>
    </row>
    <row r="355" spans="1:6" x14ac:dyDescent="0.25">
      <c r="A355" s="24">
        <v>45901</v>
      </c>
      <c r="B355" s="6">
        <v>1</v>
      </c>
      <c r="C355" s="6">
        <v>8764.4065599999994</v>
      </c>
      <c r="D355" s="6">
        <v>3237.4565599999996</v>
      </c>
      <c r="E355">
        <f t="shared" si="10"/>
        <v>8764.4065599999994</v>
      </c>
      <c r="F355">
        <f t="shared" si="11"/>
        <v>3237.4565599999996</v>
      </c>
    </row>
    <row r="356" spans="1:6" x14ac:dyDescent="0.25">
      <c r="A356" s="19" t="s">
        <v>719</v>
      </c>
      <c r="B356" s="6">
        <v>37</v>
      </c>
      <c r="C356" s="6">
        <v>647724.89694000001</v>
      </c>
      <c r="D356" s="6">
        <v>185219.43694000004</v>
      </c>
      <c r="E356">
        <f t="shared" si="10"/>
        <v>17506.078295675678</v>
      </c>
      <c r="F356">
        <f t="shared" si="11"/>
        <v>5005.9307281081092</v>
      </c>
    </row>
    <row r="357" spans="1:6" x14ac:dyDescent="0.25">
      <c r="A357" s="24">
        <v>44927</v>
      </c>
      <c r="B357" s="6">
        <v>2</v>
      </c>
      <c r="C357" s="6">
        <v>4025.7047600000001</v>
      </c>
      <c r="D357" s="6">
        <v>-1411.3352399999997</v>
      </c>
      <c r="E357">
        <f t="shared" si="10"/>
        <v>2012.85238</v>
      </c>
      <c r="F357">
        <f t="shared" si="11"/>
        <v>-705.66761999999983</v>
      </c>
    </row>
    <row r="358" spans="1:6" x14ac:dyDescent="0.25">
      <c r="A358" s="24">
        <v>44986</v>
      </c>
      <c r="B358" s="6">
        <v>1</v>
      </c>
      <c r="C358" s="6">
        <v>2059.0056</v>
      </c>
      <c r="D358" s="6">
        <v>674.64560000000006</v>
      </c>
      <c r="E358">
        <f t="shared" si="10"/>
        <v>2059.0056</v>
      </c>
      <c r="F358">
        <f t="shared" si="11"/>
        <v>674.64560000000006</v>
      </c>
    </row>
    <row r="359" spans="1:6" x14ac:dyDescent="0.25">
      <c r="A359" s="24">
        <v>45017</v>
      </c>
      <c r="B359" s="6">
        <v>2</v>
      </c>
      <c r="C359" s="6">
        <v>17358.609759999999</v>
      </c>
      <c r="D359" s="6">
        <v>5368.9097599999977</v>
      </c>
      <c r="E359">
        <f t="shared" si="10"/>
        <v>8679.3048799999997</v>
      </c>
      <c r="F359">
        <f t="shared" si="11"/>
        <v>2684.4548799999989</v>
      </c>
    </row>
    <row r="360" spans="1:6" x14ac:dyDescent="0.25">
      <c r="A360" s="24">
        <v>45047</v>
      </c>
      <c r="B360" s="6">
        <v>1</v>
      </c>
      <c r="C360" s="6">
        <v>17964.4038</v>
      </c>
      <c r="D360" s="6">
        <v>7663.3438000000006</v>
      </c>
      <c r="E360">
        <f t="shared" si="10"/>
        <v>17964.4038</v>
      </c>
      <c r="F360">
        <f t="shared" si="11"/>
        <v>7663.3438000000006</v>
      </c>
    </row>
    <row r="361" spans="1:6" x14ac:dyDescent="0.25">
      <c r="A361" s="24">
        <v>45078</v>
      </c>
      <c r="B361" s="6">
        <v>2</v>
      </c>
      <c r="C361" s="6">
        <v>65134.394520000002</v>
      </c>
      <c r="D361" s="6">
        <v>8293.8545200000062</v>
      </c>
      <c r="E361">
        <f t="shared" si="10"/>
        <v>32567.197260000001</v>
      </c>
      <c r="F361">
        <f t="shared" si="11"/>
        <v>4146.9272600000031</v>
      </c>
    </row>
    <row r="362" spans="1:6" x14ac:dyDescent="0.25">
      <c r="A362" s="24">
        <v>45139</v>
      </c>
      <c r="B362" s="6">
        <v>2</v>
      </c>
      <c r="C362" s="6">
        <v>25793.553400000001</v>
      </c>
      <c r="D362" s="6">
        <v>13632.9234</v>
      </c>
      <c r="E362">
        <f t="shared" si="10"/>
        <v>12896.7767</v>
      </c>
      <c r="F362">
        <f t="shared" si="11"/>
        <v>6816.4616999999998</v>
      </c>
    </row>
    <row r="363" spans="1:6" x14ac:dyDescent="0.25">
      <c r="A363" s="24">
        <v>45200</v>
      </c>
      <c r="B363" s="6">
        <v>2</v>
      </c>
      <c r="C363" s="6">
        <v>16549.133400000002</v>
      </c>
      <c r="D363" s="6">
        <v>2910.873400000004</v>
      </c>
      <c r="E363">
        <f t="shared" si="10"/>
        <v>8274.5667000000012</v>
      </c>
      <c r="F363">
        <f t="shared" si="11"/>
        <v>1455.436700000002</v>
      </c>
    </row>
    <row r="364" spans="1:6" x14ac:dyDescent="0.25">
      <c r="A364" s="24">
        <v>45261</v>
      </c>
      <c r="B364" s="6">
        <v>1</v>
      </c>
      <c r="C364" s="6">
        <v>12153.267360000002</v>
      </c>
      <c r="D364" s="6">
        <v>-4787.1626399999986</v>
      </c>
      <c r="E364">
        <f t="shared" si="10"/>
        <v>12153.267360000002</v>
      </c>
      <c r="F364">
        <f t="shared" si="11"/>
        <v>-4787.1626399999986</v>
      </c>
    </row>
    <row r="365" spans="1:6" x14ac:dyDescent="0.25">
      <c r="A365" s="24">
        <v>45292</v>
      </c>
      <c r="B365" s="6">
        <v>1</v>
      </c>
      <c r="C365" s="6">
        <v>2077.46</v>
      </c>
      <c r="D365" s="6">
        <v>-7.7899999999999636</v>
      </c>
      <c r="E365">
        <f t="shared" si="10"/>
        <v>2077.46</v>
      </c>
      <c r="F365">
        <f t="shared" si="11"/>
        <v>-7.7899999999999636</v>
      </c>
    </row>
    <row r="366" spans="1:6" x14ac:dyDescent="0.25">
      <c r="A366" s="24">
        <v>45323</v>
      </c>
      <c r="B366" s="6">
        <v>1</v>
      </c>
      <c r="C366" s="6">
        <v>58091.634960000003</v>
      </c>
      <c r="D366" s="6">
        <v>22623.474960000007</v>
      </c>
      <c r="E366">
        <f t="shared" si="10"/>
        <v>58091.634960000003</v>
      </c>
      <c r="F366">
        <f t="shared" si="11"/>
        <v>22623.474960000007</v>
      </c>
    </row>
    <row r="367" spans="1:6" x14ac:dyDescent="0.25">
      <c r="A367" s="24">
        <v>45352</v>
      </c>
      <c r="B367" s="6">
        <v>2</v>
      </c>
      <c r="C367" s="6">
        <v>83790.63704999999</v>
      </c>
      <c r="D367" s="6">
        <v>27525.997049999994</v>
      </c>
      <c r="E367">
        <f t="shared" si="10"/>
        <v>41895.318524999995</v>
      </c>
      <c r="F367">
        <f t="shared" si="11"/>
        <v>13762.998524999997</v>
      </c>
    </row>
    <row r="368" spans="1:6" x14ac:dyDescent="0.25">
      <c r="A368" s="24">
        <v>45383</v>
      </c>
      <c r="B368" s="6">
        <v>1</v>
      </c>
      <c r="C368" s="6">
        <v>13321.14</v>
      </c>
      <c r="D368" s="6">
        <v>3753.26</v>
      </c>
      <c r="E368">
        <f t="shared" si="10"/>
        <v>13321.14</v>
      </c>
      <c r="F368">
        <f t="shared" si="11"/>
        <v>3753.26</v>
      </c>
    </row>
    <row r="369" spans="1:6" x14ac:dyDescent="0.25">
      <c r="A369" s="24">
        <v>45413</v>
      </c>
      <c r="B369" s="6">
        <v>1</v>
      </c>
      <c r="C369" s="6">
        <v>14714.12934</v>
      </c>
      <c r="D369" s="6">
        <v>6942.0893400000004</v>
      </c>
      <c r="E369">
        <f t="shared" si="10"/>
        <v>14714.12934</v>
      </c>
      <c r="F369">
        <f t="shared" si="11"/>
        <v>6942.0893400000004</v>
      </c>
    </row>
    <row r="370" spans="1:6" x14ac:dyDescent="0.25">
      <c r="A370" s="24">
        <v>45444</v>
      </c>
      <c r="B370" s="6">
        <v>2</v>
      </c>
      <c r="C370" s="6">
        <v>50199.733439999996</v>
      </c>
      <c r="D370" s="6">
        <v>17913.813439999998</v>
      </c>
      <c r="E370">
        <f t="shared" si="10"/>
        <v>25099.866719999998</v>
      </c>
      <c r="F370">
        <f t="shared" si="11"/>
        <v>8956.906719999999</v>
      </c>
    </row>
    <row r="371" spans="1:6" x14ac:dyDescent="0.25">
      <c r="A371" s="24">
        <v>45536</v>
      </c>
      <c r="B371" s="6">
        <v>1</v>
      </c>
      <c r="C371" s="6">
        <v>1950.0031200000001</v>
      </c>
      <c r="D371" s="6">
        <v>-412.61687999999981</v>
      </c>
      <c r="E371">
        <f t="shared" si="10"/>
        <v>1950.0031200000001</v>
      </c>
      <c r="F371">
        <f t="shared" si="11"/>
        <v>-412.61687999999981</v>
      </c>
    </row>
    <row r="372" spans="1:6" x14ac:dyDescent="0.25">
      <c r="A372" s="24">
        <v>45566</v>
      </c>
      <c r="B372" s="6">
        <v>2</v>
      </c>
      <c r="C372" s="6">
        <v>36220.834319999994</v>
      </c>
      <c r="D372" s="6">
        <v>15012.914319999994</v>
      </c>
      <c r="E372">
        <f t="shared" si="10"/>
        <v>18110.417159999997</v>
      </c>
      <c r="F372">
        <f t="shared" si="11"/>
        <v>7506.4571599999972</v>
      </c>
    </row>
    <row r="373" spans="1:6" x14ac:dyDescent="0.25">
      <c r="A373" s="24">
        <v>45597</v>
      </c>
      <c r="B373" s="6">
        <v>3</v>
      </c>
      <c r="C373" s="6">
        <v>114691.38998000001</v>
      </c>
      <c r="D373" s="6">
        <v>22860.849980000006</v>
      </c>
      <c r="E373">
        <f t="shared" si="10"/>
        <v>38230.463326666671</v>
      </c>
      <c r="F373">
        <f t="shared" si="11"/>
        <v>7620.2833266666685</v>
      </c>
    </row>
    <row r="374" spans="1:6" x14ac:dyDescent="0.25">
      <c r="A374" s="24">
        <v>45627</v>
      </c>
      <c r="B374" s="6">
        <v>1</v>
      </c>
      <c r="C374" s="6">
        <v>12967.958640000001</v>
      </c>
      <c r="D374" s="6">
        <v>6126.4386400000003</v>
      </c>
      <c r="E374">
        <f t="shared" si="10"/>
        <v>12967.958640000001</v>
      </c>
      <c r="F374">
        <f t="shared" si="11"/>
        <v>6126.4386400000003</v>
      </c>
    </row>
    <row r="375" spans="1:6" x14ac:dyDescent="0.25">
      <c r="A375" s="24">
        <v>45658</v>
      </c>
      <c r="B375" s="6">
        <v>1</v>
      </c>
      <c r="C375" s="6">
        <v>2518.8755800000004</v>
      </c>
      <c r="D375" s="6">
        <v>-134.55441999999994</v>
      </c>
      <c r="E375">
        <f t="shared" si="10"/>
        <v>2518.8755800000004</v>
      </c>
      <c r="F375">
        <f t="shared" si="11"/>
        <v>-134.55441999999994</v>
      </c>
    </row>
    <row r="376" spans="1:6" x14ac:dyDescent="0.25">
      <c r="A376" s="24">
        <v>45689</v>
      </c>
      <c r="B376" s="6">
        <v>1</v>
      </c>
      <c r="C376" s="6">
        <v>7120.6486400000003</v>
      </c>
      <c r="D376" s="6">
        <v>1906.7286400000003</v>
      </c>
      <c r="E376">
        <f t="shared" si="10"/>
        <v>7120.6486400000003</v>
      </c>
      <c r="F376">
        <f t="shared" si="11"/>
        <v>1906.7286400000003</v>
      </c>
    </row>
    <row r="377" spans="1:6" x14ac:dyDescent="0.25">
      <c r="A377" s="24">
        <v>45778</v>
      </c>
      <c r="B377" s="6">
        <v>1</v>
      </c>
      <c r="C377" s="6">
        <v>31556.187599999997</v>
      </c>
      <c r="D377" s="6">
        <v>12598.587599999999</v>
      </c>
      <c r="E377">
        <f t="shared" si="10"/>
        <v>31556.187599999997</v>
      </c>
      <c r="F377">
        <f t="shared" si="11"/>
        <v>12598.587599999999</v>
      </c>
    </row>
    <row r="378" spans="1:6" x14ac:dyDescent="0.25">
      <c r="A378" s="24">
        <v>45809</v>
      </c>
      <c r="B378" s="6">
        <v>2</v>
      </c>
      <c r="C378" s="6">
        <v>6832.5384300000005</v>
      </c>
      <c r="D378" s="6">
        <v>2473.8384299999998</v>
      </c>
      <c r="E378">
        <f t="shared" si="10"/>
        <v>3416.2692150000003</v>
      </c>
      <c r="F378">
        <f t="shared" si="11"/>
        <v>1236.9192149999999</v>
      </c>
    </row>
    <row r="379" spans="1:6" x14ac:dyDescent="0.25">
      <c r="A379" s="24">
        <v>45839</v>
      </c>
      <c r="B379" s="6">
        <v>1</v>
      </c>
      <c r="C379" s="6">
        <v>10693.88488</v>
      </c>
      <c r="D379" s="6">
        <v>2018.9248800000005</v>
      </c>
      <c r="E379">
        <f t="shared" si="10"/>
        <v>10693.88488</v>
      </c>
      <c r="F379">
        <f t="shared" si="11"/>
        <v>2018.9248800000005</v>
      </c>
    </row>
    <row r="380" spans="1:6" x14ac:dyDescent="0.25">
      <c r="A380" s="24">
        <v>45870</v>
      </c>
      <c r="B380" s="6">
        <v>2</v>
      </c>
      <c r="C380" s="6">
        <v>12238.19796</v>
      </c>
      <c r="D380" s="6">
        <v>1611.6579599999998</v>
      </c>
      <c r="E380">
        <f t="shared" si="10"/>
        <v>6119.0989799999998</v>
      </c>
      <c r="F380">
        <f t="shared" si="11"/>
        <v>805.82897999999989</v>
      </c>
    </row>
    <row r="381" spans="1:6" x14ac:dyDescent="0.25">
      <c r="A381" s="24">
        <v>45901</v>
      </c>
      <c r="B381" s="6">
        <v>1</v>
      </c>
      <c r="C381" s="6">
        <v>27701.570400000001</v>
      </c>
      <c r="D381" s="6">
        <v>10059.770399999998</v>
      </c>
      <c r="E381">
        <f t="shared" si="10"/>
        <v>27701.570400000001</v>
      </c>
      <c r="F381">
        <f t="shared" si="11"/>
        <v>10059.770399999998</v>
      </c>
    </row>
    <row r="382" spans="1:6" x14ac:dyDescent="0.25">
      <c r="A382" s="19" t="s">
        <v>1422</v>
      </c>
      <c r="B382" s="6">
        <v>8</v>
      </c>
      <c r="C382" s="6">
        <v>249026.85146999999</v>
      </c>
      <c r="D382" s="6">
        <v>100098.00146999999</v>
      </c>
      <c r="E382">
        <f t="shared" si="10"/>
        <v>31128.356433749999</v>
      </c>
      <c r="F382">
        <f t="shared" si="11"/>
        <v>12512.250183749999</v>
      </c>
    </row>
    <row r="383" spans="1:6" x14ac:dyDescent="0.25">
      <c r="A383" s="24">
        <v>45108</v>
      </c>
      <c r="B383" s="6">
        <v>1</v>
      </c>
      <c r="C383" s="6">
        <v>26106.613960000002</v>
      </c>
      <c r="D383" s="6">
        <v>8725.8939600000012</v>
      </c>
      <c r="E383">
        <f t="shared" si="10"/>
        <v>26106.613960000002</v>
      </c>
      <c r="F383">
        <f t="shared" si="11"/>
        <v>8725.8939600000012</v>
      </c>
    </row>
    <row r="384" spans="1:6" x14ac:dyDescent="0.25">
      <c r="A384" s="24">
        <v>45139</v>
      </c>
      <c r="B384" s="6">
        <v>1</v>
      </c>
      <c r="C384" s="6">
        <v>8186.057600000001</v>
      </c>
      <c r="D384" s="6">
        <v>2357.2576000000008</v>
      </c>
      <c r="E384">
        <f t="shared" si="10"/>
        <v>8186.057600000001</v>
      </c>
      <c r="F384">
        <f t="shared" si="11"/>
        <v>2357.2576000000008</v>
      </c>
    </row>
    <row r="385" spans="1:6" x14ac:dyDescent="0.25">
      <c r="A385" s="24">
        <v>45200</v>
      </c>
      <c r="B385" s="6">
        <v>1</v>
      </c>
      <c r="C385" s="6">
        <v>7568.9632000000001</v>
      </c>
      <c r="D385" s="6">
        <v>-3886.0768000000007</v>
      </c>
      <c r="E385">
        <f t="shared" si="10"/>
        <v>7568.9632000000001</v>
      </c>
      <c r="F385">
        <f t="shared" si="11"/>
        <v>-3886.0768000000007</v>
      </c>
    </row>
    <row r="386" spans="1:6" x14ac:dyDescent="0.25">
      <c r="A386" s="24">
        <v>45231</v>
      </c>
      <c r="B386" s="6">
        <v>1</v>
      </c>
      <c r="C386" s="6">
        <v>12769.38768</v>
      </c>
      <c r="D386" s="6">
        <v>6312.5076799999997</v>
      </c>
      <c r="E386">
        <f t="shared" si="10"/>
        <v>12769.38768</v>
      </c>
      <c r="F386">
        <f t="shared" si="11"/>
        <v>6312.5076799999997</v>
      </c>
    </row>
    <row r="387" spans="1:6" x14ac:dyDescent="0.25">
      <c r="A387" s="24">
        <v>45292</v>
      </c>
      <c r="B387" s="6">
        <v>1</v>
      </c>
      <c r="C387" s="6">
        <v>17359.804799999998</v>
      </c>
      <c r="D387" s="6">
        <v>1269.9647999999979</v>
      </c>
      <c r="E387">
        <f t="shared" si="10"/>
        <v>17359.804799999998</v>
      </c>
      <c r="F387">
        <f t="shared" si="11"/>
        <v>1269.9647999999979</v>
      </c>
    </row>
    <row r="388" spans="1:6" x14ac:dyDescent="0.25">
      <c r="A388" s="24">
        <v>45505</v>
      </c>
      <c r="B388" s="6">
        <v>1</v>
      </c>
      <c r="C388" s="6">
        <v>35396.277799999996</v>
      </c>
      <c r="D388" s="6">
        <v>17265.827799999995</v>
      </c>
      <c r="E388">
        <f t="shared" si="10"/>
        <v>35396.277799999996</v>
      </c>
      <c r="F388">
        <f t="shared" si="11"/>
        <v>17265.827799999995</v>
      </c>
    </row>
    <row r="389" spans="1:6" x14ac:dyDescent="0.25">
      <c r="A389" s="24">
        <v>45809</v>
      </c>
      <c r="B389" s="6">
        <v>1</v>
      </c>
      <c r="C389" s="6">
        <v>39516.804389999998</v>
      </c>
      <c r="D389" s="6">
        <v>21088.284389999997</v>
      </c>
      <c r="E389">
        <f t="shared" ref="E389:E439" si="12">IF(B389=0,"",C389/B389)</f>
        <v>39516.804389999998</v>
      </c>
      <c r="F389">
        <f t="shared" ref="F389:F439" si="13">IF(B389=0,"",D389/B389)</f>
        <v>21088.284389999997</v>
      </c>
    </row>
    <row r="390" spans="1:6" x14ac:dyDescent="0.25">
      <c r="A390" s="24">
        <v>45839</v>
      </c>
      <c r="B390" s="6">
        <v>1</v>
      </c>
      <c r="C390" s="6">
        <v>102122.94203999999</v>
      </c>
      <c r="D390" s="6">
        <v>46964.342039999996</v>
      </c>
      <c r="E390">
        <f t="shared" si="12"/>
        <v>102122.94203999999</v>
      </c>
      <c r="F390">
        <f t="shared" si="13"/>
        <v>46964.342039999996</v>
      </c>
    </row>
    <row r="391" spans="1:6" x14ac:dyDescent="0.25">
      <c r="A391" s="19" t="s">
        <v>1432</v>
      </c>
      <c r="B391" s="6">
        <v>632</v>
      </c>
      <c r="C391" s="6">
        <v>10928845.71649999</v>
      </c>
      <c r="D391" s="6">
        <v>3401098.0064999983</v>
      </c>
      <c r="E391">
        <f t="shared" si="12"/>
        <v>17292.477399525302</v>
      </c>
      <c r="F391">
        <f t="shared" si="13"/>
        <v>5381.4841874999975</v>
      </c>
    </row>
    <row r="392" spans="1:6" x14ac:dyDescent="0.25">
      <c r="E392" t="str">
        <f t="shared" si="12"/>
        <v/>
      </c>
      <c r="F392" t="str">
        <f t="shared" si="13"/>
        <v/>
      </c>
    </row>
    <row r="393" spans="1:6" x14ac:dyDescent="0.25">
      <c r="E393" t="str">
        <f t="shared" si="12"/>
        <v/>
      </c>
      <c r="F393" t="str">
        <f t="shared" si="13"/>
        <v/>
      </c>
    </row>
    <row r="394" spans="1:6" x14ac:dyDescent="0.25">
      <c r="E394" t="str">
        <f t="shared" si="12"/>
        <v/>
      </c>
      <c r="F394" t="str">
        <f t="shared" si="13"/>
        <v/>
      </c>
    </row>
    <row r="395" spans="1:6" x14ac:dyDescent="0.25">
      <c r="E395" t="str">
        <f t="shared" si="12"/>
        <v/>
      </c>
      <c r="F395" t="str">
        <f t="shared" si="13"/>
        <v/>
      </c>
    </row>
    <row r="396" spans="1:6" x14ac:dyDescent="0.25">
      <c r="E396" t="str">
        <f t="shared" si="12"/>
        <v/>
      </c>
      <c r="F396" t="str">
        <f t="shared" si="13"/>
        <v/>
      </c>
    </row>
    <row r="397" spans="1:6" x14ac:dyDescent="0.25">
      <c r="E397" t="str">
        <f t="shared" si="12"/>
        <v/>
      </c>
      <c r="F397" t="str">
        <f t="shared" si="13"/>
        <v/>
      </c>
    </row>
    <row r="398" spans="1:6" x14ac:dyDescent="0.25">
      <c r="E398" t="str">
        <f t="shared" si="12"/>
        <v/>
      </c>
      <c r="F398" t="str">
        <f t="shared" si="13"/>
        <v/>
      </c>
    </row>
    <row r="399" spans="1:6" x14ac:dyDescent="0.25">
      <c r="E399" t="str">
        <f t="shared" si="12"/>
        <v/>
      </c>
      <c r="F399" t="str">
        <f t="shared" si="13"/>
        <v/>
      </c>
    </row>
    <row r="400" spans="1:6" x14ac:dyDescent="0.25">
      <c r="E400" t="str">
        <f t="shared" si="12"/>
        <v/>
      </c>
      <c r="F400" t="str">
        <f t="shared" si="13"/>
        <v/>
      </c>
    </row>
    <row r="401" spans="5:6" x14ac:dyDescent="0.25">
      <c r="E401" t="str">
        <f t="shared" si="12"/>
        <v/>
      </c>
      <c r="F401" t="str">
        <f t="shared" si="13"/>
        <v/>
      </c>
    </row>
    <row r="402" spans="5:6" x14ac:dyDescent="0.25">
      <c r="E402" t="str">
        <f t="shared" si="12"/>
        <v/>
      </c>
      <c r="F402" t="str">
        <f t="shared" si="13"/>
        <v/>
      </c>
    </row>
    <row r="403" spans="5:6" x14ac:dyDescent="0.25">
      <c r="E403" t="str">
        <f t="shared" si="12"/>
        <v/>
      </c>
      <c r="F403" t="str">
        <f t="shared" si="13"/>
        <v/>
      </c>
    </row>
    <row r="404" spans="5:6" x14ac:dyDescent="0.25">
      <c r="E404" t="str">
        <f t="shared" si="12"/>
        <v/>
      </c>
      <c r="F404" t="str">
        <f t="shared" si="13"/>
        <v/>
      </c>
    </row>
    <row r="405" spans="5:6" x14ac:dyDescent="0.25">
      <c r="E405" t="str">
        <f t="shared" si="12"/>
        <v/>
      </c>
      <c r="F405" t="str">
        <f t="shared" si="13"/>
        <v/>
      </c>
    </row>
    <row r="406" spans="5:6" x14ac:dyDescent="0.25">
      <c r="E406" t="str">
        <f t="shared" si="12"/>
        <v/>
      </c>
      <c r="F406" t="str">
        <f t="shared" si="13"/>
        <v/>
      </c>
    </row>
    <row r="407" spans="5:6" x14ac:dyDescent="0.25">
      <c r="E407" t="str">
        <f t="shared" si="12"/>
        <v/>
      </c>
      <c r="F407" t="str">
        <f t="shared" si="13"/>
        <v/>
      </c>
    </row>
    <row r="408" spans="5:6" x14ac:dyDescent="0.25">
      <c r="E408" t="str">
        <f t="shared" si="12"/>
        <v/>
      </c>
      <c r="F408" t="str">
        <f t="shared" si="13"/>
        <v/>
      </c>
    </row>
    <row r="409" spans="5:6" x14ac:dyDescent="0.25">
      <c r="E409" t="str">
        <f t="shared" si="12"/>
        <v/>
      </c>
      <c r="F409" t="str">
        <f t="shared" si="13"/>
        <v/>
      </c>
    </row>
    <row r="410" spans="5:6" x14ac:dyDescent="0.25">
      <c r="E410" t="str">
        <f t="shared" si="12"/>
        <v/>
      </c>
      <c r="F410" t="str">
        <f t="shared" si="13"/>
        <v/>
      </c>
    </row>
    <row r="411" spans="5:6" x14ac:dyDescent="0.25">
      <c r="E411" t="str">
        <f t="shared" si="12"/>
        <v/>
      </c>
      <c r="F411" t="str">
        <f t="shared" si="13"/>
        <v/>
      </c>
    </row>
    <row r="412" spans="5:6" x14ac:dyDescent="0.25">
      <c r="E412" t="str">
        <f t="shared" si="12"/>
        <v/>
      </c>
      <c r="F412" t="str">
        <f t="shared" si="13"/>
        <v/>
      </c>
    </row>
    <row r="413" spans="5:6" x14ac:dyDescent="0.25">
      <c r="E413" t="str">
        <f t="shared" si="12"/>
        <v/>
      </c>
      <c r="F413" t="str">
        <f t="shared" si="13"/>
        <v/>
      </c>
    </row>
    <row r="414" spans="5:6" x14ac:dyDescent="0.25">
      <c r="E414" t="str">
        <f t="shared" si="12"/>
        <v/>
      </c>
      <c r="F414" t="str">
        <f t="shared" si="13"/>
        <v/>
      </c>
    </row>
    <row r="415" spans="5:6" x14ac:dyDescent="0.25">
      <c r="E415" t="str">
        <f t="shared" si="12"/>
        <v/>
      </c>
      <c r="F415" t="str">
        <f t="shared" si="13"/>
        <v/>
      </c>
    </row>
    <row r="416" spans="5:6" x14ac:dyDescent="0.25">
      <c r="E416" t="str">
        <f t="shared" si="12"/>
        <v/>
      </c>
      <c r="F416" t="str">
        <f t="shared" si="13"/>
        <v/>
      </c>
    </row>
    <row r="417" spans="5:6" x14ac:dyDescent="0.25">
      <c r="E417" t="str">
        <f t="shared" si="12"/>
        <v/>
      </c>
      <c r="F417" t="str">
        <f t="shared" si="13"/>
        <v/>
      </c>
    </row>
    <row r="418" spans="5:6" x14ac:dyDescent="0.25">
      <c r="E418" t="str">
        <f t="shared" si="12"/>
        <v/>
      </c>
      <c r="F418" t="str">
        <f t="shared" si="13"/>
        <v/>
      </c>
    </row>
    <row r="419" spans="5:6" x14ac:dyDescent="0.25">
      <c r="E419" t="str">
        <f t="shared" si="12"/>
        <v/>
      </c>
      <c r="F419" t="str">
        <f t="shared" si="13"/>
        <v/>
      </c>
    </row>
    <row r="420" spans="5:6" x14ac:dyDescent="0.25">
      <c r="E420" t="str">
        <f t="shared" si="12"/>
        <v/>
      </c>
      <c r="F420" t="str">
        <f t="shared" si="13"/>
        <v/>
      </c>
    </row>
    <row r="421" spans="5:6" x14ac:dyDescent="0.25">
      <c r="E421" t="str">
        <f t="shared" si="12"/>
        <v/>
      </c>
      <c r="F421" t="str">
        <f t="shared" si="13"/>
        <v/>
      </c>
    </row>
    <row r="422" spans="5:6" x14ac:dyDescent="0.25">
      <c r="E422" t="str">
        <f t="shared" si="12"/>
        <v/>
      </c>
      <c r="F422" t="str">
        <f t="shared" si="13"/>
        <v/>
      </c>
    </row>
    <row r="423" spans="5:6" x14ac:dyDescent="0.25">
      <c r="E423" t="str">
        <f t="shared" si="12"/>
        <v/>
      </c>
      <c r="F423" t="str">
        <f t="shared" si="13"/>
        <v/>
      </c>
    </row>
    <row r="424" spans="5:6" x14ac:dyDescent="0.25">
      <c r="E424" t="str">
        <f t="shared" si="12"/>
        <v/>
      </c>
      <c r="F424" t="str">
        <f t="shared" si="13"/>
        <v/>
      </c>
    </row>
    <row r="425" spans="5:6" x14ac:dyDescent="0.25">
      <c r="E425" t="str">
        <f t="shared" si="12"/>
        <v/>
      </c>
      <c r="F425" t="str">
        <f t="shared" si="13"/>
        <v/>
      </c>
    </row>
    <row r="426" spans="5:6" x14ac:dyDescent="0.25">
      <c r="E426" t="str">
        <f t="shared" si="12"/>
        <v/>
      </c>
      <c r="F426" t="str">
        <f t="shared" si="13"/>
        <v/>
      </c>
    </row>
    <row r="427" spans="5:6" x14ac:dyDescent="0.25">
      <c r="E427" t="str">
        <f t="shared" si="12"/>
        <v/>
      </c>
      <c r="F427" t="str">
        <f t="shared" si="13"/>
        <v/>
      </c>
    </row>
    <row r="428" spans="5:6" x14ac:dyDescent="0.25">
      <c r="E428" t="str">
        <f t="shared" si="12"/>
        <v/>
      </c>
      <c r="F428" t="str">
        <f t="shared" si="13"/>
        <v/>
      </c>
    </row>
    <row r="429" spans="5:6" x14ac:dyDescent="0.25">
      <c r="E429" t="str">
        <f t="shared" si="12"/>
        <v/>
      </c>
      <c r="F429" t="str">
        <f t="shared" si="13"/>
        <v/>
      </c>
    </row>
    <row r="430" spans="5:6" x14ac:dyDescent="0.25">
      <c r="E430" t="str">
        <f t="shared" si="12"/>
        <v/>
      </c>
      <c r="F430" t="str">
        <f t="shared" si="13"/>
        <v/>
      </c>
    </row>
    <row r="431" spans="5:6" x14ac:dyDescent="0.25">
      <c r="E431" t="str">
        <f t="shared" si="12"/>
        <v/>
      </c>
      <c r="F431" t="str">
        <f t="shared" si="13"/>
        <v/>
      </c>
    </row>
    <row r="432" spans="5:6" x14ac:dyDescent="0.25">
      <c r="E432" t="str">
        <f t="shared" si="12"/>
        <v/>
      </c>
      <c r="F432" t="str">
        <f t="shared" si="13"/>
        <v/>
      </c>
    </row>
    <row r="433" spans="5:6" x14ac:dyDescent="0.25">
      <c r="E433" t="str">
        <f t="shared" si="12"/>
        <v/>
      </c>
      <c r="F433" t="str">
        <f t="shared" si="13"/>
        <v/>
      </c>
    </row>
    <row r="434" spans="5:6" x14ac:dyDescent="0.25">
      <c r="E434" t="str">
        <f t="shared" si="12"/>
        <v/>
      </c>
      <c r="F434" t="str">
        <f t="shared" si="13"/>
        <v/>
      </c>
    </row>
    <row r="435" spans="5:6" x14ac:dyDescent="0.25">
      <c r="E435" t="str">
        <f t="shared" si="12"/>
        <v/>
      </c>
      <c r="F435" t="str">
        <f t="shared" si="13"/>
        <v/>
      </c>
    </row>
    <row r="436" spans="5:6" x14ac:dyDescent="0.25">
      <c r="E436" t="str">
        <f t="shared" si="12"/>
        <v/>
      </c>
      <c r="F436" t="str">
        <f t="shared" si="13"/>
        <v/>
      </c>
    </row>
    <row r="437" spans="5:6" x14ac:dyDescent="0.25">
      <c r="E437" t="str">
        <f t="shared" si="12"/>
        <v/>
      </c>
      <c r="F437" t="str">
        <f t="shared" si="13"/>
        <v/>
      </c>
    </row>
    <row r="438" spans="5:6" x14ac:dyDescent="0.25">
      <c r="E438" t="str">
        <f t="shared" si="12"/>
        <v/>
      </c>
      <c r="F438" t="str">
        <f t="shared" si="13"/>
        <v/>
      </c>
    </row>
    <row r="439" spans="5:6" x14ac:dyDescent="0.25">
      <c r="E439" t="str">
        <f t="shared" si="12"/>
        <v/>
      </c>
      <c r="F439" t="str">
        <f t="shared" si="13"/>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9"/>
  <sheetViews>
    <sheetView workbookViewId="0">
      <selection activeCell="E6" sqref="E6"/>
    </sheetView>
  </sheetViews>
  <sheetFormatPr defaultRowHeight="15" x14ac:dyDescent="0.25"/>
  <cols>
    <col min="1" max="1" width="20.7109375" bestFit="1" customWidth="1"/>
    <col min="2" max="2" width="16.28515625" bestFit="1" customWidth="1"/>
    <col min="3" max="3" width="12" bestFit="1" customWidth="1"/>
    <col min="4" max="4" width="12.140625" bestFit="1" customWidth="1"/>
    <col min="5" max="7" width="12" customWidth="1"/>
    <col min="8" max="8" width="12" bestFit="1" customWidth="1"/>
  </cols>
  <sheetData>
    <row r="3" spans="1:8" x14ac:dyDescent="0.25">
      <c r="A3" s="18" t="s">
        <v>1434</v>
      </c>
      <c r="B3" s="18" t="s">
        <v>1433</v>
      </c>
    </row>
    <row r="4" spans="1:8" x14ac:dyDescent="0.25">
      <c r="A4" s="18" t="s">
        <v>1431</v>
      </c>
      <c r="B4" t="s">
        <v>711</v>
      </c>
      <c r="C4" t="s">
        <v>710</v>
      </c>
      <c r="D4" t="s">
        <v>709</v>
      </c>
      <c r="E4" t="s">
        <v>708</v>
      </c>
      <c r="F4" t="s">
        <v>707</v>
      </c>
      <c r="G4" t="s">
        <v>1447</v>
      </c>
      <c r="H4" t="s">
        <v>1432</v>
      </c>
    </row>
    <row r="5" spans="1:8" x14ac:dyDescent="0.25">
      <c r="A5" s="19" t="s">
        <v>646</v>
      </c>
      <c r="B5" s="6">
        <v>461428.95969999995</v>
      </c>
      <c r="C5" s="6">
        <v>623894.11207000003</v>
      </c>
      <c r="D5" s="6">
        <v>529122.77116</v>
      </c>
      <c r="E5" s="6">
        <v>433406.33626999997</v>
      </c>
      <c r="F5" s="6">
        <v>518721.63467000006</v>
      </c>
      <c r="G5" s="6">
        <v>31062.02763</v>
      </c>
      <c r="H5" s="6">
        <v>2597635.8415000001</v>
      </c>
    </row>
    <row r="6" spans="1:8" x14ac:dyDescent="0.25">
      <c r="A6" s="19" t="s">
        <v>648</v>
      </c>
      <c r="B6" s="6">
        <v>751887.68591000023</v>
      </c>
      <c r="C6" s="6">
        <v>568425.23432000005</v>
      </c>
      <c r="D6" s="6">
        <v>366375.92752000008</v>
      </c>
      <c r="E6" s="6">
        <v>689951.45437000017</v>
      </c>
      <c r="F6" s="6">
        <v>302853.57921999996</v>
      </c>
      <c r="G6" s="6">
        <v>9256.14</v>
      </c>
      <c r="H6" s="6">
        <v>2688750.0213400009</v>
      </c>
    </row>
    <row r="7" spans="1:8" x14ac:dyDescent="0.25">
      <c r="A7" s="19" t="s">
        <v>647</v>
      </c>
      <c r="B7" s="6">
        <v>673941.87358999997</v>
      </c>
      <c r="C7" s="6">
        <v>509418.80598999996</v>
      </c>
      <c r="D7" s="6">
        <v>541441.73806</v>
      </c>
      <c r="E7" s="6">
        <v>413661.50969000004</v>
      </c>
      <c r="F7" s="6">
        <v>693141.67984</v>
      </c>
      <c r="G7" s="6">
        <v>9866.3104799999983</v>
      </c>
      <c r="H7" s="6">
        <v>2841471.9176500002</v>
      </c>
    </row>
    <row r="8" spans="1:8" x14ac:dyDescent="0.25">
      <c r="A8" s="19" t="s">
        <v>649</v>
      </c>
      <c r="B8" s="6">
        <v>842614.45203999989</v>
      </c>
      <c r="C8" s="6">
        <v>318736.67219999997</v>
      </c>
      <c r="D8" s="6">
        <v>569676.53024999995</v>
      </c>
      <c r="E8" s="6">
        <v>585406.72277000011</v>
      </c>
      <c r="F8" s="6">
        <v>466503.11229000002</v>
      </c>
      <c r="G8" s="6">
        <v>18050.446459999999</v>
      </c>
      <c r="H8" s="6">
        <v>2800987.9360099994</v>
      </c>
    </row>
    <row r="9" spans="1:8" x14ac:dyDescent="0.25">
      <c r="A9" s="19" t="s">
        <v>1432</v>
      </c>
      <c r="B9" s="6">
        <v>2729872.9712399999</v>
      </c>
      <c r="C9" s="6">
        <v>2020474.82458</v>
      </c>
      <c r="D9" s="6">
        <v>2006616.9669900001</v>
      </c>
      <c r="E9" s="6">
        <v>2122426.0231000003</v>
      </c>
      <c r="F9" s="6">
        <v>1981220.0060200002</v>
      </c>
      <c r="G9" s="6">
        <v>68234.924570000003</v>
      </c>
      <c r="H9" s="6">
        <v>10928845.716499999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0"/>
  <sheetViews>
    <sheetView workbookViewId="0">
      <selection activeCell="D8" sqref="D8"/>
    </sheetView>
  </sheetViews>
  <sheetFormatPr defaultRowHeight="15" x14ac:dyDescent="0.25"/>
  <cols>
    <col min="1" max="1" width="17.42578125" customWidth="1"/>
    <col min="2" max="2" width="19" customWidth="1"/>
    <col min="3" max="3" width="16.140625" customWidth="1"/>
    <col min="4" max="4" width="16.42578125" style="11" bestFit="1" customWidth="1"/>
    <col min="5" max="632" width="16.42578125" bestFit="1" customWidth="1"/>
    <col min="633" max="633" width="11.28515625" bestFit="1" customWidth="1"/>
  </cols>
  <sheetData>
    <row r="3" spans="1:4" x14ac:dyDescent="0.25">
      <c r="A3" s="18" t="s">
        <v>1431</v>
      </c>
      <c r="B3" t="s">
        <v>1449</v>
      </c>
      <c r="C3" t="s">
        <v>1442</v>
      </c>
      <c r="D3" s="25" t="s">
        <v>1450</v>
      </c>
    </row>
    <row r="4" spans="1:4" x14ac:dyDescent="0.25">
      <c r="A4" s="19" t="s">
        <v>655</v>
      </c>
      <c r="B4" s="6">
        <v>18</v>
      </c>
      <c r="C4" s="6">
        <v>62</v>
      </c>
      <c r="D4" s="11">
        <f>B4/C4</f>
        <v>0.29032258064516131</v>
      </c>
    </row>
    <row r="5" spans="1:4" x14ac:dyDescent="0.25">
      <c r="A5" s="22" t="s">
        <v>733</v>
      </c>
      <c r="B5" s="6">
        <v>4</v>
      </c>
      <c r="C5" s="6">
        <v>10</v>
      </c>
      <c r="D5" s="11">
        <f>B5/C5</f>
        <v>0.4</v>
      </c>
    </row>
    <row r="6" spans="1:4" x14ac:dyDescent="0.25">
      <c r="A6" s="22" t="s">
        <v>727</v>
      </c>
      <c r="B6" s="6">
        <v>1</v>
      </c>
      <c r="C6" s="6">
        <v>7</v>
      </c>
      <c r="D6" s="11">
        <f t="shared" ref="D6:D11" si="0">B6/C6</f>
        <v>0.14285714285714285</v>
      </c>
    </row>
    <row r="7" spans="1:4" x14ac:dyDescent="0.25">
      <c r="A7" s="22" t="s">
        <v>731</v>
      </c>
      <c r="B7" s="6">
        <v>1</v>
      </c>
      <c r="C7" s="6">
        <v>5</v>
      </c>
      <c r="D7" s="11">
        <f t="shared" si="0"/>
        <v>0.2</v>
      </c>
    </row>
    <row r="8" spans="1:4" x14ac:dyDescent="0.25">
      <c r="A8" s="22" t="s">
        <v>732</v>
      </c>
      <c r="B8" s="6">
        <v>3</v>
      </c>
      <c r="C8" s="6">
        <v>12</v>
      </c>
      <c r="D8" s="11">
        <f t="shared" si="0"/>
        <v>0.25</v>
      </c>
    </row>
    <row r="9" spans="1:4" x14ac:dyDescent="0.25">
      <c r="A9" s="22" t="s">
        <v>729</v>
      </c>
      <c r="B9" s="6">
        <v>2</v>
      </c>
      <c r="C9" s="6">
        <v>12</v>
      </c>
      <c r="D9" s="11">
        <f t="shared" si="0"/>
        <v>0.16666666666666666</v>
      </c>
    </row>
    <row r="10" spans="1:4" x14ac:dyDescent="0.25">
      <c r="A10" s="22" t="s">
        <v>730</v>
      </c>
      <c r="B10" s="6">
        <v>5</v>
      </c>
      <c r="C10" s="6">
        <v>9</v>
      </c>
      <c r="D10" s="11">
        <f t="shared" si="0"/>
        <v>0.55555555555555558</v>
      </c>
    </row>
    <row r="11" spans="1:4" x14ac:dyDescent="0.25">
      <c r="A11" s="22" t="s">
        <v>728</v>
      </c>
      <c r="B11" s="6">
        <v>2</v>
      </c>
      <c r="C11" s="6">
        <v>7</v>
      </c>
      <c r="D11" s="11">
        <f t="shared" si="0"/>
        <v>0.2857142857142857</v>
      </c>
    </row>
    <row r="12" spans="1:4" x14ac:dyDescent="0.25">
      <c r="A12" s="19" t="s">
        <v>653</v>
      </c>
      <c r="B12" s="6">
        <v>9</v>
      </c>
      <c r="C12" s="6">
        <v>44</v>
      </c>
      <c r="D12" s="11">
        <f>B12/C12</f>
        <v>0.20454545454545456</v>
      </c>
    </row>
    <row r="13" spans="1:4" x14ac:dyDescent="0.25">
      <c r="A13" s="22" t="s">
        <v>733</v>
      </c>
      <c r="B13" s="6">
        <v>2</v>
      </c>
      <c r="C13" s="6">
        <v>6</v>
      </c>
      <c r="D13" s="11">
        <f>B13/C13</f>
        <v>0.33333333333333331</v>
      </c>
    </row>
    <row r="14" spans="1:4" x14ac:dyDescent="0.25">
      <c r="A14" s="22" t="s">
        <v>727</v>
      </c>
      <c r="B14" s="6">
        <v>3</v>
      </c>
      <c r="C14" s="6">
        <v>6</v>
      </c>
      <c r="D14" s="11">
        <f t="shared" ref="D14:D19" si="1">B14/C14</f>
        <v>0.5</v>
      </c>
    </row>
    <row r="15" spans="1:4" x14ac:dyDescent="0.25">
      <c r="A15" s="22" t="s">
        <v>731</v>
      </c>
      <c r="B15" s="6">
        <v>2</v>
      </c>
      <c r="C15" s="6">
        <v>6</v>
      </c>
      <c r="D15" s="11">
        <f t="shared" si="1"/>
        <v>0.33333333333333331</v>
      </c>
    </row>
    <row r="16" spans="1:4" x14ac:dyDescent="0.25">
      <c r="A16" s="22" t="s">
        <v>732</v>
      </c>
      <c r="B16" s="6">
        <v>0</v>
      </c>
      <c r="C16" s="6">
        <v>7</v>
      </c>
      <c r="D16" s="11">
        <f t="shared" si="1"/>
        <v>0</v>
      </c>
    </row>
    <row r="17" spans="1:4" x14ac:dyDescent="0.25">
      <c r="A17" s="22" t="s">
        <v>729</v>
      </c>
      <c r="B17" s="6">
        <v>0</v>
      </c>
      <c r="C17" s="6">
        <v>3</v>
      </c>
      <c r="D17" s="11">
        <f t="shared" si="1"/>
        <v>0</v>
      </c>
    </row>
    <row r="18" spans="1:4" x14ac:dyDescent="0.25">
      <c r="A18" s="22" t="s">
        <v>730</v>
      </c>
      <c r="B18" s="6">
        <v>0</v>
      </c>
      <c r="C18" s="6">
        <v>3</v>
      </c>
      <c r="D18" s="11">
        <f t="shared" si="1"/>
        <v>0</v>
      </c>
    </row>
    <row r="19" spans="1:4" x14ac:dyDescent="0.25">
      <c r="A19" s="22" t="s">
        <v>728</v>
      </c>
      <c r="B19" s="6">
        <v>2</v>
      </c>
      <c r="C19" s="6">
        <v>13</v>
      </c>
      <c r="D19" s="11">
        <f t="shared" si="1"/>
        <v>0.15384615384615385</v>
      </c>
    </row>
    <row r="20" spans="1:4" x14ac:dyDescent="0.25">
      <c r="A20" s="19" t="s">
        <v>659</v>
      </c>
      <c r="B20" s="6">
        <v>10</v>
      </c>
      <c r="C20" s="6">
        <v>51</v>
      </c>
      <c r="D20" s="11">
        <f>B20/C20</f>
        <v>0.19607843137254902</v>
      </c>
    </row>
    <row r="21" spans="1:4" x14ac:dyDescent="0.25">
      <c r="A21" s="22" t="s">
        <v>733</v>
      </c>
      <c r="B21" s="6">
        <v>3</v>
      </c>
      <c r="C21" s="6">
        <v>4</v>
      </c>
      <c r="D21" s="11">
        <f t="shared" ref="D21:D27" si="2">B21/C21</f>
        <v>0.75</v>
      </c>
    </row>
    <row r="22" spans="1:4" x14ac:dyDescent="0.25">
      <c r="A22" s="22" t="s">
        <v>727</v>
      </c>
      <c r="B22" s="6">
        <v>0</v>
      </c>
      <c r="C22" s="6">
        <v>10</v>
      </c>
      <c r="D22" s="11">
        <f t="shared" si="2"/>
        <v>0</v>
      </c>
    </row>
    <row r="23" spans="1:4" x14ac:dyDescent="0.25">
      <c r="A23" s="22" t="s">
        <v>731</v>
      </c>
      <c r="B23" s="6">
        <v>1</v>
      </c>
      <c r="C23" s="6">
        <v>5</v>
      </c>
      <c r="D23" s="11">
        <f t="shared" si="2"/>
        <v>0.2</v>
      </c>
    </row>
    <row r="24" spans="1:4" x14ac:dyDescent="0.25">
      <c r="A24" s="22" t="s">
        <v>732</v>
      </c>
      <c r="B24" s="6">
        <v>1</v>
      </c>
      <c r="C24" s="6">
        <v>6</v>
      </c>
      <c r="D24" s="11">
        <f t="shared" si="2"/>
        <v>0.16666666666666666</v>
      </c>
    </row>
    <row r="25" spans="1:4" x14ac:dyDescent="0.25">
      <c r="A25" s="22" t="s">
        <v>729</v>
      </c>
      <c r="B25" s="6">
        <v>4</v>
      </c>
      <c r="C25" s="6">
        <v>8</v>
      </c>
      <c r="D25" s="11">
        <f t="shared" si="2"/>
        <v>0.5</v>
      </c>
    </row>
    <row r="26" spans="1:4" x14ac:dyDescent="0.25">
      <c r="A26" s="22" t="s">
        <v>730</v>
      </c>
      <c r="B26" s="6">
        <v>1</v>
      </c>
      <c r="C26" s="6">
        <v>7</v>
      </c>
      <c r="D26" s="11">
        <f t="shared" si="2"/>
        <v>0.14285714285714285</v>
      </c>
    </row>
    <row r="27" spans="1:4" x14ac:dyDescent="0.25">
      <c r="A27" s="22" t="s">
        <v>728</v>
      </c>
      <c r="B27" s="6">
        <v>0</v>
      </c>
      <c r="C27" s="6">
        <v>11</v>
      </c>
      <c r="D27" s="11">
        <f t="shared" si="2"/>
        <v>0</v>
      </c>
    </row>
    <row r="28" spans="1:4" x14ac:dyDescent="0.25">
      <c r="A28" s="19" t="s">
        <v>657</v>
      </c>
      <c r="B28" s="6">
        <v>13</v>
      </c>
      <c r="C28" s="6">
        <v>54</v>
      </c>
      <c r="D28" s="11">
        <f>B28/C28</f>
        <v>0.24074074074074073</v>
      </c>
    </row>
    <row r="29" spans="1:4" x14ac:dyDescent="0.25">
      <c r="A29" s="22" t="s">
        <v>733</v>
      </c>
      <c r="B29" s="6">
        <v>1</v>
      </c>
      <c r="C29" s="6">
        <v>7</v>
      </c>
      <c r="D29" s="11">
        <f>B29/C29</f>
        <v>0.14285714285714285</v>
      </c>
    </row>
    <row r="30" spans="1:4" x14ac:dyDescent="0.25">
      <c r="A30" s="22" t="s">
        <v>727</v>
      </c>
      <c r="B30" s="6">
        <v>3</v>
      </c>
      <c r="C30" s="6">
        <v>10</v>
      </c>
      <c r="D30" s="11">
        <f t="shared" ref="D30:D35" si="3">B30/C30</f>
        <v>0.3</v>
      </c>
    </row>
    <row r="31" spans="1:4" x14ac:dyDescent="0.25">
      <c r="A31" s="22" t="s">
        <v>731</v>
      </c>
      <c r="B31" s="6">
        <v>2</v>
      </c>
      <c r="C31" s="6">
        <v>6</v>
      </c>
      <c r="D31" s="11">
        <f t="shared" si="3"/>
        <v>0.33333333333333331</v>
      </c>
    </row>
    <row r="32" spans="1:4" x14ac:dyDescent="0.25">
      <c r="A32" s="22" t="s">
        <v>732</v>
      </c>
      <c r="B32" s="6">
        <v>3</v>
      </c>
      <c r="C32" s="6">
        <v>10</v>
      </c>
      <c r="D32" s="11">
        <f t="shared" si="3"/>
        <v>0.3</v>
      </c>
    </row>
    <row r="33" spans="1:4" x14ac:dyDescent="0.25">
      <c r="A33" s="22" t="s">
        <v>729</v>
      </c>
      <c r="B33" s="6">
        <v>2</v>
      </c>
      <c r="C33" s="6">
        <v>6</v>
      </c>
      <c r="D33" s="11">
        <f t="shared" si="3"/>
        <v>0.33333333333333331</v>
      </c>
    </row>
    <row r="34" spans="1:4" x14ac:dyDescent="0.25">
      <c r="A34" s="22" t="s">
        <v>730</v>
      </c>
      <c r="B34" s="6">
        <v>0</v>
      </c>
      <c r="C34" s="6">
        <v>3</v>
      </c>
      <c r="D34" s="11">
        <f t="shared" si="3"/>
        <v>0</v>
      </c>
    </row>
    <row r="35" spans="1:4" x14ac:dyDescent="0.25">
      <c r="A35" s="22" t="s">
        <v>728</v>
      </c>
      <c r="B35" s="6">
        <v>2</v>
      </c>
      <c r="C35" s="6">
        <v>12</v>
      </c>
      <c r="D35" s="11">
        <f t="shared" si="3"/>
        <v>0.16666666666666666</v>
      </c>
    </row>
    <row r="36" spans="1:4" x14ac:dyDescent="0.25">
      <c r="A36" s="19" t="s">
        <v>656</v>
      </c>
      <c r="B36" s="6">
        <v>12</v>
      </c>
      <c r="C36" s="6">
        <v>51</v>
      </c>
      <c r="D36" s="11">
        <f>B36/C36</f>
        <v>0.23529411764705882</v>
      </c>
    </row>
    <row r="37" spans="1:4" x14ac:dyDescent="0.25">
      <c r="A37" s="22" t="s">
        <v>733</v>
      </c>
      <c r="B37" s="6">
        <v>4</v>
      </c>
      <c r="C37" s="6">
        <v>9</v>
      </c>
      <c r="D37" s="11">
        <f>B37/C37</f>
        <v>0.44444444444444442</v>
      </c>
    </row>
    <row r="38" spans="1:4" x14ac:dyDescent="0.25">
      <c r="A38" s="22" t="s">
        <v>727</v>
      </c>
      <c r="B38" s="6">
        <v>2</v>
      </c>
      <c r="C38" s="6">
        <v>6</v>
      </c>
      <c r="D38" s="11">
        <f t="shared" ref="D38:D43" si="4">B38/C38</f>
        <v>0.33333333333333331</v>
      </c>
    </row>
    <row r="39" spans="1:4" x14ac:dyDescent="0.25">
      <c r="A39" s="22" t="s">
        <v>731</v>
      </c>
      <c r="B39" s="6">
        <v>2</v>
      </c>
      <c r="C39" s="6">
        <v>7</v>
      </c>
      <c r="D39" s="11">
        <f t="shared" si="4"/>
        <v>0.2857142857142857</v>
      </c>
    </row>
    <row r="40" spans="1:4" x14ac:dyDescent="0.25">
      <c r="A40" s="22" t="s">
        <v>732</v>
      </c>
      <c r="B40" s="6">
        <v>1</v>
      </c>
      <c r="C40" s="6">
        <v>10</v>
      </c>
      <c r="D40" s="11">
        <f t="shared" si="4"/>
        <v>0.1</v>
      </c>
    </row>
    <row r="41" spans="1:4" x14ac:dyDescent="0.25">
      <c r="A41" s="22" t="s">
        <v>729</v>
      </c>
      <c r="B41" s="6">
        <v>1</v>
      </c>
      <c r="C41" s="6">
        <v>4</v>
      </c>
      <c r="D41" s="11">
        <f t="shared" si="4"/>
        <v>0.25</v>
      </c>
    </row>
    <row r="42" spans="1:4" x14ac:dyDescent="0.25">
      <c r="A42" s="22" t="s">
        <v>730</v>
      </c>
      <c r="B42" s="6">
        <v>1</v>
      </c>
      <c r="C42" s="6">
        <v>7</v>
      </c>
      <c r="D42" s="11">
        <f t="shared" si="4"/>
        <v>0.14285714285714285</v>
      </c>
    </row>
    <row r="43" spans="1:4" x14ac:dyDescent="0.25">
      <c r="A43" s="22" t="s">
        <v>728</v>
      </c>
      <c r="B43" s="6">
        <v>1</v>
      </c>
      <c r="C43" s="6">
        <v>8</v>
      </c>
      <c r="D43" s="11">
        <f t="shared" si="4"/>
        <v>0.125</v>
      </c>
    </row>
    <row r="44" spans="1:4" x14ac:dyDescent="0.25">
      <c r="A44" s="19" t="s">
        <v>654</v>
      </c>
      <c r="B44" s="6">
        <v>12</v>
      </c>
      <c r="C44" s="6">
        <v>61</v>
      </c>
      <c r="D44" s="11">
        <f>B44/C44</f>
        <v>0.19672131147540983</v>
      </c>
    </row>
    <row r="45" spans="1:4" x14ac:dyDescent="0.25">
      <c r="A45" s="22" t="s">
        <v>733</v>
      </c>
      <c r="B45" s="6">
        <v>2</v>
      </c>
      <c r="C45" s="6">
        <v>8</v>
      </c>
      <c r="D45" s="11">
        <f>B45/C45</f>
        <v>0.25</v>
      </c>
    </row>
    <row r="46" spans="1:4" x14ac:dyDescent="0.25">
      <c r="A46" s="22" t="s">
        <v>727</v>
      </c>
      <c r="B46" s="6">
        <v>2</v>
      </c>
      <c r="C46" s="6">
        <v>10</v>
      </c>
      <c r="D46" s="11">
        <f t="shared" ref="D46:D100" si="5">B46/C46</f>
        <v>0.2</v>
      </c>
    </row>
    <row r="47" spans="1:4" x14ac:dyDescent="0.25">
      <c r="A47" s="22" t="s">
        <v>731</v>
      </c>
      <c r="B47" s="6">
        <v>1</v>
      </c>
      <c r="C47" s="6">
        <v>9</v>
      </c>
      <c r="D47" s="11">
        <f t="shared" si="5"/>
        <v>0.1111111111111111</v>
      </c>
    </row>
    <row r="48" spans="1:4" x14ac:dyDescent="0.25">
      <c r="A48" s="22" t="s">
        <v>732</v>
      </c>
      <c r="B48" s="6">
        <v>2</v>
      </c>
      <c r="C48" s="6">
        <v>12</v>
      </c>
      <c r="D48" s="11">
        <f t="shared" si="5"/>
        <v>0.16666666666666666</v>
      </c>
    </row>
    <row r="49" spans="1:4" x14ac:dyDescent="0.25">
      <c r="A49" s="22" t="s">
        <v>729</v>
      </c>
      <c r="B49" s="6">
        <v>1</v>
      </c>
      <c r="C49" s="6">
        <v>7</v>
      </c>
      <c r="D49" s="11">
        <f t="shared" si="5"/>
        <v>0.14285714285714285</v>
      </c>
    </row>
    <row r="50" spans="1:4" x14ac:dyDescent="0.25">
      <c r="A50" s="22" t="s">
        <v>730</v>
      </c>
      <c r="B50" s="6">
        <v>2</v>
      </c>
      <c r="C50" s="6">
        <v>9</v>
      </c>
      <c r="D50" s="11">
        <f t="shared" si="5"/>
        <v>0.22222222222222221</v>
      </c>
    </row>
    <row r="51" spans="1:4" x14ac:dyDescent="0.25">
      <c r="A51" s="22" t="s">
        <v>728</v>
      </c>
      <c r="B51" s="6">
        <v>2</v>
      </c>
      <c r="C51" s="6">
        <v>6</v>
      </c>
      <c r="D51" s="11">
        <f t="shared" si="5"/>
        <v>0.33333333333333331</v>
      </c>
    </row>
    <row r="52" spans="1:4" x14ac:dyDescent="0.25">
      <c r="A52" s="19" t="s">
        <v>652</v>
      </c>
      <c r="B52" s="6">
        <v>14</v>
      </c>
      <c r="C52" s="6">
        <v>59</v>
      </c>
      <c r="D52" s="11">
        <f t="shared" si="5"/>
        <v>0.23728813559322035</v>
      </c>
    </row>
    <row r="53" spans="1:4" x14ac:dyDescent="0.25">
      <c r="A53" s="22" t="s">
        <v>733</v>
      </c>
      <c r="B53" s="6">
        <v>1</v>
      </c>
      <c r="C53" s="6">
        <v>5</v>
      </c>
      <c r="D53" s="11">
        <f t="shared" si="5"/>
        <v>0.2</v>
      </c>
    </row>
    <row r="54" spans="1:4" x14ac:dyDescent="0.25">
      <c r="A54" s="22" t="s">
        <v>727</v>
      </c>
      <c r="B54" s="6">
        <v>3</v>
      </c>
      <c r="C54" s="6">
        <v>8</v>
      </c>
      <c r="D54" s="11">
        <f t="shared" si="5"/>
        <v>0.375</v>
      </c>
    </row>
    <row r="55" spans="1:4" x14ac:dyDescent="0.25">
      <c r="A55" s="22" t="s">
        <v>731</v>
      </c>
      <c r="B55" s="6">
        <v>3</v>
      </c>
      <c r="C55" s="6">
        <v>7</v>
      </c>
      <c r="D55" s="11">
        <f t="shared" si="5"/>
        <v>0.42857142857142855</v>
      </c>
    </row>
    <row r="56" spans="1:4" x14ac:dyDescent="0.25">
      <c r="A56" s="22" t="s">
        <v>732</v>
      </c>
      <c r="B56" s="6">
        <v>2</v>
      </c>
      <c r="C56" s="6">
        <v>7</v>
      </c>
      <c r="D56" s="11">
        <f t="shared" si="5"/>
        <v>0.2857142857142857</v>
      </c>
    </row>
    <row r="57" spans="1:4" x14ac:dyDescent="0.25">
      <c r="A57" s="22" t="s">
        <v>729</v>
      </c>
      <c r="B57" s="6">
        <v>1</v>
      </c>
      <c r="C57" s="6">
        <v>12</v>
      </c>
      <c r="D57" s="11">
        <f t="shared" si="5"/>
        <v>8.3333333333333329E-2</v>
      </c>
    </row>
    <row r="58" spans="1:4" x14ac:dyDescent="0.25">
      <c r="A58" s="22" t="s">
        <v>730</v>
      </c>
      <c r="B58" s="6">
        <v>1</v>
      </c>
      <c r="C58" s="6">
        <v>11</v>
      </c>
      <c r="D58" s="11">
        <f t="shared" si="5"/>
        <v>9.0909090909090912E-2</v>
      </c>
    </row>
    <row r="59" spans="1:4" x14ac:dyDescent="0.25">
      <c r="A59" s="22" t="s">
        <v>728</v>
      </c>
      <c r="B59" s="6">
        <v>3</v>
      </c>
      <c r="C59" s="6">
        <v>9</v>
      </c>
      <c r="D59" s="11">
        <f t="shared" si="5"/>
        <v>0.33333333333333331</v>
      </c>
    </row>
    <row r="60" spans="1:4" x14ac:dyDescent="0.25">
      <c r="A60" s="19" t="s">
        <v>650</v>
      </c>
      <c r="B60" s="6">
        <v>17</v>
      </c>
      <c r="C60" s="6">
        <v>56</v>
      </c>
      <c r="D60" s="11">
        <f t="shared" si="5"/>
        <v>0.30357142857142855</v>
      </c>
    </row>
    <row r="61" spans="1:4" x14ac:dyDescent="0.25">
      <c r="A61" s="22" t="s">
        <v>733</v>
      </c>
      <c r="B61" s="6">
        <v>4</v>
      </c>
      <c r="C61" s="6">
        <v>10</v>
      </c>
      <c r="D61" s="11">
        <f t="shared" si="5"/>
        <v>0.4</v>
      </c>
    </row>
    <row r="62" spans="1:4" x14ac:dyDescent="0.25">
      <c r="A62" s="22" t="s">
        <v>727</v>
      </c>
      <c r="B62" s="6">
        <v>1</v>
      </c>
      <c r="C62" s="6">
        <v>5</v>
      </c>
      <c r="D62" s="11">
        <f t="shared" si="5"/>
        <v>0.2</v>
      </c>
    </row>
    <row r="63" spans="1:4" x14ac:dyDescent="0.25">
      <c r="A63" s="22" t="s">
        <v>731</v>
      </c>
      <c r="B63" s="6">
        <v>7</v>
      </c>
      <c r="C63" s="6">
        <v>10</v>
      </c>
      <c r="D63" s="11">
        <f t="shared" si="5"/>
        <v>0.7</v>
      </c>
    </row>
    <row r="64" spans="1:4" x14ac:dyDescent="0.25">
      <c r="A64" s="22" t="s">
        <v>732</v>
      </c>
      <c r="B64" s="6">
        <v>0</v>
      </c>
      <c r="C64" s="6">
        <v>2</v>
      </c>
      <c r="D64" s="11">
        <f t="shared" si="5"/>
        <v>0</v>
      </c>
    </row>
    <row r="65" spans="1:4" x14ac:dyDescent="0.25">
      <c r="A65" s="22" t="s">
        <v>729</v>
      </c>
      <c r="B65" s="6">
        <v>2</v>
      </c>
      <c r="C65" s="6">
        <v>6</v>
      </c>
      <c r="D65" s="11">
        <f t="shared" si="5"/>
        <v>0.33333333333333331</v>
      </c>
    </row>
    <row r="66" spans="1:4" x14ac:dyDescent="0.25">
      <c r="A66" s="22" t="s">
        <v>730</v>
      </c>
      <c r="B66" s="6">
        <v>2</v>
      </c>
      <c r="C66" s="6">
        <v>15</v>
      </c>
      <c r="D66" s="11">
        <f t="shared" si="5"/>
        <v>0.13333333333333333</v>
      </c>
    </row>
    <row r="67" spans="1:4" x14ac:dyDescent="0.25">
      <c r="A67" s="22" t="s">
        <v>728</v>
      </c>
      <c r="B67" s="6">
        <v>1</v>
      </c>
      <c r="C67" s="6">
        <v>8</v>
      </c>
      <c r="D67" s="11">
        <f t="shared" si="5"/>
        <v>0.125</v>
      </c>
    </row>
    <row r="68" spans="1:4" x14ac:dyDescent="0.25">
      <c r="A68" s="19" t="s">
        <v>651</v>
      </c>
      <c r="B68" s="6">
        <v>19</v>
      </c>
      <c r="C68" s="6">
        <v>44</v>
      </c>
      <c r="D68" s="11">
        <f t="shared" si="5"/>
        <v>0.43181818181818182</v>
      </c>
    </row>
    <row r="69" spans="1:4" x14ac:dyDescent="0.25">
      <c r="A69" s="22" t="s">
        <v>733</v>
      </c>
      <c r="B69" s="6">
        <v>6</v>
      </c>
      <c r="C69" s="6">
        <v>13</v>
      </c>
      <c r="D69" s="11">
        <f t="shared" si="5"/>
        <v>0.46153846153846156</v>
      </c>
    </row>
    <row r="70" spans="1:4" x14ac:dyDescent="0.25">
      <c r="A70" s="22" t="s">
        <v>727</v>
      </c>
      <c r="B70" s="6">
        <v>2</v>
      </c>
      <c r="C70" s="6">
        <v>6</v>
      </c>
      <c r="D70" s="11">
        <f t="shared" si="5"/>
        <v>0.33333333333333331</v>
      </c>
    </row>
    <row r="71" spans="1:4" x14ac:dyDescent="0.25">
      <c r="A71" s="22" t="s">
        <v>731</v>
      </c>
      <c r="B71" s="6">
        <v>3</v>
      </c>
      <c r="C71" s="6">
        <v>6</v>
      </c>
      <c r="D71" s="11">
        <f t="shared" si="5"/>
        <v>0.5</v>
      </c>
    </row>
    <row r="72" spans="1:4" x14ac:dyDescent="0.25">
      <c r="A72" s="22" t="s">
        <v>732</v>
      </c>
      <c r="B72" s="6">
        <v>3</v>
      </c>
      <c r="C72" s="6">
        <v>5</v>
      </c>
      <c r="D72" s="11">
        <f t="shared" si="5"/>
        <v>0.6</v>
      </c>
    </row>
    <row r="73" spans="1:4" x14ac:dyDescent="0.25">
      <c r="A73" s="22" t="s">
        <v>729</v>
      </c>
      <c r="B73" s="6">
        <v>1</v>
      </c>
      <c r="C73" s="6">
        <v>2</v>
      </c>
      <c r="D73" s="11">
        <f t="shared" si="5"/>
        <v>0.5</v>
      </c>
    </row>
    <row r="74" spans="1:4" x14ac:dyDescent="0.25">
      <c r="A74" s="22" t="s">
        <v>730</v>
      </c>
      <c r="B74" s="6">
        <v>1</v>
      </c>
      <c r="C74" s="6">
        <v>6</v>
      </c>
      <c r="D74" s="11">
        <f t="shared" si="5"/>
        <v>0.16666666666666666</v>
      </c>
    </row>
    <row r="75" spans="1:4" x14ac:dyDescent="0.25">
      <c r="A75" s="22" t="s">
        <v>728</v>
      </c>
      <c r="B75" s="6">
        <v>3</v>
      </c>
      <c r="C75" s="6">
        <v>6</v>
      </c>
      <c r="D75" s="11">
        <f t="shared" si="5"/>
        <v>0.5</v>
      </c>
    </row>
    <row r="76" spans="1:4" x14ac:dyDescent="0.25">
      <c r="A76" s="19" t="s">
        <v>661</v>
      </c>
      <c r="B76" s="6">
        <v>15</v>
      </c>
      <c r="C76" s="6">
        <v>45</v>
      </c>
      <c r="D76" s="11">
        <f t="shared" si="5"/>
        <v>0.33333333333333331</v>
      </c>
    </row>
    <row r="77" spans="1:4" x14ac:dyDescent="0.25">
      <c r="A77" s="22" t="s">
        <v>733</v>
      </c>
      <c r="B77" s="6">
        <v>2</v>
      </c>
      <c r="C77" s="6">
        <v>4</v>
      </c>
      <c r="D77" s="11">
        <f t="shared" si="5"/>
        <v>0.5</v>
      </c>
    </row>
    <row r="78" spans="1:4" x14ac:dyDescent="0.25">
      <c r="A78" s="22" t="s">
        <v>727</v>
      </c>
      <c r="B78" s="6">
        <v>5</v>
      </c>
      <c r="C78" s="6">
        <v>11</v>
      </c>
      <c r="D78" s="11">
        <f t="shared" si="5"/>
        <v>0.45454545454545453</v>
      </c>
    </row>
    <row r="79" spans="1:4" x14ac:dyDescent="0.25">
      <c r="A79" s="22" t="s">
        <v>731</v>
      </c>
      <c r="B79" s="6">
        <v>2</v>
      </c>
      <c r="C79" s="6">
        <v>7</v>
      </c>
      <c r="D79" s="11">
        <f t="shared" si="5"/>
        <v>0.2857142857142857</v>
      </c>
    </row>
    <row r="80" spans="1:4" x14ac:dyDescent="0.25">
      <c r="A80" s="22" t="s">
        <v>732</v>
      </c>
      <c r="B80" s="6">
        <v>1</v>
      </c>
      <c r="C80" s="6">
        <v>7</v>
      </c>
      <c r="D80" s="11">
        <f t="shared" si="5"/>
        <v>0.14285714285714285</v>
      </c>
    </row>
    <row r="81" spans="1:4" x14ac:dyDescent="0.25">
      <c r="A81" s="22" t="s">
        <v>729</v>
      </c>
      <c r="B81" s="6">
        <v>2</v>
      </c>
      <c r="C81" s="6">
        <v>7</v>
      </c>
      <c r="D81" s="11">
        <f t="shared" si="5"/>
        <v>0.2857142857142857</v>
      </c>
    </row>
    <row r="82" spans="1:4" x14ac:dyDescent="0.25">
      <c r="A82" s="22" t="s">
        <v>730</v>
      </c>
      <c r="B82" s="6">
        <v>2</v>
      </c>
      <c r="C82" s="6">
        <v>4</v>
      </c>
      <c r="D82" s="11">
        <f t="shared" si="5"/>
        <v>0.5</v>
      </c>
    </row>
    <row r="83" spans="1:4" x14ac:dyDescent="0.25">
      <c r="A83" s="22" t="s">
        <v>728</v>
      </c>
      <c r="B83" s="6">
        <v>1</v>
      </c>
      <c r="C83" s="6">
        <v>5</v>
      </c>
      <c r="D83" s="11">
        <f t="shared" si="5"/>
        <v>0.2</v>
      </c>
    </row>
    <row r="84" spans="1:4" x14ac:dyDescent="0.25">
      <c r="A84" s="19" t="s">
        <v>658</v>
      </c>
      <c r="B84" s="6">
        <v>15</v>
      </c>
      <c r="C84" s="6">
        <v>54</v>
      </c>
      <c r="D84" s="11">
        <f t="shared" si="5"/>
        <v>0.27777777777777779</v>
      </c>
    </row>
    <row r="85" spans="1:4" x14ac:dyDescent="0.25">
      <c r="A85" s="22" t="s">
        <v>733</v>
      </c>
      <c r="B85" s="6">
        <v>1</v>
      </c>
      <c r="C85" s="6">
        <v>8</v>
      </c>
      <c r="D85" s="11">
        <f t="shared" si="5"/>
        <v>0.125</v>
      </c>
    </row>
    <row r="86" spans="1:4" x14ac:dyDescent="0.25">
      <c r="A86" s="22" t="s">
        <v>727</v>
      </c>
      <c r="B86" s="6">
        <v>2</v>
      </c>
      <c r="C86" s="6">
        <v>7</v>
      </c>
      <c r="D86" s="11">
        <f t="shared" si="5"/>
        <v>0.2857142857142857</v>
      </c>
    </row>
    <row r="87" spans="1:4" x14ac:dyDescent="0.25">
      <c r="A87" s="22" t="s">
        <v>731</v>
      </c>
      <c r="B87" s="6">
        <v>4</v>
      </c>
      <c r="C87" s="6">
        <v>9</v>
      </c>
      <c r="D87" s="11">
        <f t="shared" si="5"/>
        <v>0.44444444444444442</v>
      </c>
    </row>
    <row r="88" spans="1:4" x14ac:dyDescent="0.25">
      <c r="A88" s="22" t="s">
        <v>732</v>
      </c>
      <c r="B88" s="6">
        <v>2</v>
      </c>
      <c r="C88" s="6">
        <v>7</v>
      </c>
      <c r="D88" s="11">
        <f t="shared" si="5"/>
        <v>0.2857142857142857</v>
      </c>
    </row>
    <row r="89" spans="1:4" x14ac:dyDescent="0.25">
      <c r="A89" s="22" t="s">
        <v>729</v>
      </c>
      <c r="B89" s="6">
        <v>2</v>
      </c>
      <c r="C89" s="6">
        <v>9</v>
      </c>
      <c r="D89" s="11">
        <f t="shared" si="5"/>
        <v>0.22222222222222221</v>
      </c>
    </row>
    <row r="90" spans="1:4" x14ac:dyDescent="0.25">
      <c r="A90" s="22" t="s">
        <v>730</v>
      </c>
      <c r="B90" s="6">
        <v>1</v>
      </c>
      <c r="C90" s="6">
        <v>4</v>
      </c>
      <c r="D90" s="11">
        <f t="shared" si="5"/>
        <v>0.25</v>
      </c>
    </row>
    <row r="91" spans="1:4" x14ac:dyDescent="0.25">
      <c r="A91" s="22" t="s">
        <v>728</v>
      </c>
      <c r="B91" s="6">
        <v>3</v>
      </c>
      <c r="C91" s="6">
        <v>10</v>
      </c>
      <c r="D91" s="11">
        <f t="shared" si="5"/>
        <v>0.3</v>
      </c>
    </row>
    <row r="92" spans="1:4" x14ac:dyDescent="0.25">
      <c r="A92" s="19" t="s">
        <v>660</v>
      </c>
      <c r="B92" s="6">
        <v>18</v>
      </c>
      <c r="C92" s="6">
        <v>51</v>
      </c>
      <c r="D92" s="11">
        <f t="shared" si="5"/>
        <v>0.35294117647058826</v>
      </c>
    </row>
    <row r="93" spans="1:4" x14ac:dyDescent="0.25">
      <c r="A93" s="22" t="s">
        <v>733</v>
      </c>
      <c r="B93" s="6">
        <v>2</v>
      </c>
      <c r="C93" s="6">
        <v>4</v>
      </c>
      <c r="D93" s="11">
        <f t="shared" si="5"/>
        <v>0.5</v>
      </c>
    </row>
    <row r="94" spans="1:4" x14ac:dyDescent="0.25">
      <c r="A94" s="22" t="s">
        <v>727</v>
      </c>
      <c r="B94" s="6">
        <v>2</v>
      </c>
      <c r="C94" s="6">
        <v>5</v>
      </c>
      <c r="D94" s="11">
        <f t="shared" si="5"/>
        <v>0.4</v>
      </c>
    </row>
    <row r="95" spans="1:4" x14ac:dyDescent="0.25">
      <c r="A95" s="22" t="s">
        <v>731</v>
      </c>
      <c r="B95" s="6">
        <v>1</v>
      </c>
      <c r="C95" s="6">
        <v>5</v>
      </c>
      <c r="D95" s="11">
        <f t="shared" si="5"/>
        <v>0.2</v>
      </c>
    </row>
    <row r="96" spans="1:4" x14ac:dyDescent="0.25">
      <c r="A96" s="22" t="s">
        <v>732</v>
      </c>
      <c r="B96" s="6">
        <v>1</v>
      </c>
      <c r="C96" s="6">
        <v>9</v>
      </c>
      <c r="D96" s="11">
        <f t="shared" si="5"/>
        <v>0.1111111111111111</v>
      </c>
    </row>
    <row r="97" spans="1:4" x14ac:dyDescent="0.25">
      <c r="A97" s="22" t="s">
        <v>729</v>
      </c>
      <c r="B97" s="6">
        <v>5</v>
      </c>
      <c r="C97" s="6">
        <v>10</v>
      </c>
      <c r="D97" s="11">
        <f t="shared" si="5"/>
        <v>0.5</v>
      </c>
    </row>
    <row r="98" spans="1:4" x14ac:dyDescent="0.25">
      <c r="A98" s="22" t="s">
        <v>730</v>
      </c>
      <c r="B98" s="6">
        <v>1</v>
      </c>
      <c r="C98" s="6">
        <v>10</v>
      </c>
      <c r="D98" s="11">
        <f t="shared" si="5"/>
        <v>0.1</v>
      </c>
    </row>
    <row r="99" spans="1:4" x14ac:dyDescent="0.25">
      <c r="A99" s="22" t="s">
        <v>728</v>
      </c>
      <c r="B99" s="6">
        <v>6</v>
      </c>
      <c r="C99" s="6">
        <v>8</v>
      </c>
      <c r="D99" s="11">
        <f t="shared" si="5"/>
        <v>0.75</v>
      </c>
    </row>
    <row r="100" spans="1:4" x14ac:dyDescent="0.25">
      <c r="A100" s="19" t="s">
        <v>1432</v>
      </c>
      <c r="B100" s="6">
        <v>172</v>
      </c>
      <c r="C100" s="6">
        <v>632</v>
      </c>
      <c r="D100" s="11">
        <f t="shared" si="5"/>
        <v>0.27215189873417722</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2"/>
  <sheetViews>
    <sheetView workbookViewId="0">
      <selection activeCell="D5" sqref="D5"/>
    </sheetView>
  </sheetViews>
  <sheetFormatPr defaultRowHeight="15" x14ac:dyDescent="0.25"/>
  <cols>
    <col min="1" max="1" width="14.85546875" bestFit="1" customWidth="1"/>
    <col min="2" max="2" width="23.28515625" bestFit="1" customWidth="1"/>
    <col min="3" max="3" width="16.140625" bestFit="1" customWidth="1"/>
    <col min="4" max="4" width="14.85546875" style="11" bestFit="1" customWidth="1"/>
  </cols>
  <sheetData>
    <row r="3" spans="1:4" x14ac:dyDescent="0.25">
      <c r="A3" s="18" t="s">
        <v>1431</v>
      </c>
      <c r="B3" t="s">
        <v>1452</v>
      </c>
      <c r="C3" t="s">
        <v>1442</v>
      </c>
      <c r="D3" s="25" t="s">
        <v>1453</v>
      </c>
    </row>
    <row r="4" spans="1:4" x14ac:dyDescent="0.25">
      <c r="A4" s="19" t="s">
        <v>646</v>
      </c>
      <c r="B4" s="6">
        <v>22</v>
      </c>
      <c r="C4" s="6">
        <v>145</v>
      </c>
    </row>
    <row r="5" spans="1:4" x14ac:dyDescent="0.25">
      <c r="A5" s="22" t="s">
        <v>720</v>
      </c>
      <c r="B5" s="6">
        <v>3</v>
      </c>
      <c r="C5" s="6">
        <v>16</v>
      </c>
      <c r="D5" s="11">
        <f t="shared" ref="D5:D68" si="0">B5/C5</f>
        <v>0.1875</v>
      </c>
    </row>
    <row r="6" spans="1:4" x14ac:dyDescent="0.25">
      <c r="A6" s="22" t="s">
        <v>717</v>
      </c>
      <c r="B6" s="6">
        <v>0</v>
      </c>
      <c r="C6" s="6">
        <v>8</v>
      </c>
      <c r="D6" s="11">
        <f t="shared" si="0"/>
        <v>0</v>
      </c>
    </row>
    <row r="7" spans="1:4" x14ac:dyDescent="0.25">
      <c r="A7" s="22" t="s">
        <v>712</v>
      </c>
      <c r="B7" s="6">
        <v>2</v>
      </c>
      <c r="C7" s="6">
        <v>8</v>
      </c>
      <c r="D7" s="11">
        <f t="shared" si="0"/>
        <v>0.25</v>
      </c>
    </row>
    <row r="8" spans="1:4" x14ac:dyDescent="0.25">
      <c r="A8" s="22" t="s">
        <v>726</v>
      </c>
      <c r="B8" s="6">
        <v>2</v>
      </c>
      <c r="C8" s="6">
        <v>10</v>
      </c>
      <c r="D8" s="11">
        <f t="shared" si="0"/>
        <v>0.2</v>
      </c>
    </row>
    <row r="9" spans="1:4" x14ac:dyDescent="0.25">
      <c r="A9" s="22" t="s">
        <v>718</v>
      </c>
      <c r="B9" s="6">
        <v>1</v>
      </c>
      <c r="C9" s="6">
        <v>5</v>
      </c>
      <c r="D9" s="11">
        <f t="shared" si="0"/>
        <v>0.2</v>
      </c>
    </row>
    <row r="10" spans="1:4" x14ac:dyDescent="0.25">
      <c r="A10" s="22" t="s">
        <v>721</v>
      </c>
      <c r="B10" s="6">
        <v>0</v>
      </c>
      <c r="C10" s="6">
        <v>13</v>
      </c>
      <c r="D10" s="11">
        <f t="shared" si="0"/>
        <v>0</v>
      </c>
    </row>
    <row r="11" spans="1:4" x14ac:dyDescent="0.25">
      <c r="A11" s="22" t="s">
        <v>715</v>
      </c>
      <c r="B11" s="6">
        <v>0</v>
      </c>
      <c r="C11" s="6">
        <v>3</v>
      </c>
      <c r="D11" s="11">
        <f t="shared" si="0"/>
        <v>0</v>
      </c>
    </row>
    <row r="12" spans="1:4" x14ac:dyDescent="0.25">
      <c r="A12" s="22" t="s">
        <v>722</v>
      </c>
      <c r="B12" s="6">
        <v>1</v>
      </c>
      <c r="C12" s="6">
        <v>7</v>
      </c>
      <c r="D12" s="11">
        <f t="shared" si="0"/>
        <v>0.14285714285714285</v>
      </c>
    </row>
    <row r="13" spans="1:4" x14ac:dyDescent="0.25">
      <c r="A13" s="22" t="s">
        <v>714</v>
      </c>
      <c r="B13" s="6">
        <v>2</v>
      </c>
      <c r="C13" s="6">
        <v>8</v>
      </c>
      <c r="D13" s="11">
        <f t="shared" si="0"/>
        <v>0.25</v>
      </c>
    </row>
    <row r="14" spans="1:4" x14ac:dyDescent="0.25">
      <c r="A14" s="22" t="s">
        <v>713</v>
      </c>
      <c r="B14" s="6">
        <v>3</v>
      </c>
      <c r="C14" s="6">
        <v>12</v>
      </c>
      <c r="D14" s="11">
        <f t="shared" si="0"/>
        <v>0.25</v>
      </c>
    </row>
    <row r="15" spans="1:4" x14ac:dyDescent="0.25">
      <c r="A15" s="22" t="s">
        <v>723</v>
      </c>
      <c r="B15" s="6">
        <v>0</v>
      </c>
      <c r="C15" s="6">
        <v>14</v>
      </c>
      <c r="D15" s="11">
        <f t="shared" si="0"/>
        <v>0</v>
      </c>
    </row>
    <row r="16" spans="1:4" x14ac:dyDescent="0.25">
      <c r="A16" s="22" t="s">
        <v>716</v>
      </c>
      <c r="B16" s="6">
        <v>2</v>
      </c>
      <c r="C16" s="6">
        <v>10</v>
      </c>
      <c r="D16" s="11">
        <f t="shared" si="0"/>
        <v>0.2</v>
      </c>
    </row>
    <row r="17" spans="1:4" x14ac:dyDescent="0.25">
      <c r="A17" s="22" t="s">
        <v>724</v>
      </c>
      <c r="B17" s="6">
        <v>5</v>
      </c>
      <c r="C17" s="6">
        <v>16</v>
      </c>
      <c r="D17" s="11">
        <f t="shared" si="0"/>
        <v>0.3125</v>
      </c>
    </row>
    <row r="18" spans="1:4" x14ac:dyDescent="0.25">
      <c r="A18" s="22" t="s">
        <v>725</v>
      </c>
      <c r="B18" s="6">
        <v>0</v>
      </c>
      <c r="C18" s="6">
        <v>4</v>
      </c>
      <c r="D18" s="11">
        <f t="shared" si="0"/>
        <v>0</v>
      </c>
    </row>
    <row r="19" spans="1:4" x14ac:dyDescent="0.25">
      <c r="A19" s="22" t="s">
        <v>719</v>
      </c>
      <c r="B19" s="6">
        <v>0</v>
      </c>
      <c r="C19" s="6">
        <v>9</v>
      </c>
      <c r="D19" s="11">
        <f t="shared" si="0"/>
        <v>0</v>
      </c>
    </row>
    <row r="20" spans="1:4" x14ac:dyDescent="0.25">
      <c r="A20" s="22" t="s">
        <v>1422</v>
      </c>
      <c r="B20" s="6">
        <v>1</v>
      </c>
      <c r="C20" s="6">
        <v>2</v>
      </c>
      <c r="D20" s="11">
        <f t="shared" si="0"/>
        <v>0.5</v>
      </c>
    </row>
    <row r="21" spans="1:4" x14ac:dyDescent="0.25">
      <c r="A21" s="19" t="s">
        <v>648</v>
      </c>
      <c r="B21" s="6">
        <v>27</v>
      </c>
      <c r="C21" s="6">
        <v>157</v>
      </c>
    </row>
    <row r="22" spans="1:4" x14ac:dyDescent="0.25">
      <c r="A22" s="22" t="s">
        <v>720</v>
      </c>
      <c r="B22" s="6">
        <v>5</v>
      </c>
      <c r="C22" s="6">
        <v>10</v>
      </c>
      <c r="D22" s="11">
        <f t="shared" si="0"/>
        <v>0.5</v>
      </c>
    </row>
    <row r="23" spans="1:4" x14ac:dyDescent="0.25">
      <c r="A23" s="22" t="s">
        <v>717</v>
      </c>
      <c r="B23" s="6">
        <v>1</v>
      </c>
      <c r="C23" s="6">
        <v>8</v>
      </c>
      <c r="D23" s="11">
        <f t="shared" si="0"/>
        <v>0.125</v>
      </c>
    </row>
    <row r="24" spans="1:4" x14ac:dyDescent="0.25">
      <c r="A24" s="22" t="s">
        <v>712</v>
      </c>
      <c r="B24" s="6">
        <v>2</v>
      </c>
      <c r="C24" s="6">
        <v>14</v>
      </c>
      <c r="D24" s="11">
        <f t="shared" si="0"/>
        <v>0.14285714285714285</v>
      </c>
    </row>
    <row r="25" spans="1:4" x14ac:dyDescent="0.25">
      <c r="A25" s="22" t="s">
        <v>726</v>
      </c>
      <c r="B25" s="6">
        <v>4</v>
      </c>
      <c r="C25" s="6">
        <v>8</v>
      </c>
      <c r="D25" s="11">
        <f t="shared" si="0"/>
        <v>0.5</v>
      </c>
    </row>
    <row r="26" spans="1:4" x14ac:dyDescent="0.25">
      <c r="A26" s="22" t="s">
        <v>718</v>
      </c>
      <c r="B26" s="6">
        <v>0</v>
      </c>
      <c r="C26" s="6">
        <v>5</v>
      </c>
      <c r="D26" s="11">
        <f t="shared" si="0"/>
        <v>0</v>
      </c>
    </row>
    <row r="27" spans="1:4" x14ac:dyDescent="0.25">
      <c r="A27" s="22" t="s">
        <v>721</v>
      </c>
      <c r="B27" s="6">
        <v>1</v>
      </c>
      <c r="C27" s="6">
        <v>15</v>
      </c>
      <c r="D27" s="11">
        <f t="shared" si="0"/>
        <v>6.6666666666666666E-2</v>
      </c>
    </row>
    <row r="28" spans="1:4" x14ac:dyDescent="0.25">
      <c r="A28" s="22" t="s">
        <v>715</v>
      </c>
      <c r="B28" s="6">
        <v>1</v>
      </c>
      <c r="C28" s="6">
        <v>8</v>
      </c>
      <c r="D28" s="11">
        <f t="shared" si="0"/>
        <v>0.125</v>
      </c>
    </row>
    <row r="29" spans="1:4" x14ac:dyDescent="0.25">
      <c r="A29" s="22" t="s">
        <v>722</v>
      </c>
      <c r="B29" s="6">
        <v>0</v>
      </c>
      <c r="C29" s="6">
        <v>9</v>
      </c>
      <c r="D29" s="11">
        <f t="shared" si="0"/>
        <v>0</v>
      </c>
    </row>
    <row r="30" spans="1:4" x14ac:dyDescent="0.25">
      <c r="A30" s="22" t="s">
        <v>714</v>
      </c>
      <c r="B30" s="6">
        <v>5</v>
      </c>
      <c r="C30" s="6">
        <v>14</v>
      </c>
      <c r="D30" s="11">
        <f t="shared" si="0"/>
        <v>0.35714285714285715</v>
      </c>
    </row>
    <row r="31" spans="1:4" x14ac:dyDescent="0.25">
      <c r="A31" s="22" t="s">
        <v>713</v>
      </c>
      <c r="B31" s="6">
        <v>0</v>
      </c>
      <c r="C31" s="6">
        <v>10</v>
      </c>
      <c r="D31" s="11">
        <f t="shared" si="0"/>
        <v>0</v>
      </c>
    </row>
    <row r="32" spans="1:4" x14ac:dyDescent="0.25">
      <c r="A32" s="22" t="s">
        <v>723</v>
      </c>
      <c r="B32" s="6">
        <v>1</v>
      </c>
      <c r="C32" s="6">
        <v>10</v>
      </c>
      <c r="D32" s="11">
        <f t="shared" si="0"/>
        <v>0.1</v>
      </c>
    </row>
    <row r="33" spans="1:4" x14ac:dyDescent="0.25">
      <c r="A33" s="22" t="s">
        <v>716</v>
      </c>
      <c r="B33" s="6">
        <v>3</v>
      </c>
      <c r="C33" s="6">
        <v>12</v>
      </c>
      <c r="D33" s="11">
        <f t="shared" si="0"/>
        <v>0.25</v>
      </c>
    </row>
    <row r="34" spans="1:4" x14ac:dyDescent="0.25">
      <c r="A34" s="22" t="s">
        <v>724</v>
      </c>
      <c r="B34" s="6">
        <v>2</v>
      </c>
      <c r="C34" s="6">
        <v>12</v>
      </c>
      <c r="D34" s="11">
        <f t="shared" si="0"/>
        <v>0.16666666666666666</v>
      </c>
    </row>
    <row r="35" spans="1:4" x14ac:dyDescent="0.25">
      <c r="A35" s="22" t="s">
        <v>725</v>
      </c>
      <c r="B35" s="6">
        <v>1</v>
      </c>
      <c r="C35" s="6">
        <v>7</v>
      </c>
      <c r="D35" s="11">
        <f t="shared" si="0"/>
        <v>0.14285714285714285</v>
      </c>
    </row>
    <row r="36" spans="1:4" x14ac:dyDescent="0.25">
      <c r="A36" s="22" t="s">
        <v>719</v>
      </c>
      <c r="B36" s="6">
        <v>0</v>
      </c>
      <c r="C36" s="6">
        <v>12</v>
      </c>
      <c r="D36" s="11">
        <f t="shared" si="0"/>
        <v>0</v>
      </c>
    </row>
    <row r="37" spans="1:4" x14ac:dyDescent="0.25">
      <c r="A37" s="22" t="s">
        <v>1422</v>
      </c>
      <c r="B37" s="6">
        <v>1</v>
      </c>
      <c r="C37" s="6">
        <v>3</v>
      </c>
      <c r="D37" s="11">
        <f t="shared" si="0"/>
        <v>0.33333333333333331</v>
      </c>
    </row>
    <row r="38" spans="1:4" x14ac:dyDescent="0.25">
      <c r="A38" s="19" t="s">
        <v>647</v>
      </c>
      <c r="B38" s="6">
        <v>24</v>
      </c>
      <c r="C38" s="6">
        <v>171</v>
      </c>
    </row>
    <row r="39" spans="1:4" x14ac:dyDescent="0.25">
      <c r="A39" s="22" t="s">
        <v>720</v>
      </c>
      <c r="B39" s="6">
        <v>0</v>
      </c>
      <c r="C39" s="6">
        <v>10</v>
      </c>
      <c r="D39" s="11">
        <f t="shared" si="0"/>
        <v>0</v>
      </c>
    </row>
    <row r="40" spans="1:4" x14ac:dyDescent="0.25">
      <c r="A40" s="22" t="s">
        <v>717</v>
      </c>
      <c r="B40" s="6">
        <v>2</v>
      </c>
      <c r="C40" s="6">
        <v>17</v>
      </c>
      <c r="D40" s="11">
        <f t="shared" si="0"/>
        <v>0.11764705882352941</v>
      </c>
    </row>
    <row r="41" spans="1:4" x14ac:dyDescent="0.25">
      <c r="A41" s="22" t="s">
        <v>712</v>
      </c>
      <c r="B41" s="6">
        <v>3</v>
      </c>
      <c r="C41" s="6">
        <v>10</v>
      </c>
      <c r="D41" s="11">
        <f t="shared" si="0"/>
        <v>0.3</v>
      </c>
    </row>
    <row r="42" spans="1:4" x14ac:dyDescent="0.25">
      <c r="A42" s="22" t="s">
        <v>726</v>
      </c>
      <c r="B42" s="6">
        <v>1</v>
      </c>
      <c r="C42" s="6">
        <v>9</v>
      </c>
      <c r="D42" s="11">
        <f t="shared" si="0"/>
        <v>0.1111111111111111</v>
      </c>
    </row>
    <row r="43" spans="1:4" x14ac:dyDescent="0.25">
      <c r="A43" s="22" t="s">
        <v>718</v>
      </c>
      <c r="B43" s="6">
        <v>0</v>
      </c>
      <c r="C43" s="6">
        <v>8</v>
      </c>
      <c r="D43" s="11">
        <f t="shared" si="0"/>
        <v>0</v>
      </c>
    </row>
    <row r="44" spans="1:4" x14ac:dyDescent="0.25">
      <c r="A44" s="22" t="s">
        <v>721</v>
      </c>
      <c r="B44" s="6">
        <v>3</v>
      </c>
      <c r="C44" s="6">
        <v>12</v>
      </c>
      <c r="D44" s="11">
        <f t="shared" si="0"/>
        <v>0.25</v>
      </c>
    </row>
    <row r="45" spans="1:4" x14ac:dyDescent="0.25">
      <c r="A45" s="22" t="s">
        <v>715</v>
      </c>
      <c r="B45" s="6">
        <v>1</v>
      </c>
      <c r="C45" s="6">
        <v>11</v>
      </c>
      <c r="D45" s="11">
        <f t="shared" si="0"/>
        <v>9.0909090909090912E-2</v>
      </c>
    </row>
    <row r="46" spans="1:4" x14ac:dyDescent="0.25">
      <c r="A46" s="22" t="s">
        <v>722</v>
      </c>
      <c r="B46" s="6">
        <v>2</v>
      </c>
      <c r="C46" s="6">
        <v>16</v>
      </c>
      <c r="D46" s="11">
        <f t="shared" si="0"/>
        <v>0.125</v>
      </c>
    </row>
    <row r="47" spans="1:4" x14ac:dyDescent="0.25">
      <c r="A47" s="22" t="s">
        <v>714</v>
      </c>
      <c r="B47" s="6">
        <v>1</v>
      </c>
      <c r="C47" s="6">
        <v>8</v>
      </c>
      <c r="D47" s="11">
        <f t="shared" si="0"/>
        <v>0.125</v>
      </c>
    </row>
    <row r="48" spans="1:4" x14ac:dyDescent="0.25">
      <c r="A48" s="22" t="s">
        <v>713</v>
      </c>
      <c r="B48" s="6">
        <v>2</v>
      </c>
      <c r="C48" s="6">
        <v>19</v>
      </c>
      <c r="D48" s="11">
        <f t="shared" si="0"/>
        <v>0.10526315789473684</v>
      </c>
    </row>
    <row r="49" spans="1:4" x14ac:dyDescent="0.25">
      <c r="A49" s="22" t="s">
        <v>723</v>
      </c>
      <c r="B49" s="6">
        <v>1</v>
      </c>
      <c r="C49" s="6">
        <v>7</v>
      </c>
      <c r="D49" s="11">
        <f t="shared" si="0"/>
        <v>0.14285714285714285</v>
      </c>
    </row>
    <row r="50" spans="1:4" x14ac:dyDescent="0.25">
      <c r="A50" s="22" t="s">
        <v>716</v>
      </c>
      <c r="B50" s="6">
        <v>3</v>
      </c>
      <c r="C50" s="6">
        <v>14</v>
      </c>
      <c r="D50" s="11">
        <f t="shared" si="0"/>
        <v>0.21428571428571427</v>
      </c>
    </row>
    <row r="51" spans="1:4" x14ac:dyDescent="0.25">
      <c r="A51" s="22" t="s">
        <v>724</v>
      </c>
      <c r="B51" s="6">
        <v>0</v>
      </c>
      <c r="C51" s="6">
        <v>10</v>
      </c>
      <c r="D51" s="11">
        <f t="shared" si="0"/>
        <v>0</v>
      </c>
    </row>
    <row r="52" spans="1:4" x14ac:dyDescent="0.25">
      <c r="A52" s="22" t="s">
        <v>725</v>
      </c>
      <c r="B52" s="6">
        <v>1</v>
      </c>
      <c r="C52" s="6">
        <v>10</v>
      </c>
      <c r="D52" s="11">
        <f t="shared" si="0"/>
        <v>0.1</v>
      </c>
    </row>
    <row r="53" spans="1:4" x14ac:dyDescent="0.25">
      <c r="A53" s="22" t="s">
        <v>719</v>
      </c>
      <c r="B53" s="6">
        <v>4</v>
      </c>
      <c r="C53" s="6">
        <v>8</v>
      </c>
      <c r="D53" s="11">
        <f t="shared" si="0"/>
        <v>0.5</v>
      </c>
    </row>
    <row r="54" spans="1:4" x14ac:dyDescent="0.25">
      <c r="A54" s="22" t="s">
        <v>1422</v>
      </c>
      <c r="B54" s="6">
        <v>0</v>
      </c>
      <c r="C54" s="6">
        <v>2</v>
      </c>
      <c r="D54" s="11">
        <f t="shared" si="0"/>
        <v>0</v>
      </c>
    </row>
    <row r="55" spans="1:4" x14ac:dyDescent="0.25">
      <c r="A55" s="19" t="s">
        <v>649</v>
      </c>
      <c r="B55" s="6">
        <v>17</v>
      </c>
      <c r="C55" s="6">
        <v>159</v>
      </c>
    </row>
    <row r="56" spans="1:4" x14ac:dyDescent="0.25">
      <c r="A56" s="22" t="s">
        <v>720</v>
      </c>
      <c r="B56" s="6">
        <v>1</v>
      </c>
      <c r="C56" s="6">
        <v>10</v>
      </c>
      <c r="D56" s="11">
        <f t="shared" si="0"/>
        <v>0.1</v>
      </c>
    </row>
    <row r="57" spans="1:4" x14ac:dyDescent="0.25">
      <c r="A57" s="22" t="s">
        <v>717</v>
      </c>
      <c r="B57" s="6">
        <v>2</v>
      </c>
      <c r="C57" s="6">
        <v>15</v>
      </c>
      <c r="D57" s="11">
        <f t="shared" si="0"/>
        <v>0.13333333333333333</v>
      </c>
    </row>
    <row r="58" spans="1:4" x14ac:dyDescent="0.25">
      <c r="A58" s="22" t="s">
        <v>712</v>
      </c>
      <c r="B58" s="6">
        <v>1</v>
      </c>
      <c r="C58" s="6">
        <v>5</v>
      </c>
      <c r="D58" s="11">
        <f t="shared" si="0"/>
        <v>0.2</v>
      </c>
    </row>
    <row r="59" spans="1:4" x14ac:dyDescent="0.25">
      <c r="A59" s="22" t="s">
        <v>726</v>
      </c>
      <c r="B59" s="6">
        <v>1</v>
      </c>
      <c r="C59" s="6">
        <v>11</v>
      </c>
      <c r="D59" s="11">
        <f t="shared" si="0"/>
        <v>9.0909090909090912E-2</v>
      </c>
    </row>
    <row r="60" spans="1:4" x14ac:dyDescent="0.25">
      <c r="A60" s="22" t="s">
        <v>718</v>
      </c>
      <c r="B60" s="6">
        <v>2</v>
      </c>
      <c r="C60" s="6">
        <v>16</v>
      </c>
      <c r="D60" s="11">
        <f t="shared" si="0"/>
        <v>0.125</v>
      </c>
    </row>
    <row r="61" spans="1:4" x14ac:dyDescent="0.25">
      <c r="A61" s="22" t="s">
        <v>721</v>
      </c>
      <c r="B61" s="6">
        <v>0</v>
      </c>
      <c r="C61" s="6">
        <v>11</v>
      </c>
      <c r="D61" s="11">
        <f t="shared" si="0"/>
        <v>0</v>
      </c>
    </row>
    <row r="62" spans="1:4" x14ac:dyDescent="0.25">
      <c r="A62" s="22" t="s">
        <v>715</v>
      </c>
      <c r="B62" s="6">
        <v>1</v>
      </c>
      <c r="C62" s="6">
        <v>8</v>
      </c>
      <c r="D62" s="11">
        <f t="shared" si="0"/>
        <v>0.125</v>
      </c>
    </row>
    <row r="63" spans="1:4" x14ac:dyDescent="0.25">
      <c r="A63" s="22" t="s">
        <v>722</v>
      </c>
      <c r="B63" s="6">
        <v>1</v>
      </c>
      <c r="C63" s="6">
        <v>13</v>
      </c>
      <c r="D63" s="11">
        <f t="shared" si="0"/>
        <v>7.6923076923076927E-2</v>
      </c>
    </row>
    <row r="64" spans="1:4" x14ac:dyDescent="0.25">
      <c r="A64" s="22" t="s">
        <v>714</v>
      </c>
      <c r="B64" s="6">
        <v>1</v>
      </c>
      <c r="C64" s="6">
        <v>8</v>
      </c>
      <c r="D64" s="11">
        <f t="shared" si="0"/>
        <v>0.125</v>
      </c>
    </row>
    <row r="65" spans="1:4" x14ac:dyDescent="0.25">
      <c r="A65" s="22" t="s">
        <v>713</v>
      </c>
      <c r="B65" s="6">
        <v>1</v>
      </c>
      <c r="C65" s="6">
        <v>9</v>
      </c>
      <c r="D65" s="11">
        <f t="shared" si="0"/>
        <v>0.1111111111111111</v>
      </c>
    </row>
    <row r="66" spans="1:4" x14ac:dyDescent="0.25">
      <c r="A66" s="22" t="s">
        <v>723</v>
      </c>
      <c r="B66" s="6">
        <v>2</v>
      </c>
      <c r="C66" s="6">
        <v>13</v>
      </c>
      <c r="D66" s="11">
        <f t="shared" si="0"/>
        <v>0.15384615384615385</v>
      </c>
    </row>
    <row r="67" spans="1:4" x14ac:dyDescent="0.25">
      <c r="A67" s="22" t="s">
        <v>716</v>
      </c>
      <c r="B67" s="6">
        <v>0</v>
      </c>
      <c r="C67" s="6">
        <v>10</v>
      </c>
      <c r="D67" s="11">
        <f t="shared" si="0"/>
        <v>0</v>
      </c>
    </row>
    <row r="68" spans="1:4" x14ac:dyDescent="0.25">
      <c r="A68" s="22" t="s">
        <v>724</v>
      </c>
      <c r="B68" s="6">
        <v>1</v>
      </c>
      <c r="C68" s="6">
        <v>10</v>
      </c>
      <c r="D68" s="11">
        <f t="shared" si="0"/>
        <v>0.1</v>
      </c>
    </row>
    <row r="69" spans="1:4" x14ac:dyDescent="0.25">
      <c r="A69" s="22" t="s">
        <v>725</v>
      </c>
      <c r="B69" s="6">
        <v>3</v>
      </c>
      <c r="C69" s="6">
        <v>11</v>
      </c>
      <c r="D69" s="11">
        <f t="shared" ref="D69:D71" si="1">B69/C69</f>
        <v>0.27272727272727271</v>
      </c>
    </row>
    <row r="70" spans="1:4" x14ac:dyDescent="0.25">
      <c r="A70" s="22" t="s">
        <v>719</v>
      </c>
      <c r="B70" s="6">
        <v>0</v>
      </c>
      <c r="C70" s="6">
        <v>8</v>
      </c>
      <c r="D70" s="11">
        <f t="shared" si="1"/>
        <v>0</v>
      </c>
    </row>
    <row r="71" spans="1:4" x14ac:dyDescent="0.25">
      <c r="A71" s="22" t="s">
        <v>1422</v>
      </c>
      <c r="B71" s="6">
        <v>0</v>
      </c>
      <c r="C71" s="6">
        <v>1</v>
      </c>
      <c r="D71" s="11">
        <f t="shared" si="1"/>
        <v>0</v>
      </c>
    </row>
    <row r="72" spans="1:4" x14ac:dyDescent="0.25">
      <c r="A72" s="19" t="s">
        <v>1432</v>
      </c>
      <c r="B72" s="6">
        <v>90</v>
      </c>
      <c r="C72" s="6">
        <v>632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8"/>
  <sheetViews>
    <sheetView topLeftCell="A3" workbookViewId="0">
      <selection activeCell="L23" sqref="L23"/>
    </sheetView>
  </sheetViews>
  <sheetFormatPr defaultRowHeight="15" x14ac:dyDescent="0.25"/>
  <cols>
    <col min="1" max="1" width="13.140625" bestFit="1" customWidth="1"/>
    <col min="2" max="2" width="20.7109375" bestFit="1" customWidth="1"/>
  </cols>
  <sheetData>
    <row r="3" spans="1:2" x14ac:dyDescent="0.25">
      <c r="A3" s="18" t="s">
        <v>1431</v>
      </c>
      <c r="B3" t="s">
        <v>1434</v>
      </c>
    </row>
    <row r="4" spans="1:2" x14ac:dyDescent="0.25">
      <c r="A4" s="19" t="s">
        <v>1485</v>
      </c>
      <c r="B4" s="6"/>
    </row>
    <row r="5" spans="1:2" x14ac:dyDescent="0.25">
      <c r="A5" s="21" t="s">
        <v>1476</v>
      </c>
      <c r="B5" s="6">
        <v>69113.110860000001</v>
      </c>
    </row>
    <row r="6" spans="1:2" x14ac:dyDescent="0.25">
      <c r="A6" s="21" t="s">
        <v>1477</v>
      </c>
      <c r="B6" s="6">
        <v>43453.410560000004</v>
      </c>
    </row>
    <row r="7" spans="1:2" x14ac:dyDescent="0.25">
      <c r="A7" s="21" t="s">
        <v>1478</v>
      </c>
      <c r="B7" s="6">
        <v>14738.614239999999</v>
      </c>
    </row>
    <row r="8" spans="1:2" x14ac:dyDescent="0.25">
      <c r="A8" s="21" t="s">
        <v>1479</v>
      </c>
      <c r="B8" s="6">
        <v>12462.65055</v>
      </c>
    </row>
    <row r="9" spans="1:2" x14ac:dyDescent="0.25">
      <c r="A9" s="21" t="s">
        <v>1483</v>
      </c>
      <c r="B9" s="6">
        <v>12954.358080000002</v>
      </c>
    </row>
    <row r="10" spans="1:2" x14ac:dyDescent="0.25">
      <c r="A10" s="21" t="s">
        <v>1484</v>
      </c>
      <c r="B10" s="6">
        <v>40476.013200000001</v>
      </c>
    </row>
    <row r="11" spans="1:2" x14ac:dyDescent="0.25">
      <c r="A11" s="19" t="s">
        <v>1486</v>
      </c>
      <c r="B11" s="6"/>
    </row>
    <row r="12" spans="1:2" x14ac:dyDescent="0.25">
      <c r="A12" s="21" t="s">
        <v>1473</v>
      </c>
      <c r="B12" s="6">
        <v>29196.022199999999</v>
      </c>
    </row>
    <row r="13" spans="1:2" x14ac:dyDescent="0.25">
      <c r="A13" s="21" t="s">
        <v>1474</v>
      </c>
      <c r="B13" s="6">
        <v>13450.74</v>
      </c>
    </row>
    <row r="14" spans="1:2" x14ac:dyDescent="0.25">
      <c r="A14" s="21" t="s">
        <v>1475</v>
      </c>
      <c r="B14" s="6">
        <v>33938.142760000002</v>
      </c>
    </row>
    <row r="15" spans="1:2" x14ac:dyDescent="0.25">
      <c r="A15" s="21" t="s">
        <v>1476</v>
      </c>
      <c r="B15" s="6">
        <v>16219.34496</v>
      </c>
    </row>
    <row r="16" spans="1:2" x14ac:dyDescent="0.25">
      <c r="A16" s="21" t="s">
        <v>1477</v>
      </c>
      <c r="B16" s="6">
        <v>30970.913400000005</v>
      </c>
    </row>
    <row r="17" spans="1:2" x14ac:dyDescent="0.25">
      <c r="A17" s="21" t="s">
        <v>1480</v>
      </c>
      <c r="B17" s="6">
        <v>27331.829999999998</v>
      </c>
    </row>
    <row r="18" spans="1:2" x14ac:dyDescent="0.25">
      <c r="A18" s="21" t="s">
        <v>1481</v>
      </c>
      <c r="B18" s="6">
        <v>21664.440000000002</v>
      </c>
    </row>
    <row r="19" spans="1:2" x14ac:dyDescent="0.25">
      <c r="A19" s="21" t="s">
        <v>1482</v>
      </c>
      <c r="B19" s="6">
        <v>44468.934560000009</v>
      </c>
    </row>
    <row r="20" spans="1:2" x14ac:dyDescent="0.25">
      <c r="A20" s="21" t="s">
        <v>1483</v>
      </c>
      <c r="B20" s="6">
        <v>4280.6786400000001</v>
      </c>
    </row>
    <row r="21" spans="1:2" x14ac:dyDescent="0.25">
      <c r="A21" s="21" t="s">
        <v>1484</v>
      </c>
      <c r="B21" s="6">
        <v>2886.4496399999998</v>
      </c>
    </row>
    <row r="22" spans="1:2" x14ac:dyDescent="0.25">
      <c r="A22" s="19" t="s">
        <v>1487</v>
      </c>
      <c r="B22" s="6"/>
    </row>
    <row r="23" spans="1:2" x14ac:dyDescent="0.25">
      <c r="A23" s="21" t="s">
        <v>1473</v>
      </c>
      <c r="B23" s="6">
        <v>4831.9464600000001</v>
      </c>
    </row>
    <row r="24" spans="1:2" x14ac:dyDescent="0.25">
      <c r="A24" s="21" t="s">
        <v>1475</v>
      </c>
      <c r="B24" s="6">
        <v>37836.913499999995</v>
      </c>
    </row>
    <row r="25" spans="1:2" x14ac:dyDescent="0.25">
      <c r="A25" s="21" t="s">
        <v>1476</v>
      </c>
      <c r="B25" s="6">
        <v>20084.133720000002</v>
      </c>
    </row>
    <row r="26" spans="1:2" x14ac:dyDescent="0.25">
      <c r="A26" s="21" t="s">
        <v>1478</v>
      </c>
      <c r="B26" s="6">
        <v>20455.985130000001</v>
      </c>
    </row>
    <row r="27" spans="1:2" x14ac:dyDescent="0.25">
      <c r="A27" s="21" t="s">
        <v>1480</v>
      </c>
      <c r="B27" s="6">
        <v>43031.808069999999</v>
      </c>
    </row>
    <row r="28" spans="1:2" x14ac:dyDescent="0.25">
      <c r="A28" s="19" t="s">
        <v>1432</v>
      </c>
      <c r="B28" s="6">
        <v>543846.44053000014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9"/>
  <sheetViews>
    <sheetView workbookViewId="0">
      <selection activeCell="D13" sqref="D13"/>
    </sheetView>
  </sheetViews>
  <sheetFormatPr defaultRowHeight="15" x14ac:dyDescent="0.25"/>
  <cols>
    <col min="1" max="1" width="17.85546875" customWidth="1"/>
    <col min="2" max="2" width="16.28515625" bestFit="1" customWidth="1"/>
    <col min="3" max="3" width="12" bestFit="1" customWidth="1"/>
    <col min="4" max="4" width="12.140625" bestFit="1" customWidth="1"/>
    <col min="5" max="6" width="12" bestFit="1" customWidth="1"/>
    <col min="7" max="7" width="11" bestFit="1" customWidth="1"/>
    <col min="8" max="8" width="12" bestFit="1" customWidth="1"/>
  </cols>
  <sheetData>
    <row r="3" spans="1:8" x14ac:dyDescent="0.25">
      <c r="A3" s="18" t="s">
        <v>1443</v>
      </c>
      <c r="B3" s="18" t="s">
        <v>1433</v>
      </c>
    </row>
    <row r="4" spans="1:8" x14ac:dyDescent="0.25">
      <c r="A4" s="18" t="s">
        <v>1431</v>
      </c>
      <c r="B4" t="s">
        <v>711</v>
      </c>
      <c r="C4" t="s">
        <v>710</v>
      </c>
      <c r="D4" t="s">
        <v>709</v>
      </c>
      <c r="E4" t="s">
        <v>708</v>
      </c>
      <c r="F4" t="s">
        <v>707</v>
      </c>
      <c r="G4" t="s">
        <v>1447</v>
      </c>
      <c r="H4" t="s">
        <v>1432</v>
      </c>
    </row>
    <row r="5" spans="1:8" x14ac:dyDescent="0.25">
      <c r="A5" s="19" t="s">
        <v>646</v>
      </c>
      <c r="B5" s="6">
        <v>281.97720000000027</v>
      </c>
      <c r="C5" s="6">
        <v>9441.9554400000034</v>
      </c>
      <c r="D5" s="6">
        <v>10358.99308</v>
      </c>
      <c r="E5" s="6"/>
      <c r="F5" s="6">
        <v>14439.149999999998</v>
      </c>
      <c r="G5" s="6"/>
      <c r="H5" s="6">
        <v>34522.075720000001</v>
      </c>
    </row>
    <row r="6" spans="1:8" x14ac:dyDescent="0.25">
      <c r="A6" s="19" t="s">
        <v>648</v>
      </c>
      <c r="B6" s="6">
        <v>2189.7755999999999</v>
      </c>
      <c r="C6" s="6">
        <v>4493.9954400000006</v>
      </c>
      <c r="D6" s="6"/>
      <c r="E6" s="6">
        <v>9942.4500000000007</v>
      </c>
      <c r="F6" s="6">
        <v>4788.7956400000003</v>
      </c>
      <c r="G6" s="6"/>
      <c r="H6" s="6">
        <v>21415.016680000001</v>
      </c>
    </row>
    <row r="7" spans="1:8" x14ac:dyDescent="0.25">
      <c r="A7" s="19" t="s">
        <v>647</v>
      </c>
      <c r="B7" s="6">
        <v>-6806.52</v>
      </c>
      <c r="C7" s="6">
        <v>8213.5441499999979</v>
      </c>
      <c r="D7" s="6">
        <v>9796.2346800000014</v>
      </c>
      <c r="E7" s="6">
        <v>1594.9244000000008</v>
      </c>
      <c r="F7" s="6">
        <v>1230.2980000000002</v>
      </c>
      <c r="G7" s="6"/>
      <c r="H7" s="6">
        <v>14028.481229999999</v>
      </c>
    </row>
    <row r="8" spans="1:8" x14ac:dyDescent="0.25">
      <c r="A8" s="19" t="s">
        <v>649</v>
      </c>
      <c r="B8" s="6">
        <v>14906.223929999998</v>
      </c>
      <c r="C8" s="6">
        <v>36523.124930000005</v>
      </c>
      <c r="D8" s="6"/>
      <c r="E8" s="6">
        <v>70828.299220000001</v>
      </c>
      <c r="F8" s="6">
        <v>11494.612360000003</v>
      </c>
      <c r="G8" s="6">
        <v>1263.5064600000001</v>
      </c>
      <c r="H8" s="6">
        <v>135015.76690000002</v>
      </c>
    </row>
    <row r="9" spans="1:8" x14ac:dyDescent="0.25">
      <c r="A9" s="19" t="s">
        <v>1432</v>
      </c>
      <c r="B9" s="6">
        <v>10571.456729999998</v>
      </c>
      <c r="C9" s="6">
        <v>58672.619960000011</v>
      </c>
      <c r="D9" s="6">
        <v>20155.227760000002</v>
      </c>
      <c r="E9" s="6">
        <v>82365.673620000001</v>
      </c>
      <c r="F9" s="6">
        <v>31952.856</v>
      </c>
      <c r="G9" s="6">
        <v>1263.5064600000001</v>
      </c>
      <c r="H9" s="6">
        <v>204981.34053000002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4" sqref="B4"/>
    </sheetView>
  </sheetViews>
  <sheetFormatPr defaultRowHeight="15" x14ac:dyDescent="0.25"/>
  <cols>
    <col min="1" max="1" width="13.140625" bestFit="1" customWidth="1"/>
    <col min="2" max="2" width="20.7109375" bestFit="1" customWidth="1"/>
  </cols>
  <sheetData>
    <row r="3" spans="1:2" x14ac:dyDescent="0.25">
      <c r="A3" s="18" t="s">
        <v>1431</v>
      </c>
      <c r="B3" t="s">
        <v>1434</v>
      </c>
    </row>
    <row r="4" spans="1:2" x14ac:dyDescent="0.25">
      <c r="A4" s="19" t="s">
        <v>768</v>
      </c>
      <c r="B4" s="6">
        <v>27331.829999999998</v>
      </c>
    </row>
    <row r="5" spans="1:2" x14ac:dyDescent="0.25">
      <c r="A5" s="19" t="s">
        <v>1361</v>
      </c>
      <c r="B5" s="6">
        <v>40476.013200000001</v>
      </c>
    </row>
    <row r="6" spans="1:2" x14ac:dyDescent="0.25">
      <c r="A6" s="19" t="s">
        <v>994</v>
      </c>
      <c r="B6" s="6">
        <v>22882.675440000003</v>
      </c>
    </row>
    <row r="7" spans="1:2" x14ac:dyDescent="0.25">
      <c r="A7" s="19" t="s">
        <v>1159</v>
      </c>
      <c r="B7" s="6">
        <v>30435.614999999998</v>
      </c>
    </row>
    <row r="8" spans="1:2" x14ac:dyDescent="0.25">
      <c r="A8" s="19" t="s">
        <v>1332</v>
      </c>
      <c r="B8" s="6">
        <v>33938.142760000002</v>
      </c>
    </row>
    <row r="9" spans="1:2" x14ac:dyDescent="0.25">
      <c r="A9" s="19" t="s">
        <v>939</v>
      </c>
      <c r="B9" s="6">
        <v>26131.70736</v>
      </c>
    </row>
    <row r="10" spans="1:2" x14ac:dyDescent="0.25">
      <c r="A10" s="19" t="s">
        <v>869</v>
      </c>
      <c r="B10" s="6">
        <v>27370.540859999997</v>
      </c>
    </row>
    <row r="11" spans="1:2" x14ac:dyDescent="0.25">
      <c r="A11" s="19" t="s">
        <v>1000</v>
      </c>
      <c r="B11" s="6">
        <v>38818.760160000005</v>
      </c>
    </row>
    <row r="12" spans="1:2" x14ac:dyDescent="0.25">
      <c r="A12" s="19" t="s">
        <v>1054</v>
      </c>
      <c r="B12" s="6">
        <v>22380.204000000002</v>
      </c>
    </row>
    <row r="13" spans="1:2" x14ac:dyDescent="0.25">
      <c r="A13" s="19" t="s">
        <v>1177</v>
      </c>
      <c r="B13" s="6">
        <v>21664.440000000002</v>
      </c>
    </row>
    <row r="14" spans="1:2" x14ac:dyDescent="0.25">
      <c r="A14" s="19" t="s">
        <v>1432</v>
      </c>
      <c r="B14" s="6">
        <v>291429.92878000007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8"/>
  <sheetViews>
    <sheetView workbookViewId="0">
      <selection activeCell="N3" sqref="N3"/>
    </sheetView>
  </sheetViews>
  <sheetFormatPr defaultRowHeight="15" x14ac:dyDescent="0.25"/>
  <cols>
    <col min="1" max="1" width="16.42578125" bestFit="1" customWidth="1"/>
    <col min="2" max="2" width="18.28515625" bestFit="1" customWidth="1"/>
  </cols>
  <sheetData>
    <row r="3" spans="1:2" x14ac:dyDescent="0.25">
      <c r="A3" s="18" t="s">
        <v>1431</v>
      </c>
      <c r="B3" t="s">
        <v>1488</v>
      </c>
    </row>
    <row r="4" spans="1:2" x14ac:dyDescent="0.25">
      <c r="A4" s="19" t="s">
        <v>464</v>
      </c>
      <c r="B4" s="6">
        <v>0.16500000000000001</v>
      </c>
    </row>
    <row r="5" spans="1:2" x14ac:dyDescent="0.25">
      <c r="A5" s="19" t="s">
        <v>577</v>
      </c>
      <c r="B5" s="6">
        <v>0.13700000000000001</v>
      </c>
    </row>
    <row r="6" spans="1:2" x14ac:dyDescent="0.25">
      <c r="A6" s="19" t="s">
        <v>107</v>
      </c>
      <c r="B6" s="6">
        <v>9.6000000000000002E-2</v>
      </c>
    </row>
    <row r="7" spans="1:2" x14ac:dyDescent="0.25">
      <c r="A7" s="19" t="s">
        <v>219</v>
      </c>
      <c r="B7" s="6">
        <v>2.9000000000000001E-2</v>
      </c>
    </row>
    <row r="8" spans="1:2" x14ac:dyDescent="0.25">
      <c r="A8" s="19" t="s">
        <v>244</v>
      </c>
      <c r="B8" s="6">
        <v>0.14799999999999999</v>
      </c>
    </row>
    <row r="9" spans="1:2" x14ac:dyDescent="0.25">
      <c r="A9" s="19" t="s">
        <v>274</v>
      </c>
      <c r="B9" s="6">
        <v>7.8E-2</v>
      </c>
    </row>
    <row r="10" spans="1:2" x14ac:dyDescent="0.25">
      <c r="A10" s="19" t="s">
        <v>160</v>
      </c>
      <c r="B10" s="6">
        <v>0.107</v>
      </c>
    </row>
    <row r="11" spans="1:2" x14ac:dyDescent="0.25">
      <c r="A11" s="19" t="s">
        <v>150</v>
      </c>
      <c r="B11" s="6">
        <v>9.4E-2</v>
      </c>
    </row>
    <row r="12" spans="1:2" x14ac:dyDescent="0.25">
      <c r="A12" s="19" t="s">
        <v>36</v>
      </c>
      <c r="B12" s="6">
        <v>0.14299999999999999</v>
      </c>
    </row>
    <row r="13" spans="1:2" x14ac:dyDescent="0.25">
      <c r="A13" s="19" t="s">
        <v>585</v>
      </c>
      <c r="B13" s="6">
        <v>8.2000000000000003E-2</v>
      </c>
    </row>
    <row r="14" spans="1:2" x14ac:dyDescent="0.25">
      <c r="A14" s="19" t="s">
        <v>30</v>
      </c>
      <c r="B14" s="6">
        <v>7.3999999999999996E-2</v>
      </c>
    </row>
    <row r="15" spans="1:2" x14ac:dyDescent="0.25">
      <c r="A15" s="19" t="s">
        <v>643</v>
      </c>
      <c r="B15" s="6">
        <v>6.2E-2</v>
      </c>
    </row>
    <row r="16" spans="1:2" x14ac:dyDescent="0.25">
      <c r="A16" s="19" t="s">
        <v>49</v>
      </c>
      <c r="B16" s="6">
        <v>0</v>
      </c>
    </row>
    <row r="17" spans="1:2" x14ac:dyDescent="0.25">
      <c r="A17" s="19" t="s">
        <v>538</v>
      </c>
      <c r="B17" s="6">
        <v>0.17</v>
      </c>
    </row>
    <row r="18" spans="1:2" x14ac:dyDescent="0.25">
      <c r="A18" s="19" t="s">
        <v>349</v>
      </c>
      <c r="B18" s="6">
        <v>0.158</v>
      </c>
    </row>
    <row r="19" spans="1:2" x14ac:dyDescent="0.25">
      <c r="A19" s="19" t="s">
        <v>21</v>
      </c>
      <c r="B19" s="6">
        <v>0.14699999999999999</v>
      </c>
    </row>
    <row r="20" spans="1:2" x14ac:dyDescent="0.25">
      <c r="A20" s="19" t="s">
        <v>176</v>
      </c>
      <c r="B20" s="6">
        <v>7.1999999999999995E-2</v>
      </c>
    </row>
    <row r="21" spans="1:2" x14ac:dyDescent="0.25">
      <c r="A21" s="19" t="s">
        <v>593</v>
      </c>
      <c r="B21" s="6">
        <v>6.7000000000000004E-2</v>
      </c>
    </row>
    <row r="22" spans="1:2" x14ac:dyDescent="0.25">
      <c r="A22" s="19" t="s">
        <v>280</v>
      </c>
      <c r="B22" s="6">
        <v>0.184</v>
      </c>
    </row>
    <row r="23" spans="1:2" x14ac:dyDescent="0.25">
      <c r="A23" s="19" t="s">
        <v>203</v>
      </c>
      <c r="B23" s="6">
        <v>1.2E-2</v>
      </c>
    </row>
    <row r="24" spans="1:2" x14ac:dyDescent="0.25">
      <c r="A24" s="19" t="s">
        <v>458</v>
      </c>
      <c r="B24" s="6">
        <v>0</v>
      </c>
    </row>
    <row r="25" spans="1:2" x14ac:dyDescent="0.25">
      <c r="A25" s="19" t="s">
        <v>433</v>
      </c>
      <c r="B25" s="6">
        <v>0.22600000000000001</v>
      </c>
    </row>
    <row r="26" spans="1:2" x14ac:dyDescent="0.25">
      <c r="A26" s="19" t="s">
        <v>442</v>
      </c>
      <c r="B26" s="6">
        <v>0</v>
      </c>
    </row>
    <row r="27" spans="1:2" x14ac:dyDescent="0.25">
      <c r="A27" s="19" t="s">
        <v>334</v>
      </c>
      <c r="B27" s="6">
        <v>7.5999999999999998E-2</v>
      </c>
    </row>
    <row r="28" spans="1:2" x14ac:dyDescent="0.25">
      <c r="A28" s="19" t="s">
        <v>574</v>
      </c>
      <c r="B28" s="6">
        <v>0.12</v>
      </c>
    </row>
    <row r="29" spans="1:2" x14ac:dyDescent="0.25">
      <c r="A29" s="19" t="s">
        <v>614</v>
      </c>
      <c r="B29" s="6">
        <v>8.9999999999999993E-3</v>
      </c>
    </row>
    <row r="30" spans="1:2" x14ac:dyDescent="0.25">
      <c r="A30" s="19" t="s">
        <v>379</v>
      </c>
      <c r="B30" s="6">
        <v>8.9999999999999993E-3</v>
      </c>
    </row>
    <row r="31" spans="1:2" x14ac:dyDescent="0.25">
      <c r="A31" s="19" t="s">
        <v>309</v>
      </c>
      <c r="B31" s="6">
        <v>0.113</v>
      </c>
    </row>
    <row r="32" spans="1:2" x14ac:dyDescent="0.25">
      <c r="A32" s="19" t="s">
        <v>142</v>
      </c>
      <c r="B32" s="6">
        <v>0.17899999999999999</v>
      </c>
    </row>
    <row r="33" spans="1:2" x14ac:dyDescent="0.25">
      <c r="A33" s="19" t="s">
        <v>201</v>
      </c>
      <c r="B33" s="6">
        <v>0.21099999999999999</v>
      </c>
    </row>
    <row r="34" spans="1:2" x14ac:dyDescent="0.25">
      <c r="A34" s="19" t="s">
        <v>44</v>
      </c>
      <c r="B34" s="6">
        <v>0.13900000000000001</v>
      </c>
    </row>
    <row r="35" spans="1:2" x14ac:dyDescent="0.25">
      <c r="A35" s="19" t="s">
        <v>440</v>
      </c>
      <c r="B35" s="6">
        <v>0.25</v>
      </c>
    </row>
    <row r="36" spans="1:2" x14ac:dyDescent="0.25">
      <c r="A36" s="19" t="s">
        <v>483</v>
      </c>
      <c r="B36" s="6">
        <v>4.5999999999999999E-2</v>
      </c>
    </row>
    <row r="37" spans="1:2" x14ac:dyDescent="0.25">
      <c r="A37" s="19" t="s">
        <v>605</v>
      </c>
      <c r="B37" s="6">
        <v>0.17399999999999999</v>
      </c>
    </row>
    <row r="38" spans="1:2" x14ac:dyDescent="0.25">
      <c r="A38" s="19" t="s">
        <v>1432</v>
      </c>
      <c r="B38" s="6">
        <v>3.5769999999999991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634"/>
  <sheetViews>
    <sheetView workbookViewId="0">
      <pane ySplit="1" topLeftCell="A10" activePane="bottomLeft" state="frozen"/>
      <selection pane="bottomLeft" activeCell="AD11" sqref="AD11"/>
    </sheetView>
  </sheetViews>
  <sheetFormatPr defaultRowHeight="15" x14ac:dyDescent="0.25"/>
  <cols>
    <col min="1" max="1" width="16.42578125" bestFit="1" customWidth="1"/>
    <col min="2" max="2" width="14.28515625" style="4" bestFit="1" customWidth="1"/>
    <col min="3" max="3" width="16.85546875" style="4" bestFit="1" customWidth="1"/>
    <col min="4" max="4" width="16.85546875" style="4" customWidth="1"/>
    <col min="5" max="5" width="11" style="6" bestFit="1" customWidth="1"/>
    <col min="6" max="6" width="15.42578125" bestFit="1" customWidth="1"/>
    <col min="7" max="7" width="13.5703125" bestFit="1" customWidth="1"/>
    <col min="8" max="8" width="17.7109375" bestFit="1" customWidth="1"/>
    <col min="9" max="9" width="12" bestFit="1" customWidth="1"/>
    <col min="10" max="10" width="11.7109375" bestFit="1" customWidth="1"/>
    <col min="11" max="11" width="15.85546875" bestFit="1" customWidth="1"/>
    <col min="12" max="12" width="10.28515625" bestFit="1" customWidth="1"/>
    <col min="13" max="13" width="13.28515625" style="8" bestFit="1" customWidth="1"/>
    <col min="14" max="14" width="13.85546875" style="8" bestFit="1" customWidth="1"/>
    <col min="15" max="15" width="21.5703125" style="8" bestFit="1" customWidth="1"/>
    <col min="16" max="16" width="16" style="11" bestFit="1" customWidth="1"/>
    <col min="17" max="17" width="13.28515625" style="13" bestFit="1" customWidth="1"/>
    <col min="18" max="18" width="14" style="8" bestFit="1" customWidth="1"/>
    <col min="19" max="19" width="12.7109375" style="8" bestFit="1" customWidth="1"/>
    <col min="20" max="20" width="11" bestFit="1" customWidth="1"/>
    <col min="21" max="21" width="10.85546875" bestFit="1" customWidth="1"/>
    <col min="22" max="22" width="19.28515625" style="17" bestFit="1" customWidth="1"/>
    <col min="23" max="23" width="14.28515625" style="4" bestFit="1" customWidth="1"/>
    <col min="24" max="24" width="39" bestFit="1" customWidth="1"/>
    <col min="26" max="26" width="17.28515625" style="20" bestFit="1" customWidth="1"/>
    <col min="27" max="27" width="11.140625" style="4" bestFit="1" customWidth="1"/>
    <col min="28" max="28" width="14.28515625" bestFit="1" customWidth="1"/>
    <col min="29" max="29" width="17.28515625" bestFit="1" customWidth="1"/>
    <col min="30" max="30" width="16.42578125" bestFit="1" customWidth="1"/>
    <col min="31" max="31" width="16.42578125" style="8" customWidth="1"/>
    <col min="32" max="32" width="36.85546875" bestFit="1" customWidth="1"/>
    <col min="33" max="33" width="15.28515625" style="11" bestFit="1" customWidth="1"/>
    <col min="34" max="34" width="16.85546875" bestFit="1" customWidth="1"/>
    <col min="35" max="35" width="17.42578125" bestFit="1" customWidth="1"/>
    <col min="36" max="36" width="16.85546875" bestFit="1" customWidth="1"/>
    <col min="37" max="37" width="17" bestFit="1" customWidth="1"/>
    <col min="38" max="38" width="17" customWidth="1"/>
    <col min="39" max="39" width="14.140625" bestFit="1" customWidth="1"/>
  </cols>
  <sheetData>
    <row r="1" spans="1:39" x14ac:dyDescent="0.25">
      <c r="A1" s="1" t="s">
        <v>0</v>
      </c>
      <c r="B1" s="3" t="s">
        <v>1</v>
      </c>
      <c r="C1" s="3" t="s">
        <v>2</v>
      </c>
      <c r="D1" s="3" t="s">
        <v>1420</v>
      </c>
      <c r="E1" s="5" t="s">
        <v>3</v>
      </c>
      <c r="F1" s="1" t="s">
        <v>4</v>
      </c>
      <c r="G1" s="1" t="s">
        <v>5</v>
      </c>
      <c r="H1" s="1" t="s">
        <v>6</v>
      </c>
      <c r="I1" s="1" t="s">
        <v>7</v>
      </c>
      <c r="J1" s="1" t="s">
        <v>8</v>
      </c>
      <c r="K1" s="1" t="s">
        <v>9</v>
      </c>
      <c r="L1" s="1" t="s">
        <v>10</v>
      </c>
      <c r="M1" s="7" t="s">
        <v>11</v>
      </c>
      <c r="N1" s="7" t="s">
        <v>12</v>
      </c>
      <c r="O1" s="7" t="s">
        <v>1419</v>
      </c>
      <c r="P1" s="10" t="s">
        <v>13</v>
      </c>
      <c r="Q1" s="12" t="s">
        <v>14</v>
      </c>
      <c r="R1" s="14" t="s">
        <v>1421</v>
      </c>
      <c r="S1" s="14" t="s">
        <v>1423</v>
      </c>
      <c r="T1" s="14" t="s">
        <v>1424</v>
      </c>
      <c r="U1" s="14" t="s">
        <v>1425</v>
      </c>
      <c r="V1" s="16" t="s">
        <v>1426</v>
      </c>
      <c r="W1" s="3" t="s">
        <v>1427</v>
      </c>
      <c r="X1" s="14" t="s">
        <v>1428</v>
      </c>
      <c r="Y1" t="s">
        <v>1429</v>
      </c>
      <c r="Z1" s="20" t="s">
        <v>1438</v>
      </c>
      <c r="AA1" s="4" t="s">
        <v>1435</v>
      </c>
      <c r="AB1" t="s">
        <v>1436</v>
      </c>
      <c r="AC1" t="s">
        <v>1448</v>
      </c>
      <c r="AD1" t="s">
        <v>1451</v>
      </c>
      <c r="AE1" s="8" t="s">
        <v>1493</v>
      </c>
      <c r="AF1" t="s">
        <v>1455</v>
      </c>
      <c r="AG1" s="11" t="s">
        <v>1472</v>
      </c>
      <c r="AH1" t="s">
        <v>1459</v>
      </c>
      <c r="AI1" t="s">
        <v>1463</v>
      </c>
      <c r="AJ1" t="s">
        <v>1460</v>
      </c>
      <c r="AK1" t="s">
        <v>1461</v>
      </c>
      <c r="AL1" t="s">
        <v>1464</v>
      </c>
      <c r="AM1" t="s">
        <v>1462</v>
      </c>
    </row>
    <row r="2" spans="1:39" x14ac:dyDescent="0.25">
      <c r="A2" t="s">
        <v>596</v>
      </c>
      <c r="B2" s="4">
        <v>44955</v>
      </c>
      <c r="C2" s="4">
        <v>44963</v>
      </c>
      <c r="D2" s="13">
        <f t="shared" ref="D2:D65" si="0">C2-B2</f>
        <v>8</v>
      </c>
      <c r="E2" s="6" t="s">
        <v>648</v>
      </c>
      <c r="F2" t="s">
        <v>655</v>
      </c>
      <c r="G2" t="s">
        <v>672</v>
      </c>
      <c r="H2" t="s">
        <v>701</v>
      </c>
      <c r="I2" t="s">
        <v>709</v>
      </c>
      <c r="J2" t="s">
        <v>726</v>
      </c>
      <c r="K2" t="s">
        <v>732</v>
      </c>
      <c r="L2" t="s">
        <v>1314</v>
      </c>
      <c r="M2" s="8">
        <v>41.84</v>
      </c>
      <c r="N2" s="8">
        <v>86.2</v>
      </c>
      <c r="O2" s="8">
        <f t="shared" ref="O2:O65" si="1">ABS(N:N)</f>
        <v>86.2</v>
      </c>
      <c r="P2" s="11">
        <v>0.22600000000000001</v>
      </c>
      <c r="Q2" s="13">
        <v>27</v>
      </c>
      <c r="R2" s="8">
        <f t="shared" ref="R2:R65" si="2">O2*Q2*(1-P2)</f>
        <v>1801.4076000000002</v>
      </c>
      <c r="S2" s="8">
        <f t="shared" ref="S2:S65" si="3">PRODUCT(M2*Q2)</f>
        <v>1129.68</v>
      </c>
      <c r="T2" s="8">
        <f t="shared" ref="T2:T65" si="4">R2-S2</f>
        <v>671.72760000000017</v>
      </c>
      <c r="U2" s="11">
        <f t="shared" ref="U2:U65" si="5">IF(T2=0, "0", T2/R2)</f>
        <v>0.37289039970742882</v>
      </c>
      <c r="V2" s="17">
        <v>45890</v>
      </c>
      <c r="W2" s="4" t="str">
        <f t="shared" ref="W2:W65" si="6">"Q"&amp;ROUNDUP(MONTH(B2)/3,0)&amp;"-"&amp;YEAR(B2)</f>
        <v>Q1-2023</v>
      </c>
      <c r="X2" t="str">
        <f>E2 &amp; " → " &amp; F2 &amp; " → " &amp; G2</f>
        <v>Americas → Brazil → Brasília</v>
      </c>
      <c r="Y2" t="str">
        <f t="shared" ref="Y2:Y65" si="7">IF(O2&lt;=_xlfn.PERCENTILE.INC($O:$O,0.33),"Low",
IF(O2&lt;=_xlfn.PERCENTILE.INC($O:$O,0.67),"Medium","High"))</f>
        <v>Low</v>
      </c>
      <c r="Z2" s="20">
        <f t="shared" ref="Z2:Z65" si="8">DATE(YEAR(B2),MONTH(B2),1)</f>
        <v>44927</v>
      </c>
      <c r="AA2" s="4">
        <f t="array" ref="AA2">MIN(IF($F$2:$F$633=F2,$Z$2:$Z$633))</f>
        <v>44927</v>
      </c>
      <c r="AB2">
        <f>DATEDIF(AA2,Z2,"m")</f>
        <v>0</v>
      </c>
      <c r="AC2">
        <f>IF(D2&lt;=7,1,0)</f>
        <v>0</v>
      </c>
      <c r="AD2">
        <f>IF(P2&gt;20%,1,0)</f>
        <v>1</v>
      </c>
      <c r="AE2" s="13">
        <f>IF(D2&lt;=7, 1,0)</f>
        <v>0</v>
      </c>
      <c r="AH2">
        <f xml:space="preserve"> Q2 * (1 + $AG$5)</f>
        <v>32.4</v>
      </c>
      <c r="AI2">
        <f>M2*(1+$AG$4)</f>
        <v>48.116</v>
      </c>
      <c r="AJ2" s="11">
        <f xml:space="preserve"> MIN(P2, $AG$3)</f>
        <v>0.22600000000000001</v>
      </c>
      <c r="AK2">
        <f>AH2 * O2 * (1-AJ2)</f>
        <v>2161.68912</v>
      </c>
      <c r="AL2">
        <f>AH2 * AI2</f>
        <v>1558.9584</v>
      </c>
      <c r="AM2">
        <f xml:space="preserve"> AK2 - AL2</f>
        <v>602.73072000000002</v>
      </c>
    </row>
    <row r="3" spans="1:39" x14ac:dyDescent="0.25">
      <c r="A3" t="s">
        <v>39</v>
      </c>
      <c r="B3" s="4">
        <v>44964</v>
      </c>
      <c r="C3" s="4">
        <v>44969</v>
      </c>
      <c r="D3" s="13">
        <f t="shared" si="0"/>
        <v>5</v>
      </c>
      <c r="E3" s="6" t="s">
        <v>648</v>
      </c>
      <c r="F3" t="s">
        <v>655</v>
      </c>
      <c r="G3" t="s">
        <v>670</v>
      </c>
      <c r="H3" t="s">
        <v>702</v>
      </c>
      <c r="I3" t="s">
        <v>708</v>
      </c>
      <c r="J3" t="s">
        <v>725</v>
      </c>
      <c r="K3" t="s">
        <v>727</v>
      </c>
      <c r="L3" t="s">
        <v>758</v>
      </c>
      <c r="M3" s="8">
        <v>948.55</v>
      </c>
      <c r="N3" s="8">
        <v>2089.16</v>
      </c>
      <c r="O3" s="8">
        <f t="shared" si="1"/>
        <v>2089.16</v>
      </c>
      <c r="P3" s="11">
        <v>7.0000000000000001E-3</v>
      </c>
      <c r="Q3" s="13">
        <v>12</v>
      </c>
      <c r="R3" s="8">
        <f t="shared" si="2"/>
        <v>24894.430559999997</v>
      </c>
      <c r="S3" s="8">
        <f t="shared" si="3"/>
        <v>11382.599999999999</v>
      </c>
      <c r="T3" s="8">
        <f t="shared" si="4"/>
        <v>13511.830559999999</v>
      </c>
      <c r="U3" s="11">
        <f t="shared" si="5"/>
        <v>0.54276519912492427</v>
      </c>
      <c r="V3" s="17">
        <v>45883</v>
      </c>
      <c r="W3" s="4" t="str">
        <f t="shared" si="6"/>
        <v>Q1-2023</v>
      </c>
      <c r="X3" t="str">
        <f t="shared" ref="X3:X65" si="9">E3 &amp; " → " &amp; F3 &amp; " → " &amp; G3</f>
        <v>Americas → Brazil → São Paulo</v>
      </c>
      <c r="Y3" t="str">
        <f t="shared" si="7"/>
        <v>High</v>
      </c>
      <c r="Z3" s="20">
        <f t="shared" si="8"/>
        <v>44958</v>
      </c>
      <c r="AA3" s="4">
        <f t="array" ref="AA3">MIN(IF($F$2:$F$633=F3,$Z$2:$Z$633))</f>
        <v>44927</v>
      </c>
      <c r="AB3">
        <f t="shared" ref="AB3:AB66" si="10">DATEDIF(AA3,Z3,"m")</f>
        <v>1</v>
      </c>
      <c r="AC3">
        <f t="shared" ref="AC3:AC66" si="11">IF(D3&lt;=7,1,0)</f>
        <v>1</v>
      </c>
      <c r="AD3">
        <f t="shared" ref="AD3:AD66" si="12">IF(P3&gt;20%,1,0)</f>
        <v>0</v>
      </c>
      <c r="AE3" s="13">
        <f t="shared" ref="AE3:AE66" si="13">IF(D3&lt;=7, 1,0)</f>
        <v>1</v>
      </c>
      <c r="AF3" t="s">
        <v>1458</v>
      </c>
      <c r="AG3" s="11">
        <v>0.25</v>
      </c>
      <c r="AH3">
        <f t="shared" ref="AH3:AH66" si="14" xml:space="preserve"> Q3 * (1 + $AG$5)</f>
        <v>14.399999999999999</v>
      </c>
      <c r="AI3">
        <f t="shared" ref="AI3:AI66" si="15">M3*(1+$AG$4)</f>
        <v>1090.8324999999998</v>
      </c>
      <c r="AJ3" s="11">
        <f t="shared" ref="AJ3:AJ66" si="16" xml:space="preserve"> MIN(P3, $AG$3)</f>
        <v>7.0000000000000001E-3</v>
      </c>
      <c r="AK3">
        <f t="shared" ref="AK3:AK66" si="17">AH3 * O3 * (1-AJ3)</f>
        <v>29873.316671999994</v>
      </c>
      <c r="AL3">
        <f t="shared" ref="AL3:AL66" si="18">AH3 * AI3</f>
        <v>15707.987999999996</v>
      </c>
      <c r="AM3">
        <f t="shared" ref="AM3:AM66" si="19" xml:space="preserve"> AK3 - AL3</f>
        <v>14165.328671999998</v>
      </c>
    </row>
    <row r="4" spans="1:39" x14ac:dyDescent="0.25">
      <c r="A4" t="s">
        <v>130</v>
      </c>
      <c r="B4" s="4">
        <v>44987</v>
      </c>
      <c r="C4" s="4">
        <v>44990</v>
      </c>
      <c r="D4" s="13">
        <f t="shared" si="0"/>
        <v>3</v>
      </c>
      <c r="E4" s="6" t="s">
        <v>648</v>
      </c>
      <c r="F4" t="s">
        <v>655</v>
      </c>
      <c r="G4" t="s">
        <v>672</v>
      </c>
      <c r="H4" t="s">
        <v>706</v>
      </c>
      <c r="I4" t="s">
        <v>711</v>
      </c>
      <c r="J4" t="s">
        <v>715</v>
      </c>
      <c r="K4" t="s">
        <v>732</v>
      </c>
      <c r="L4" t="s">
        <v>849</v>
      </c>
      <c r="M4" s="8">
        <v>1473.58</v>
      </c>
      <c r="N4" s="8">
        <v>3436.52</v>
      </c>
      <c r="O4" s="8">
        <f t="shared" si="1"/>
        <v>3436.52</v>
      </c>
      <c r="P4" s="11">
        <v>0.108</v>
      </c>
      <c r="Q4" s="13">
        <v>8</v>
      </c>
      <c r="R4" s="8">
        <f>O4*Q4*(1-P4)</f>
        <v>24523.006720000001</v>
      </c>
      <c r="S4" s="8">
        <f t="shared" si="3"/>
        <v>11788.64</v>
      </c>
      <c r="T4" s="8">
        <f t="shared" si="4"/>
        <v>12734.366720000002</v>
      </c>
      <c r="U4" s="11">
        <f t="shared" si="5"/>
        <v>0.51928243813652564</v>
      </c>
      <c r="V4" s="17">
        <v>45872</v>
      </c>
      <c r="W4" s="4" t="str">
        <f t="shared" si="6"/>
        <v>Q1-2023</v>
      </c>
      <c r="X4" t="str">
        <f t="shared" si="9"/>
        <v>Americas → Brazil → Brasília</v>
      </c>
      <c r="Y4" t="str">
        <f t="shared" si="7"/>
        <v>High</v>
      </c>
      <c r="Z4" s="20">
        <f t="shared" si="8"/>
        <v>44986</v>
      </c>
      <c r="AA4" s="4">
        <f t="array" ref="AA4">MIN(IF($F$2:$F$633=F4,$Z$2:$Z$633))</f>
        <v>44927</v>
      </c>
      <c r="AB4">
        <f t="shared" si="10"/>
        <v>2</v>
      </c>
      <c r="AC4">
        <f t="shared" si="11"/>
        <v>1</v>
      </c>
      <c r="AD4">
        <f t="shared" si="12"/>
        <v>0</v>
      </c>
      <c r="AE4" s="13">
        <f t="shared" si="13"/>
        <v>1</v>
      </c>
      <c r="AF4" t="s">
        <v>1457</v>
      </c>
      <c r="AG4" s="11">
        <v>0.15</v>
      </c>
      <c r="AH4">
        <f t="shared" si="14"/>
        <v>9.6</v>
      </c>
      <c r="AI4">
        <f t="shared" si="15"/>
        <v>1694.6169999999997</v>
      </c>
      <c r="AJ4" s="11">
        <f t="shared" si="16"/>
        <v>0.108</v>
      </c>
      <c r="AK4">
        <f t="shared" si="17"/>
        <v>29427.608063999996</v>
      </c>
      <c r="AL4">
        <f t="shared" si="18"/>
        <v>16268.323199999997</v>
      </c>
      <c r="AM4">
        <f t="shared" si="19"/>
        <v>13159.284863999999</v>
      </c>
    </row>
    <row r="5" spans="1:39" x14ac:dyDescent="0.25">
      <c r="A5" t="s">
        <v>258</v>
      </c>
      <c r="B5" s="4">
        <v>45035</v>
      </c>
      <c r="C5" s="4">
        <v>45044</v>
      </c>
      <c r="D5" s="13">
        <f t="shared" si="0"/>
        <v>9</v>
      </c>
      <c r="E5" s="6" t="s">
        <v>648</v>
      </c>
      <c r="F5" t="s">
        <v>655</v>
      </c>
      <c r="G5" t="s">
        <v>692</v>
      </c>
      <c r="H5" t="s">
        <v>701</v>
      </c>
      <c r="I5" t="s">
        <v>710</v>
      </c>
      <c r="J5" t="s">
        <v>724</v>
      </c>
      <c r="K5" t="s">
        <v>730</v>
      </c>
      <c r="L5" t="s">
        <v>978</v>
      </c>
      <c r="M5" s="8">
        <v>1013.54</v>
      </c>
      <c r="N5" s="8">
        <v>927.93</v>
      </c>
      <c r="O5" s="8">
        <f t="shared" si="1"/>
        <v>927.93</v>
      </c>
      <c r="P5" s="11">
        <v>0.17499999999999999</v>
      </c>
      <c r="Q5" s="13">
        <v>16</v>
      </c>
      <c r="R5" s="8">
        <f t="shared" si="2"/>
        <v>12248.675999999999</v>
      </c>
      <c r="S5" s="8">
        <f t="shared" si="3"/>
        <v>16216.64</v>
      </c>
      <c r="T5" s="8">
        <f t="shared" si="4"/>
        <v>-3967.9639999999999</v>
      </c>
      <c r="U5" s="11">
        <f t="shared" si="5"/>
        <v>-0.32395044166406234</v>
      </c>
      <c r="V5" s="17">
        <v>45823</v>
      </c>
      <c r="W5" s="4" t="str">
        <f t="shared" si="6"/>
        <v>Q2-2023</v>
      </c>
      <c r="X5" t="str">
        <f t="shared" si="9"/>
        <v>Americas → Brazil → Rio de Janeiro</v>
      </c>
      <c r="Y5" t="str">
        <f t="shared" si="7"/>
        <v>Medium</v>
      </c>
      <c r="Z5" s="20">
        <f t="shared" si="8"/>
        <v>45017</v>
      </c>
      <c r="AA5" s="4">
        <f t="array" ref="AA5">MIN(IF($F$2:$F$633=F5,$Z$2:$Z$633))</f>
        <v>44927</v>
      </c>
      <c r="AB5">
        <f t="shared" si="10"/>
        <v>3</v>
      </c>
      <c r="AC5">
        <f t="shared" si="11"/>
        <v>0</v>
      </c>
      <c r="AD5">
        <f t="shared" si="12"/>
        <v>0</v>
      </c>
      <c r="AE5" s="13">
        <f t="shared" si="13"/>
        <v>0</v>
      </c>
      <c r="AF5" t="s">
        <v>1456</v>
      </c>
      <c r="AG5" s="11">
        <v>0.2</v>
      </c>
      <c r="AH5">
        <f t="shared" si="14"/>
        <v>19.2</v>
      </c>
      <c r="AI5">
        <f t="shared" si="15"/>
        <v>1165.5709999999999</v>
      </c>
      <c r="AJ5" s="11">
        <f t="shared" si="16"/>
        <v>0.17499999999999999</v>
      </c>
      <c r="AK5">
        <f t="shared" si="17"/>
        <v>14698.411199999997</v>
      </c>
      <c r="AL5">
        <f t="shared" si="18"/>
        <v>22378.963199999998</v>
      </c>
      <c r="AM5">
        <f t="shared" si="19"/>
        <v>-7680.5520000000015</v>
      </c>
    </row>
    <row r="6" spans="1:39" x14ac:dyDescent="0.25">
      <c r="A6" t="s">
        <v>489</v>
      </c>
      <c r="B6" s="4">
        <v>45069</v>
      </c>
      <c r="C6" s="4">
        <v>45071</v>
      </c>
      <c r="D6" s="13">
        <f t="shared" si="0"/>
        <v>2</v>
      </c>
      <c r="E6" s="6" t="s">
        <v>648</v>
      </c>
      <c r="F6" t="s">
        <v>655</v>
      </c>
      <c r="G6" t="s">
        <v>692</v>
      </c>
      <c r="H6" t="s">
        <v>706</v>
      </c>
      <c r="I6" t="s">
        <v>707</v>
      </c>
      <c r="J6" t="s">
        <v>724</v>
      </c>
      <c r="K6" t="s">
        <v>728</v>
      </c>
      <c r="L6" t="s">
        <v>1208</v>
      </c>
      <c r="M6" s="8">
        <v>690.49</v>
      </c>
      <c r="N6" s="8">
        <v>1290.29</v>
      </c>
      <c r="O6" s="8">
        <f t="shared" si="1"/>
        <v>1290.29</v>
      </c>
      <c r="P6" s="11">
        <v>4.2000000000000003E-2</v>
      </c>
      <c r="Q6" s="13">
        <v>22</v>
      </c>
      <c r="R6" s="8">
        <f t="shared" si="2"/>
        <v>27194.152039999997</v>
      </c>
      <c r="S6" s="8">
        <f t="shared" si="3"/>
        <v>15190.78</v>
      </c>
      <c r="T6" s="8">
        <f t="shared" si="4"/>
        <v>12003.372039999997</v>
      </c>
      <c r="U6" s="11">
        <f t="shared" si="5"/>
        <v>0.44139534199647718</v>
      </c>
      <c r="V6" s="17">
        <v>45763</v>
      </c>
      <c r="W6" s="4" t="str">
        <f t="shared" si="6"/>
        <v>Q2-2023</v>
      </c>
      <c r="X6" t="str">
        <f t="shared" si="9"/>
        <v>Americas → Brazil → Rio de Janeiro</v>
      </c>
      <c r="Y6" t="str">
        <f t="shared" si="7"/>
        <v>Medium</v>
      </c>
      <c r="Z6" s="20">
        <f t="shared" si="8"/>
        <v>45047</v>
      </c>
      <c r="AA6" s="4">
        <f t="array" ref="AA6">MIN(IF($F$2:$F$633=F6,$Z$2:$Z$633))</f>
        <v>44927</v>
      </c>
      <c r="AB6">
        <f t="shared" si="10"/>
        <v>4</v>
      </c>
      <c r="AC6">
        <f t="shared" si="11"/>
        <v>1</v>
      </c>
      <c r="AD6">
        <f t="shared" si="12"/>
        <v>0</v>
      </c>
      <c r="AE6" s="13">
        <f t="shared" si="13"/>
        <v>1</v>
      </c>
      <c r="AH6">
        <f t="shared" si="14"/>
        <v>26.4</v>
      </c>
      <c r="AI6">
        <f t="shared" si="15"/>
        <v>794.06349999999998</v>
      </c>
      <c r="AJ6" s="11">
        <f t="shared" si="16"/>
        <v>4.2000000000000003E-2</v>
      </c>
      <c r="AK6">
        <f t="shared" si="17"/>
        <v>32632.982447999995</v>
      </c>
      <c r="AL6">
        <f t="shared" si="18"/>
        <v>20963.276399999999</v>
      </c>
      <c r="AM6">
        <f t="shared" si="19"/>
        <v>11669.706047999996</v>
      </c>
    </row>
    <row r="7" spans="1:39" x14ac:dyDescent="0.25">
      <c r="A7" t="s">
        <v>595</v>
      </c>
      <c r="B7" s="4">
        <v>45080</v>
      </c>
      <c r="C7" s="4">
        <v>45108</v>
      </c>
      <c r="D7" s="13">
        <f t="shared" si="0"/>
        <v>28</v>
      </c>
      <c r="E7" s="6" t="s">
        <v>648</v>
      </c>
      <c r="F7" t="s">
        <v>655</v>
      </c>
      <c r="G7" t="s">
        <v>672</v>
      </c>
      <c r="H7" t="s">
        <v>705</v>
      </c>
      <c r="I7" t="s">
        <v>709</v>
      </c>
      <c r="J7" t="s">
        <v>720</v>
      </c>
      <c r="K7" t="s">
        <v>727</v>
      </c>
      <c r="L7" t="s">
        <v>1313</v>
      </c>
      <c r="M7" s="8">
        <v>860.4</v>
      </c>
      <c r="N7" s="8">
        <v>2066.6</v>
      </c>
      <c r="O7" s="8">
        <f t="shared" si="1"/>
        <v>2066.6</v>
      </c>
      <c r="P7" s="11">
        <v>0.01</v>
      </c>
      <c r="Q7" s="13">
        <v>3</v>
      </c>
      <c r="R7" s="8">
        <f t="shared" si="2"/>
        <v>6137.8019999999988</v>
      </c>
      <c r="S7" s="8">
        <f t="shared" si="3"/>
        <v>2581.1999999999998</v>
      </c>
      <c r="T7" s="8">
        <f t="shared" si="4"/>
        <v>3556.601999999999</v>
      </c>
      <c r="U7" s="11">
        <f t="shared" si="5"/>
        <v>0.57945857491004105</v>
      </c>
      <c r="V7" s="17">
        <v>45756</v>
      </c>
      <c r="W7" s="4" t="str">
        <f t="shared" si="6"/>
        <v>Q2-2023</v>
      </c>
      <c r="X7" t="str">
        <f t="shared" si="9"/>
        <v>Americas → Brazil → Brasília</v>
      </c>
      <c r="Y7" t="str">
        <f t="shared" si="7"/>
        <v>High</v>
      </c>
      <c r="Z7" s="20">
        <f t="shared" si="8"/>
        <v>45078</v>
      </c>
      <c r="AA7" s="4">
        <f t="array" ref="AA7">MIN(IF($F$2:$F$633=F7,$Z$2:$Z$633))</f>
        <v>44927</v>
      </c>
      <c r="AB7">
        <f t="shared" si="10"/>
        <v>5</v>
      </c>
      <c r="AC7">
        <f t="shared" si="11"/>
        <v>0</v>
      </c>
      <c r="AD7">
        <f t="shared" si="12"/>
        <v>0</v>
      </c>
      <c r="AE7" s="13">
        <f t="shared" si="13"/>
        <v>0</v>
      </c>
      <c r="AF7" t="s">
        <v>1465</v>
      </c>
      <c r="AG7" s="8">
        <f>SUM(R2:R633)</f>
        <v>10928845.71649999</v>
      </c>
      <c r="AH7">
        <f t="shared" si="14"/>
        <v>3.5999999999999996</v>
      </c>
      <c r="AI7">
        <f t="shared" si="15"/>
        <v>989.45999999999992</v>
      </c>
      <c r="AJ7" s="11">
        <f t="shared" si="16"/>
        <v>0.01</v>
      </c>
      <c r="AK7">
        <f t="shared" si="17"/>
        <v>7365.3623999999991</v>
      </c>
      <c r="AL7">
        <f t="shared" si="18"/>
        <v>3562.0559999999996</v>
      </c>
      <c r="AM7">
        <f t="shared" si="19"/>
        <v>3803.3063999999995</v>
      </c>
    </row>
    <row r="8" spans="1:39" x14ac:dyDescent="0.25">
      <c r="A8" t="s">
        <v>510</v>
      </c>
      <c r="B8" s="4">
        <v>45097</v>
      </c>
      <c r="C8" s="4">
        <v>45111</v>
      </c>
      <c r="D8" s="13">
        <f t="shared" si="0"/>
        <v>14</v>
      </c>
      <c r="E8" s="6" t="s">
        <v>648</v>
      </c>
      <c r="F8" t="s">
        <v>655</v>
      </c>
      <c r="G8" t="s">
        <v>672</v>
      </c>
      <c r="H8" t="s">
        <v>703</v>
      </c>
      <c r="I8" t="s">
        <v>711</v>
      </c>
      <c r="J8" t="s">
        <v>712</v>
      </c>
      <c r="K8" t="s">
        <v>729</v>
      </c>
      <c r="L8" t="s">
        <v>1229</v>
      </c>
      <c r="M8" s="8">
        <v>1292.8599999999999</v>
      </c>
      <c r="N8" s="8">
        <v>2981.01</v>
      </c>
      <c r="O8" s="8">
        <f t="shared" si="1"/>
        <v>2981.01</v>
      </c>
      <c r="P8" s="11">
        <v>0.14199999999999999</v>
      </c>
      <c r="Q8" s="13">
        <v>12</v>
      </c>
      <c r="R8" s="8">
        <f t="shared" si="2"/>
        <v>30692.47896</v>
      </c>
      <c r="S8" s="8">
        <f t="shared" si="3"/>
        <v>15514.32</v>
      </c>
      <c r="T8" s="8">
        <f t="shared" si="4"/>
        <v>15178.158960000001</v>
      </c>
      <c r="U8" s="11">
        <f t="shared" si="5"/>
        <v>0.49452372288927687</v>
      </c>
      <c r="V8" s="17">
        <v>45763</v>
      </c>
      <c r="W8" s="4" t="str">
        <f t="shared" si="6"/>
        <v>Q2-2023</v>
      </c>
      <c r="X8" t="str">
        <f t="shared" si="9"/>
        <v>Americas → Brazil → Brasília</v>
      </c>
      <c r="Y8" t="str">
        <f t="shared" si="7"/>
        <v>High</v>
      </c>
      <c r="Z8" s="20">
        <f t="shared" si="8"/>
        <v>45078</v>
      </c>
      <c r="AA8" s="4">
        <f t="array" ref="AA8">MIN(IF($F$2:$F$633=F8,$Z$2:$Z$633))</f>
        <v>44927</v>
      </c>
      <c r="AB8">
        <f t="shared" si="10"/>
        <v>5</v>
      </c>
      <c r="AC8">
        <f t="shared" si="11"/>
        <v>0</v>
      </c>
      <c r="AD8">
        <f t="shared" si="12"/>
        <v>0</v>
      </c>
      <c r="AE8" s="13">
        <f t="shared" si="13"/>
        <v>0</v>
      </c>
      <c r="AF8" t="s">
        <v>1466</v>
      </c>
      <c r="AG8" s="8">
        <f>SUM(T2:T633)</f>
        <v>3401098.0064999964</v>
      </c>
      <c r="AH8">
        <f t="shared" si="14"/>
        <v>14.399999999999999</v>
      </c>
      <c r="AI8">
        <f t="shared" si="15"/>
        <v>1486.7889999999998</v>
      </c>
      <c r="AJ8" s="11">
        <f t="shared" si="16"/>
        <v>0.14199999999999999</v>
      </c>
      <c r="AK8">
        <f t="shared" si="17"/>
        <v>36830.974752000002</v>
      </c>
      <c r="AL8">
        <f t="shared" si="18"/>
        <v>21409.761599999994</v>
      </c>
      <c r="AM8">
        <f t="shared" si="19"/>
        <v>15421.213152000008</v>
      </c>
    </row>
    <row r="9" spans="1:39" x14ac:dyDescent="0.25">
      <c r="A9" t="s">
        <v>107</v>
      </c>
      <c r="B9" s="4">
        <v>45100</v>
      </c>
      <c r="C9" s="4">
        <v>45101</v>
      </c>
      <c r="D9" s="13">
        <f t="shared" si="0"/>
        <v>1</v>
      </c>
      <c r="E9" s="6" t="s">
        <v>648</v>
      </c>
      <c r="F9" t="s">
        <v>655</v>
      </c>
      <c r="G9" t="s">
        <v>692</v>
      </c>
      <c r="H9" t="s">
        <v>703</v>
      </c>
      <c r="I9" t="s">
        <v>707</v>
      </c>
      <c r="J9" t="s">
        <v>718</v>
      </c>
      <c r="K9" t="s">
        <v>728</v>
      </c>
      <c r="L9" t="s">
        <v>826</v>
      </c>
      <c r="M9" s="8">
        <v>804.01</v>
      </c>
      <c r="N9" s="8">
        <v>1405.07</v>
      </c>
      <c r="O9" s="8">
        <f t="shared" si="1"/>
        <v>1405.07</v>
      </c>
      <c r="P9" s="11">
        <v>9.6000000000000002E-2</v>
      </c>
      <c r="Q9" s="13">
        <v>8</v>
      </c>
      <c r="R9" s="8">
        <f t="shared" si="2"/>
        <v>10161.46624</v>
      </c>
      <c r="S9" s="8">
        <f t="shared" si="3"/>
        <v>6432.08</v>
      </c>
      <c r="T9" s="8">
        <f t="shared" si="4"/>
        <v>3729.3862399999998</v>
      </c>
      <c r="U9" s="11">
        <f t="shared" si="5"/>
        <v>0.36701260939287439</v>
      </c>
      <c r="V9" s="17">
        <v>45760</v>
      </c>
      <c r="W9" s="4" t="str">
        <f t="shared" si="6"/>
        <v>Q2-2023</v>
      </c>
      <c r="X9" t="str">
        <f t="shared" si="9"/>
        <v>Americas → Brazil → Rio de Janeiro</v>
      </c>
      <c r="Y9" t="str">
        <f t="shared" si="7"/>
        <v>Medium</v>
      </c>
      <c r="Z9" s="20">
        <f t="shared" si="8"/>
        <v>45078</v>
      </c>
      <c r="AA9" s="4">
        <f t="array" ref="AA9">MIN(IF($F$2:$F$633=F9,$Z$2:$Z$633))</f>
        <v>44927</v>
      </c>
      <c r="AB9">
        <f t="shared" si="10"/>
        <v>5</v>
      </c>
      <c r="AC9">
        <f t="shared" si="11"/>
        <v>1</v>
      </c>
      <c r="AD9">
        <f t="shared" si="12"/>
        <v>0</v>
      </c>
      <c r="AE9" s="13">
        <f t="shared" si="13"/>
        <v>1</v>
      </c>
      <c r="AF9" t="s">
        <v>1467</v>
      </c>
      <c r="AG9" s="8">
        <f>SUM(AK2:AK633)</f>
        <v>13158241.71585599</v>
      </c>
      <c r="AH9">
        <f t="shared" si="14"/>
        <v>9.6</v>
      </c>
      <c r="AI9">
        <f t="shared" si="15"/>
        <v>924.61149999999986</v>
      </c>
      <c r="AJ9" s="11">
        <f t="shared" si="16"/>
        <v>9.6000000000000002E-2</v>
      </c>
      <c r="AK9">
        <f t="shared" si="17"/>
        <v>12193.759488</v>
      </c>
      <c r="AL9">
        <f t="shared" si="18"/>
        <v>8876.2703999999976</v>
      </c>
      <c r="AM9">
        <f t="shared" si="19"/>
        <v>3317.4890880000021</v>
      </c>
    </row>
    <row r="10" spans="1:39" x14ac:dyDescent="0.25">
      <c r="A10" t="s">
        <v>159</v>
      </c>
      <c r="B10" s="4">
        <v>45112</v>
      </c>
      <c r="C10" s="4">
        <v>45121</v>
      </c>
      <c r="D10" s="13">
        <f t="shared" si="0"/>
        <v>9</v>
      </c>
      <c r="E10" s="6" t="s">
        <v>648</v>
      </c>
      <c r="F10" t="s">
        <v>655</v>
      </c>
      <c r="G10" t="s">
        <v>672</v>
      </c>
      <c r="H10" t="s">
        <v>706</v>
      </c>
      <c r="I10" t="s">
        <v>711</v>
      </c>
      <c r="J10" t="s">
        <v>717</v>
      </c>
      <c r="K10" t="s">
        <v>729</v>
      </c>
      <c r="L10" t="s">
        <v>878</v>
      </c>
      <c r="M10" s="8">
        <v>578.85</v>
      </c>
      <c r="N10" s="8">
        <v>998.76</v>
      </c>
      <c r="O10" s="8">
        <f t="shared" si="1"/>
        <v>998.76</v>
      </c>
      <c r="P10" s="11">
        <v>8.2000000000000003E-2</v>
      </c>
      <c r="Q10" s="13">
        <v>28</v>
      </c>
      <c r="R10" s="8">
        <f t="shared" si="2"/>
        <v>25672.127039999999</v>
      </c>
      <c r="S10" s="8">
        <f t="shared" si="3"/>
        <v>16207.800000000001</v>
      </c>
      <c r="T10" s="8">
        <f t="shared" si="4"/>
        <v>9464.3270399999983</v>
      </c>
      <c r="U10" s="11">
        <f t="shared" si="5"/>
        <v>0.36866158480960831</v>
      </c>
      <c r="V10" s="17">
        <v>45726</v>
      </c>
      <c r="W10" s="4" t="str">
        <f t="shared" si="6"/>
        <v>Q3-2023</v>
      </c>
      <c r="X10" t="str">
        <f t="shared" si="9"/>
        <v>Americas → Brazil → Brasília</v>
      </c>
      <c r="Y10" t="str">
        <f t="shared" si="7"/>
        <v>Medium</v>
      </c>
      <c r="Z10" s="20">
        <f t="shared" si="8"/>
        <v>45108</v>
      </c>
      <c r="AA10" s="4">
        <f t="array" ref="AA10">MIN(IF($F$2:$F$633=F10,$Z$2:$Z$633))</f>
        <v>44927</v>
      </c>
      <c r="AB10">
        <f t="shared" si="10"/>
        <v>6</v>
      </c>
      <c r="AC10">
        <f t="shared" si="11"/>
        <v>0</v>
      </c>
      <c r="AD10">
        <f t="shared" si="12"/>
        <v>0</v>
      </c>
      <c r="AE10" s="13">
        <f t="shared" si="13"/>
        <v>0</v>
      </c>
      <c r="AF10" t="s">
        <v>1468</v>
      </c>
      <c r="AG10" s="8">
        <f>SUM(AM2:AM633)</f>
        <v>2769949.8760560006</v>
      </c>
      <c r="AH10">
        <f t="shared" si="14"/>
        <v>33.6</v>
      </c>
      <c r="AI10">
        <f t="shared" si="15"/>
        <v>665.67750000000001</v>
      </c>
      <c r="AJ10" s="11">
        <f t="shared" si="16"/>
        <v>8.2000000000000003E-2</v>
      </c>
      <c r="AK10">
        <f t="shared" si="17"/>
        <v>30806.552448000006</v>
      </c>
      <c r="AL10">
        <f t="shared" si="18"/>
        <v>22366.764000000003</v>
      </c>
      <c r="AM10">
        <f t="shared" si="19"/>
        <v>8439.788448000003</v>
      </c>
    </row>
    <row r="11" spans="1:39" x14ac:dyDescent="0.25">
      <c r="A11" t="s">
        <v>316</v>
      </c>
      <c r="B11" s="4">
        <v>45125</v>
      </c>
      <c r="C11" s="4">
        <v>45129</v>
      </c>
      <c r="D11" s="13">
        <f t="shared" si="0"/>
        <v>4</v>
      </c>
      <c r="E11" s="6" t="s">
        <v>648</v>
      </c>
      <c r="F11" t="s">
        <v>655</v>
      </c>
      <c r="G11" t="s">
        <v>670</v>
      </c>
      <c r="H11" t="s">
        <v>704</v>
      </c>
      <c r="I11" t="s">
        <v>711</v>
      </c>
      <c r="J11" t="s">
        <v>721</v>
      </c>
      <c r="K11" t="s">
        <v>729</v>
      </c>
      <c r="L11" t="s">
        <v>1036</v>
      </c>
      <c r="M11" s="8">
        <v>1269.55</v>
      </c>
      <c r="N11" s="8">
        <v>2071.1</v>
      </c>
      <c r="O11" s="8">
        <f t="shared" si="1"/>
        <v>2071.1</v>
      </c>
      <c r="P11" s="11">
        <v>0.129</v>
      </c>
      <c r="Q11" s="13">
        <v>22</v>
      </c>
      <c r="R11" s="8">
        <f t="shared" si="2"/>
        <v>39686.4182</v>
      </c>
      <c r="S11" s="8">
        <f t="shared" si="3"/>
        <v>27930.1</v>
      </c>
      <c r="T11" s="8">
        <f t="shared" si="4"/>
        <v>11756.318200000002</v>
      </c>
      <c r="U11" s="11">
        <f t="shared" si="5"/>
        <v>0.29623026549672354</v>
      </c>
      <c r="V11" s="17">
        <v>45741</v>
      </c>
      <c r="W11" s="4" t="str">
        <f t="shared" si="6"/>
        <v>Q3-2023</v>
      </c>
      <c r="X11" t="str">
        <f t="shared" si="9"/>
        <v>Americas → Brazil → São Paulo</v>
      </c>
      <c r="Y11" t="str">
        <f t="shared" si="7"/>
        <v>High</v>
      </c>
      <c r="Z11" s="20">
        <f t="shared" si="8"/>
        <v>45108</v>
      </c>
      <c r="AA11" s="4">
        <f t="array" ref="AA11">MIN(IF($F$2:$F$633=F11,$Z$2:$Z$633))</f>
        <v>44927</v>
      </c>
      <c r="AB11">
        <f t="shared" si="10"/>
        <v>6</v>
      </c>
      <c r="AC11">
        <f t="shared" si="11"/>
        <v>1</v>
      </c>
      <c r="AD11">
        <f t="shared" si="12"/>
        <v>0</v>
      </c>
      <c r="AE11" s="13">
        <f t="shared" si="13"/>
        <v>1</v>
      </c>
      <c r="AH11">
        <f t="shared" si="14"/>
        <v>26.4</v>
      </c>
      <c r="AI11">
        <f t="shared" si="15"/>
        <v>1459.9824999999998</v>
      </c>
      <c r="AJ11" s="11">
        <f t="shared" si="16"/>
        <v>0.129</v>
      </c>
      <c r="AK11">
        <f t="shared" si="17"/>
        <v>47623.701839999994</v>
      </c>
      <c r="AL11">
        <f t="shared" si="18"/>
        <v>38543.537999999993</v>
      </c>
      <c r="AM11">
        <f t="shared" si="19"/>
        <v>9080.1638400000011</v>
      </c>
    </row>
    <row r="12" spans="1:39" x14ac:dyDescent="0.25">
      <c r="A12" t="s">
        <v>202</v>
      </c>
      <c r="B12" s="4">
        <v>45126</v>
      </c>
      <c r="C12" s="4">
        <v>45138</v>
      </c>
      <c r="D12" s="13">
        <f t="shared" si="0"/>
        <v>12</v>
      </c>
      <c r="E12" s="6" t="s">
        <v>648</v>
      </c>
      <c r="F12" t="s">
        <v>655</v>
      </c>
      <c r="G12" t="s">
        <v>692</v>
      </c>
      <c r="H12" t="s">
        <v>701</v>
      </c>
      <c r="I12" t="s">
        <v>707</v>
      </c>
      <c r="J12" t="s">
        <v>712</v>
      </c>
      <c r="K12" t="s">
        <v>732</v>
      </c>
      <c r="L12" t="s">
        <v>922</v>
      </c>
      <c r="M12" s="8">
        <v>1334.64</v>
      </c>
      <c r="N12" s="8">
        <v>2273.42</v>
      </c>
      <c r="O12" s="8">
        <f t="shared" si="1"/>
        <v>2273.42</v>
      </c>
      <c r="P12" s="11">
        <v>0.11799999999999999</v>
      </c>
      <c r="Q12" s="13">
        <v>14</v>
      </c>
      <c r="R12" s="8">
        <f t="shared" si="2"/>
        <v>28072.190160000002</v>
      </c>
      <c r="S12" s="8">
        <f t="shared" si="3"/>
        <v>18684.960000000003</v>
      </c>
      <c r="T12" s="8">
        <f t="shared" si="4"/>
        <v>9387.2301599999992</v>
      </c>
      <c r="U12" s="11">
        <f t="shared" si="5"/>
        <v>0.33439607335575267</v>
      </c>
      <c r="V12" s="17">
        <v>45740</v>
      </c>
      <c r="W12" s="4" t="str">
        <f t="shared" si="6"/>
        <v>Q3-2023</v>
      </c>
      <c r="X12" t="str">
        <f t="shared" si="9"/>
        <v>Americas → Brazil → Rio de Janeiro</v>
      </c>
      <c r="Y12" t="str">
        <f t="shared" si="7"/>
        <v>High</v>
      </c>
      <c r="Z12" s="20">
        <f t="shared" si="8"/>
        <v>45108</v>
      </c>
      <c r="AA12" s="4">
        <f t="array" ref="AA12">MIN(IF($F$2:$F$633=F12,$Z$2:$Z$633))</f>
        <v>44927</v>
      </c>
      <c r="AB12">
        <f t="shared" si="10"/>
        <v>6</v>
      </c>
      <c r="AC12">
        <f t="shared" si="11"/>
        <v>0</v>
      </c>
      <c r="AD12">
        <f t="shared" si="12"/>
        <v>0</v>
      </c>
      <c r="AE12" s="13">
        <f t="shared" si="13"/>
        <v>0</v>
      </c>
      <c r="AF12" t="s">
        <v>1469</v>
      </c>
      <c r="AG12" s="8">
        <f>AG9 - AG7</f>
        <v>2229395.9993559998</v>
      </c>
      <c r="AH12">
        <f t="shared" si="14"/>
        <v>16.8</v>
      </c>
      <c r="AI12">
        <f t="shared" si="15"/>
        <v>1534.836</v>
      </c>
      <c r="AJ12" s="11">
        <f t="shared" si="16"/>
        <v>0.11799999999999999</v>
      </c>
      <c r="AK12">
        <f t="shared" si="17"/>
        <v>33686.628192000004</v>
      </c>
      <c r="AL12">
        <f t="shared" si="18"/>
        <v>25785.2448</v>
      </c>
      <c r="AM12">
        <f t="shared" si="19"/>
        <v>7901.3833920000034</v>
      </c>
    </row>
    <row r="13" spans="1:39" x14ac:dyDescent="0.25">
      <c r="A13" t="s">
        <v>284</v>
      </c>
      <c r="B13" s="4">
        <v>45141</v>
      </c>
      <c r="C13" s="4">
        <v>45152</v>
      </c>
      <c r="D13" s="13">
        <f t="shared" si="0"/>
        <v>11</v>
      </c>
      <c r="E13" s="6" t="s">
        <v>648</v>
      </c>
      <c r="F13" t="s">
        <v>655</v>
      </c>
      <c r="G13" t="s">
        <v>672</v>
      </c>
      <c r="H13" t="s">
        <v>701</v>
      </c>
      <c r="I13" t="s">
        <v>711</v>
      </c>
      <c r="J13" t="s">
        <v>713</v>
      </c>
      <c r="K13" t="s">
        <v>733</v>
      </c>
      <c r="L13" t="s">
        <v>1004</v>
      </c>
      <c r="M13" s="8">
        <v>232.73</v>
      </c>
      <c r="N13" s="8">
        <v>334.19</v>
      </c>
      <c r="O13" s="8">
        <f t="shared" si="1"/>
        <v>334.19</v>
      </c>
      <c r="P13" s="11">
        <v>0.13400000000000001</v>
      </c>
      <c r="Q13" s="13">
        <v>25</v>
      </c>
      <c r="R13" s="8">
        <f t="shared" si="2"/>
        <v>7235.2134999999998</v>
      </c>
      <c r="S13" s="8">
        <f t="shared" si="3"/>
        <v>5818.25</v>
      </c>
      <c r="T13" s="8">
        <f t="shared" si="4"/>
        <v>1416.9634999999998</v>
      </c>
      <c r="U13" s="11">
        <f t="shared" si="5"/>
        <v>0.1958426658729559</v>
      </c>
      <c r="V13" s="17">
        <v>45697</v>
      </c>
      <c r="W13" s="4" t="str">
        <f t="shared" si="6"/>
        <v>Q3-2023</v>
      </c>
      <c r="X13" t="str">
        <f t="shared" si="9"/>
        <v>Americas → Brazil → Brasília</v>
      </c>
      <c r="Y13" t="str">
        <f t="shared" si="7"/>
        <v>Low</v>
      </c>
      <c r="Z13" s="20">
        <f t="shared" si="8"/>
        <v>45139</v>
      </c>
      <c r="AA13" s="4">
        <f t="array" ref="AA13">MIN(IF($F$2:$F$633=F13,$Z$2:$Z$633))</f>
        <v>44927</v>
      </c>
      <c r="AB13">
        <f t="shared" si="10"/>
        <v>7</v>
      </c>
      <c r="AC13">
        <f t="shared" si="11"/>
        <v>0</v>
      </c>
      <c r="AD13">
        <f t="shared" si="12"/>
        <v>0</v>
      </c>
      <c r="AE13" s="13">
        <f t="shared" si="13"/>
        <v>0</v>
      </c>
      <c r="AF13" t="s">
        <v>1470</v>
      </c>
      <c r="AG13" s="8">
        <f xml:space="preserve"> AG10 - AG8</f>
        <v>-631148.13044399582</v>
      </c>
      <c r="AH13">
        <f t="shared" si="14"/>
        <v>30</v>
      </c>
      <c r="AI13">
        <f t="shared" si="15"/>
        <v>267.63949999999994</v>
      </c>
      <c r="AJ13" s="11">
        <f t="shared" si="16"/>
        <v>0.13400000000000001</v>
      </c>
      <c r="AK13">
        <f t="shared" si="17"/>
        <v>8682.2561999999998</v>
      </c>
      <c r="AL13">
        <f t="shared" si="18"/>
        <v>8029.1849999999986</v>
      </c>
      <c r="AM13">
        <f t="shared" si="19"/>
        <v>653.07120000000123</v>
      </c>
    </row>
    <row r="14" spans="1:39" x14ac:dyDescent="0.25">
      <c r="A14" t="s">
        <v>276</v>
      </c>
      <c r="B14" s="4">
        <v>45142</v>
      </c>
      <c r="C14" s="4">
        <v>45162</v>
      </c>
      <c r="D14" s="13">
        <f t="shared" si="0"/>
        <v>20</v>
      </c>
      <c r="E14" s="6" t="s">
        <v>648</v>
      </c>
      <c r="F14" t="s">
        <v>655</v>
      </c>
      <c r="G14" t="s">
        <v>672</v>
      </c>
      <c r="H14" t="s">
        <v>703</v>
      </c>
      <c r="I14" t="s">
        <v>711</v>
      </c>
      <c r="J14" t="s">
        <v>1422</v>
      </c>
      <c r="K14" t="s">
        <v>729</v>
      </c>
      <c r="L14" t="s">
        <v>996</v>
      </c>
      <c r="M14" s="8">
        <v>582.88</v>
      </c>
      <c r="N14" s="8">
        <v>1044.1400000000001</v>
      </c>
      <c r="O14" s="8">
        <f t="shared" si="1"/>
        <v>1044.1400000000001</v>
      </c>
      <c r="P14" s="11">
        <v>0.216</v>
      </c>
      <c r="Q14" s="13">
        <v>10</v>
      </c>
      <c r="R14" s="8">
        <f t="shared" si="2"/>
        <v>8186.057600000001</v>
      </c>
      <c r="S14" s="8">
        <f t="shared" si="3"/>
        <v>5828.8</v>
      </c>
      <c r="T14" s="8">
        <f t="shared" si="4"/>
        <v>2357.2576000000008</v>
      </c>
      <c r="U14" s="11">
        <f t="shared" si="5"/>
        <v>0.28796005539956138</v>
      </c>
      <c r="V14" s="17">
        <v>45703</v>
      </c>
      <c r="W14" s="4" t="str">
        <f t="shared" si="6"/>
        <v>Q3-2023</v>
      </c>
      <c r="X14" t="str">
        <f t="shared" si="9"/>
        <v>Americas → Brazil → Brasília</v>
      </c>
      <c r="Y14" t="str">
        <f t="shared" si="7"/>
        <v>Medium</v>
      </c>
      <c r="Z14" s="20">
        <f t="shared" si="8"/>
        <v>45139</v>
      </c>
      <c r="AA14" s="4">
        <f t="array" ref="AA14">MIN(IF($F$2:$F$633=F14,$Z$2:$Z$633))</f>
        <v>44927</v>
      </c>
      <c r="AB14">
        <f t="shared" si="10"/>
        <v>7</v>
      </c>
      <c r="AC14">
        <f t="shared" si="11"/>
        <v>0</v>
      </c>
      <c r="AD14">
        <f t="shared" si="12"/>
        <v>1</v>
      </c>
      <c r="AE14" s="13">
        <f t="shared" si="13"/>
        <v>0</v>
      </c>
      <c r="AF14" t="s">
        <v>1471</v>
      </c>
      <c r="AH14">
        <f t="shared" si="14"/>
        <v>12</v>
      </c>
      <c r="AI14">
        <f t="shared" si="15"/>
        <v>670.3119999999999</v>
      </c>
      <c r="AJ14" s="11">
        <f t="shared" si="16"/>
        <v>0.216</v>
      </c>
      <c r="AK14">
        <f t="shared" si="17"/>
        <v>9823.2691200000008</v>
      </c>
      <c r="AL14">
        <f t="shared" si="18"/>
        <v>8043.7439999999988</v>
      </c>
      <c r="AM14">
        <f t="shared" si="19"/>
        <v>1779.5251200000021</v>
      </c>
    </row>
    <row r="15" spans="1:39" x14ac:dyDescent="0.25">
      <c r="A15" t="s">
        <v>498</v>
      </c>
      <c r="B15" s="4">
        <v>45148</v>
      </c>
      <c r="C15" s="4">
        <v>45153</v>
      </c>
      <c r="D15" s="13">
        <f t="shared" si="0"/>
        <v>5</v>
      </c>
      <c r="E15" s="6" t="s">
        <v>648</v>
      </c>
      <c r="F15" t="s">
        <v>655</v>
      </c>
      <c r="G15" t="s">
        <v>670</v>
      </c>
      <c r="H15" t="s">
        <v>702</v>
      </c>
      <c r="I15" t="s">
        <v>711</v>
      </c>
      <c r="J15" t="s">
        <v>715</v>
      </c>
      <c r="K15" t="s">
        <v>729</v>
      </c>
      <c r="L15" t="s">
        <v>1217</v>
      </c>
      <c r="M15" s="8">
        <v>1307.52</v>
      </c>
      <c r="N15" s="8">
        <v>1921.65</v>
      </c>
      <c r="O15" s="8">
        <f t="shared" si="1"/>
        <v>1921.65</v>
      </c>
      <c r="P15" s="11">
        <v>0.123</v>
      </c>
      <c r="Q15" s="13">
        <v>13</v>
      </c>
      <c r="R15" s="8">
        <f t="shared" si="2"/>
        <v>21908.731650000002</v>
      </c>
      <c r="S15" s="8">
        <f t="shared" si="3"/>
        <v>16997.759999999998</v>
      </c>
      <c r="T15" s="8">
        <f t="shared" si="4"/>
        <v>4910.9716500000031</v>
      </c>
      <c r="U15" s="11">
        <f t="shared" si="5"/>
        <v>0.22415590863289445</v>
      </c>
      <c r="V15" s="17">
        <v>45688</v>
      </c>
      <c r="W15" s="4" t="str">
        <f t="shared" si="6"/>
        <v>Q3-2023</v>
      </c>
      <c r="X15" t="str">
        <f t="shared" si="9"/>
        <v>Americas → Brazil → São Paulo</v>
      </c>
      <c r="Y15" t="str">
        <f t="shared" si="7"/>
        <v>High</v>
      </c>
      <c r="Z15" s="20">
        <f t="shared" si="8"/>
        <v>45139</v>
      </c>
      <c r="AA15" s="4">
        <f t="array" ref="AA15">MIN(IF($F$2:$F$633=F15,$Z$2:$Z$633))</f>
        <v>44927</v>
      </c>
      <c r="AB15">
        <f t="shared" si="10"/>
        <v>7</v>
      </c>
      <c r="AC15">
        <f t="shared" si="11"/>
        <v>1</v>
      </c>
      <c r="AD15">
        <f t="shared" si="12"/>
        <v>0</v>
      </c>
      <c r="AE15" s="13">
        <f t="shared" si="13"/>
        <v>1</v>
      </c>
      <c r="AH15">
        <f t="shared" si="14"/>
        <v>15.6</v>
      </c>
      <c r="AI15">
        <f t="shared" si="15"/>
        <v>1503.6479999999999</v>
      </c>
      <c r="AJ15" s="11">
        <f t="shared" si="16"/>
        <v>0.123</v>
      </c>
      <c r="AK15">
        <f t="shared" si="17"/>
        <v>26290.47798</v>
      </c>
      <c r="AL15">
        <f t="shared" si="18"/>
        <v>23456.908799999997</v>
      </c>
      <c r="AM15">
        <f t="shared" si="19"/>
        <v>2833.5691800000022</v>
      </c>
    </row>
    <row r="16" spans="1:39" x14ac:dyDescent="0.25">
      <c r="A16" t="s">
        <v>619</v>
      </c>
      <c r="B16" s="4">
        <v>45186</v>
      </c>
      <c r="C16" s="4">
        <v>45201</v>
      </c>
      <c r="D16" s="13">
        <f t="shared" si="0"/>
        <v>15</v>
      </c>
      <c r="E16" s="6" t="s">
        <v>648</v>
      </c>
      <c r="F16" t="s">
        <v>655</v>
      </c>
      <c r="G16" t="s">
        <v>692</v>
      </c>
      <c r="H16" t="s">
        <v>705</v>
      </c>
      <c r="I16" t="s">
        <v>707</v>
      </c>
      <c r="J16" t="s">
        <v>717</v>
      </c>
      <c r="K16" t="s">
        <v>731</v>
      </c>
      <c r="L16" t="s">
        <v>1337</v>
      </c>
      <c r="M16" s="8">
        <v>689.33</v>
      </c>
      <c r="N16" s="8">
        <v>668.27</v>
      </c>
      <c r="O16" s="8">
        <f t="shared" si="1"/>
        <v>668.27</v>
      </c>
      <c r="P16" s="11">
        <v>0.186</v>
      </c>
      <c r="Q16" s="13">
        <v>13</v>
      </c>
      <c r="R16" s="8">
        <f t="shared" si="2"/>
        <v>7071.6331400000008</v>
      </c>
      <c r="S16" s="8">
        <f t="shared" si="3"/>
        <v>8961.2900000000009</v>
      </c>
      <c r="T16" s="8">
        <f t="shared" si="4"/>
        <v>-1889.6568600000001</v>
      </c>
      <c r="U16" s="11">
        <f t="shared" si="5"/>
        <v>-0.26721647214861033</v>
      </c>
      <c r="V16" s="17">
        <v>45653</v>
      </c>
      <c r="W16" s="4" t="str">
        <f t="shared" si="6"/>
        <v>Q3-2023</v>
      </c>
      <c r="X16" t="str">
        <f t="shared" si="9"/>
        <v>Americas → Brazil → Rio de Janeiro</v>
      </c>
      <c r="Y16" t="str">
        <f t="shared" si="7"/>
        <v>Low</v>
      </c>
      <c r="Z16" s="20">
        <f t="shared" si="8"/>
        <v>45170</v>
      </c>
      <c r="AA16" s="4">
        <f t="array" ref="AA16">MIN(IF($F$2:$F$633=F16,$Z$2:$Z$633))</f>
        <v>44927</v>
      </c>
      <c r="AB16">
        <f t="shared" si="10"/>
        <v>8</v>
      </c>
      <c r="AC16">
        <f t="shared" si="11"/>
        <v>0</v>
      </c>
      <c r="AD16">
        <f t="shared" si="12"/>
        <v>0</v>
      </c>
      <c r="AE16" s="13">
        <f t="shared" si="13"/>
        <v>0</v>
      </c>
      <c r="AF16" t="s">
        <v>1489</v>
      </c>
      <c r="AG16" s="11">
        <f>AG8 / AG7</f>
        <v>0.3112037716265989</v>
      </c>
      <c r="AH16">
        <f t="shared" si="14"/>
        <v>15.6</v>
      </c>
      <c r="AI16">
        <f t="shared" si="15"/>
        <v>792.72950000000003</v>
      </c>
      <c r="AJ16" s="11">
        <f t="shared" si="16"/>
        <v>0.186</v>
      </c>
      <c r="AK16">
        <f t="shared" si="17"/>
        <v>8485.9597679999988</v>
      </c>
      <c r="AL16">
        <f t="shared" si="18"/>
        <v>12366.5802</v>
      </c>
      <c r="AM16">
        <f t="shared" si="19"/>
        <v>-3880.6204320000015</v>
      </c>
    </row>
    <row r="17" spans="1:39" x14ac:dyDescent="0.25">
      <c r="A17" t="s">
        <v>273</v>
      </c>
      <c r="B17" s="4">
        <v>45210</v>
      </c>
      <c r="C17" s="4">
        <v>45212</v>
      </c>
      <c r="D17" s="13">
        <f t="shared" si="0"/>
        <v>2</v>
      </c>
      <c r="E17" s="6" t="s">
        <v>648</v>
      </c>
      <c r="F17" t="s">
        <v>655</v>
      </c>
      <c r="G17" t="s">
        <v>672</v>
      </c>
      <c r="H17" t="s">
        <v>704</v>
      </c>
      <c r="I17" t="s">
        <v>710</v>
      </c>
      <c r="J17" t="s">
        <v>1422</v>
      </c>
      <c r="K17" t="s">
        <v>733</v>
      </c>
      <c r="L17" t="s">
        <v>993</v>
      </c>
      <c r="M17" s="8">
        <v>715.94</v>
      </c>
      <c r="N17" s="8">
        <v>550.07000000000005</v>
      </c>
      <c r="O17" s="8">
        <f t="shared" si="1"/>
        <v>550.07000000000005</v>
      </c>
      <c r="P17" s="11">
        <v>0.14000000000000001</v>
      </c>
      <c r="Q17" s="13">
        <v>16</v>
      </c>
      <c r="R17" s="8">
        <f t="shared" si="2"/>
        <v>7568.9632000000001</v>
      </c>
      <c r="S17" s="8">
        <f t="shared" si="3"/>
        <v>11455.04</v>
      </c>
      <c r="T17" s="8">
        <f t="shared" si="4"/>
        <v>-3886.0768000000007</v>
      </c>
      <c r="U17" s="11">
        <f t="shared" si="5"/>
        <v>-0.51342260456491595</v>
      </c>
      <c r="V17" s="17">
        <v>45633</v>
      </c>
      <c r="W17" s="4" t="str">
        <f t="shared" si="6"/>
        <v>Q4-2023</v>
      </c>
      <c r="X17" t="str">
        <f t="shared" si="9"/>
        <v>Americas → Brazil → Brasília</v>
      </c>
      <c r="Y17" t="str">
        <f t="shared" si="7"/>
        <v>Low</v>
      </c>
      <c r="Z17" s="20">
        <f t="shared" si="8"/>
        <v>45200</v>
      </c>
      <c r="AA17" s="4">
        <f t="array" ref="AA17">MIN(IF($F$2:$F$633=F17,$Z$2:$Z$633))</f>
        <v>44927</v>
      </c>
      <c r="AB17">
        <f t="shared" si="10"/>
        <v>9</v>
      </c>
      <c r="AC17">
        <f t="shared" si="11"/>
        <v>1</v>
      </c>
      <c r="AD17">
        <f t="shared" si="12"/>
        <v>0</v>
      </c>
      <c r="AE17" s="13">
        <f t="shared" si="13"/>
        <v>1</v>
      </c>
      <c r="AF17" t="s">
        <v>1490</v>
      </c>
      <c r="AG17" s="6">
        <f>COUNTA(A2:A633)</f>
        <v>632</v>
      </c>
      <c r="AH17">
        <f t="shared" si="14"/>
        <v>19.2</v>
      </c>
      <c r="AI17">
        <f t="shared" si="15"/>
        <v>823.33100000000002</v>
      </c>
      <c r="AJ17" s="11">
        <f t="shared" si="16"/>
        <v>0.14000000000000001</v>
      </c>
      <c r="AK17">
        <f t="shared" si="17"/>
        <v>9082.7558399999998</v>
      </c>
      <c r="AL17">
        <f t="shared" si="18"/>
        <v>15807.9552</v>
      </c>
      <c r="AM17">
        <f t="shared" si="19"/>
        <v>-6725.1993600000005</v>
      </c>
    </row>
    <row r="18" spans="1:39" x14ac:dyDescent="0.25">
      <c r="A18" t="s">
        <v>512</v>
      </c>
      <c r="B18" s="4">
        <v>45224</v>
      </c>
      <c r="C18" s="4">
        <v>45227</v>
      </c>
      <c r="D18" s="13">
        <f t="shared" si="0"/>
        <v>3</v>
      </c>
      <c r="E18" s="6" t="s">
        <v>648</v>
      </c>
      <c r="F18" t="s">
        <v>655</v>
      </c>
      <c r="G18" t="s">
        <v>672</v>
      </c>
      <c r="H18" t="s">
        <v>701</v>
      </c>
      <c r="I18" t="s">
        <v>710</v>
      </c>
      <c r="J18" t="s">
        <v>716</v>
      </c>
      <c r="K18" t="s">
        <v>733</v>
      </c>
      <c r="L18" t="s">
        <v>1231</v>
      </c>
      <c r="M18" s="8">
        <v>509.31</v>
      </c>
      <c r="N18" s="8">
        <v>1145.9000000000001</v>
      </c>
      <c r="O18" s="8">
        <f t="shared" si="1"/>
        <v>1145.9000000000001</v>
      </c>
      <c r="P18" s="11">
        <v>5.7000000000000002E-2</v>
      </c>
      <c r="Q18" s="13">
        <v>8</v>
      </c>
      <c r="R18" s="8">
        <f t="shared" si="2"/>
        <v>8644.6696000000011</v>
      </c>
      <c r="S18" s="8">
        <f t="shared" si="3"/>
        <v>4074.48</v>
      </c>
      <c r="T18" s="8">
        <f t="shared" si="4"/>
        <v>4570.1896000000015</v>
      </c>
      <c r="U18" s="11">
        <f t="shared" si="5"/>
        <v>0.52867140231709964</v>
      </c>
      <c r="V18" s="17">
        <v>45643</v>
      </c>
      <c r="W18" s="4" t="str">
        <f t="shared" si="6"/>
        <v>Q4-2023</v>
      </c>
      <c r="X18" t="str">
        <f t="shared" si="9"/>
        <v>Americas → Brazil → Brasília</v>
      </c>
      <c r="Y18" t="str">
        <f t="shared" si="7"/>
        <v>Medium</v>
      </c>
      <c r="Z18" s="20">
        <f t="shared" si="8"/>
        <v>45200</v>
      </c>
      <c r="AA18" s="4">
        <f t="array" ref="AA18">MIN(IF($F$2:$F$633=F18,$Z$2:$Z$633))</f>
        <v>44927</v>
      </c>
      <c r="AB18">
        <f t="shared" si="10"/>
        <v>9</v>
      </c>
      <c r="AC18">
        <f t="shared" si="11"/>
        <v>1</v>
      </c>
      <c r="AD18">
        <f t="shared" si="12"/>
        <v>0</v>
      </c>
      <c r="AE18" s="13">
        <f t="shared" si="13"/>
        <v>1</v>
      </c>
      <c r="AF18" t="s">
        <v>1491</v>
      </c>
      <c r="AG18" s="6">
        <f>AG7 / AG17</f>
        <v>17292.477399525302</v>
      </c>
      <c r="AH18">
        <f t="shared" si="14"/>
        <v>9.6</v>
      </c>
      <c r="AI18">
        <f t="shared" si="15"/>
        <v>585.70650000000001</v>
      </c>
      <c r="AJ18" s="11">
        <f t="shared" si="16"/>
        <v>5.7000000000000002E-2</v>
      </c>
      <c r="AK18">
        <f t="shared" si="17"/>
        <v>10373.603520000001</v>
      </c>
      <c r="AL18">
        <f t="shared" si="18"/>
        <v>5622.7824000000001</v>
      </c>
      <c r="AM18">
        <f t="shared" si="19"/>
        <v>4750.8211200000005</v>
      </c>
    </row>
    <row r="19" spans="1:39" x14ac:dyDescent="0.25">
      <c r="A19" t="s">
        <v>228</v>
      </c>
      <c r="B19" s="4">
        <v>45240</v>
      </c>
      <c r="C19" s="4">
        <v>45258</v>
      </c>
      <c r="D19" s="13">
        <f t="shared" si="0"/>
        <v>18</v>
      </c>
      <c r="E19" s="6" t="s">
        <v>648</v>
      </c>
      <c r="F19" t="s">
        <v>655</v>
      </c>
      <c r="G19" t="s">
        <v>672</v>
      </c>
      <c r="H19" t="s">
        <v>702</v>
      </c>
      <c r="I19" t="s">
        <v>709</v>
      </c>
      <c r="J19" t="s">
        <v>716</v>
      </c>
      <c r="K19" t="s">
        <v>733</v>
      </c>
      <c r="L19" t="s">
        <v>948</v>
      </c>
      <c r="M19" s="8">
        <v>388.51</v>
      </c>
      <c r="N19" s="8">
        <v>776.46</v>
      </c>
      <c r="O19" s="8">
        <f t="shared" si="1"/>
        <v>776.46</v>
      </c>
      <c r="P19" s="11">
        <v>0.157</v>
      </c>
      <c r="Q19" s="13">
        <v>12</v>
      </c>
      <c r="R19" s="8">
        <f t="shared" si="2"/>
        <v>7854.6693599999999</v>
      </c>
      <c r="S19" s="8">
        <f t="shared" si="3"/>
        <v>4662.12</v>
      </c>
      <c r="T19" s="8">
        <f t="shared" si="4"/>
        <v>3192.54936</v>
      </c>
      <c r="U19" s="11">
        <f t="shared" si="5"/>
        <v>0.40645241876864946</v>
      </c>
      <c r="V19" s="17">
        <v>45634</v>
      </c>
      <c r="W19" s="4" t="str">
        <f t="shared" si="6"/>
        <v>Q4-2023</v>
      </c>
      <c r="X19" t="str">
        <f t="shared" si="9"/>
        <v>Americas → Brazil → Brasília</v>
      </c>
      <c r="Y19" t="str">
        <f t="shared" si="7"/>
        <v>Low</v>
      </c>
      <c r="Z19" s="20">
        <f t="shared" si="8"/>
        <v>45231</v>
      </c>
      <c r="AA19" s="4">
        <f t="array" ref="AA19">MIN(IF($F$2:$F$633=F19,$Z$2:$Z$633))</f>
        <v>44927</v>
      </c>
      <c r="AB19">
        <f t="shared" si="10"/>
        <v>10</v>
      </c>
      <c r="AC19">
        <f t="shared" si="11"/>
        <v>0</v>
      </c>
      <c r="AD19">
        <f t="shared" si="12"/>
        <v>0</v>
      </c>
      <c r="AE19" s="13">
        <f t="shared" si="13"/>
        <v>0</v>
      </c>
      <c r="AH19">
        <f t="shared" si="14"/>
        <v>14.399999999999999</v>
      </c>
      <c r="AI19">
        <f t="shared" si="15"/>
        <v>446.78649999999993</v>
      </c>
      <c r="AJ19" s="11">
        <f t="shared" si="16"/>
        <v>0.157</v>
      </c>
      <c r="AK19">
        <f t="shared" si="17"/>
        <v>9425.6032319999995</v>
      </c>
      <c r="AL19">
        <f t="shared" si="18"/>
        <v>6433.7255999999988</v>
      </c>
      <c r="AM19">
        <f t="shared" si="19"/>
        <v>2991.8776320000006</v>
      </c>
    </row>
    <row r="20" spans="1:39" x14ac:dyDescent="0.25">
      <c r="A20" t="s">
        <v>331</v>
      </c>
      <c r="B20" s="4">
        <v>45244</v>
      </c>
      <c r="C20" s="4">
        <v>45260</v>
      </c>
      <c r="D20" s="13">
        <f t="shared" si="0"/>
        <v>16</v>
      </c>
      <c r="E20" s="6" t="s">
        <v>648</v>
      </c>
      <c r="F20" t="s">
        <v>655</v>
      </c>
      <c r="G20" t="s">
        <v>670</v>
      </c>
      <c r="H20" t="s">
        <v>706</v>
      </c>
      <c r="I20" t="s">
        <v>711</v>
      </c>
      <c r="J20" t="s">
        <v>723</v>
      </c>
      <c r="K20" t="s">
        <v>729</v>
      </c>
      <c r="L20" t="s">
        <v>1051</v>
      </c>
      <c r="M20" s="8">
        <v>1017.92</v>
      </c>
      <c r="N20" s="8">
        <v>1175.25</v>
      </c>
      <c r="O20" s="8">
        <f t="shared" si="1"/>
        <v>1175.25</v>
      </c>
      <c r="P20" s="11">
        <v>7.4999999999999997E-2</v>
      </c>
      <c r="Q20" s="13">
        <v>15</v>
      </c>
      <c r="R20" s="8">
        <f t="shared" si="2"/>
        <v>16306.59375</v>
      </c>
      <c r="S20" s="8">
        <f t="shared" si="3"/>
        <v>15268.8</v>
      </c>
      <c r="T20" s="8">
        <f t="shared" si="4"/>
        <v>1037.7937500000007</v>
      </c>
      <c r="U20" s="11">
        <f t="shared" si="5"/>
        <v>6.3642583234159542E-2</v>
      </c>
      <c r="V20" s="17">
        <v>45621</v>
      </c>
      <c r="W20" s="4" t="str">
        <f t="shared" si="6"/>
        <v>Q4-2023</v>
      </c>
      <c r="X20" t="str">
        <f t="shared" si="9"/>
        <v>Americas → Brazil → São Paulo</v>
      </c>
      <c r="Y20" t="str">
        <f t="shared" si="7"/>
        <v>Medium</v>
      </c>
      <c r="Z20" s="20">
        <f t="shared" si="8"/>
        <v>45231</v>
      </c>
      <c r="AA20" s="4">
        <f t="array" ref="AA20">MIN(IF($F$2:$F$633=F20,$Z$2:$Z$633))</f>
        <v>44927</v>
      </c>
      <c r="AB20">
        <f t="shared" si="10"/>
        <v>10</v>
      </c>
      <c r="AC20">
        <f t="shared" si="11"/>
        <v>0</v>
      </c>
      <c r="AD20">
        <f t="shared" si="12"/>
        <v>0</v>
      </c>
      <c r="AE20" s="13">
        <f t="shared" si="13"/>
        <v>0</v>
      </c>
      <c r="AF20" t="s">
        <v>1492</v>
      </c>
      <c r="AG20" s="27">
        <f>AVERAGE(R2:R633)</f>
        <v>17292.477399525302</v>
      </c>
      <c r="AH20">
        <f t="shared" si="14"/>
        <v>18</v>
      </c>
      <c r="AI20">
        <f t="shared" si="15"/>
        <v>1170.6079999999999</v>
      </c>
      <c r="AJ20" s="11">
        <f t="shared" si="16"/>
        <v>7.4999999999999997E-2</v>
      </c>
      <c r="AK20">
        <f t="shared" si="17"/>
        <v>19567.912500000002</v>
      </c>
      <c r="AL20">
        <f t="shared" si="18"/>
        <v>21070.944</v>
      </c>
      <c r="AM20">
        <f t="shared" si="19"/>
        <v>-1503.0314999999973</v>
      </c>
    </row>
    <row r="21" spans="1:39" x14ac:dyDescent="0.25">
      <c r="A21" t="s">
        <v>80</v>
      </c>
      <c r="B21" s="4">
        <v>45263</v>
      </c>
      <c r="C21" s="4">
        <v>45286</v>
      </c>
      <c r="D21" s="13">
        <f t="shared" si="0"/>
        <v>23</v>
      </c>
      <c r="E21" s="6" t="s">
        <v>648</v>
      </c>
      <c r="F21" t="s">
        <v>655</v>
      </c>
      <c r="G21" t="s">
        <v>692</v>
      </c>
      <c r="H21" t="s">
        <v>702</v>
      </c>
      <c r="I21" t="s">
        <v>707</v>
      </c>
      <c r="J21" t="s">
        <v>719</v>
      </c>
      <c r="K21" t="s">
        <v>730</v>
      </c>
      <c r="L21" t="s">
        <v>799</v>
      </c>
      <c r="M21" s="8">
        <v>1303.1099999999999</v>
      </c>
      <c r="N21" s="8">
        <v>1145.67</v>
      </c>
      <c r="O21" s="8">
        <f t="shared" si="1"/>
        <v>1145.67</v>
      </c>
      <c r="P21" s="11">
        <v>0.184</v>
      </c>
      <c r="Q21" s="13">
        <v>13</v>
      </c>
      <c r="R21" s="8">
        <f t="shared" si="2"/>
        <v>12153.267360000002</v>
      </c>
      <c r="S21" s="8">
        <f t="shared" si="3"/>
        <v>16940.43</v>
      </c>
      <c r="T21" s="8">
        <f t="shared" si="4"/>
        <v>-4787.1626399999986</v>
      </c>
      <c r="U21" s="11">
        <f t="shared" si="5"/>
        <v>-0.39389922875851208</v>
      </c>
      <c r="V21" s="17">
        <v>45588</v>
      </c>
      <c r="W21" s="4" t="str">
        <f t="shared" si="6"/>
        <v>Q4-2023</v>
      </c>
      <c r="X21" t="str">
        <f t="shared" si="9"/>
        <v>Americas → Brazil → Rio de Janeiro</v>
      </c>
      <c r="Y21" t="str">
        <f t="shared" si="7"/>
        <v>Medium</v>
      </c>
      <c r="Z21" s="20">
        <f t="shared" si="8"/>
        <v>45261</v>
      </c>
      <c r="AA21" s="4">
        <f t="array" ref="AA21">MIN(IF($F$2:$F$633=F21,$Z$2:$Z$633))</f>
        <v>44927</v>
      </c>
      <c r="AB21">
        <f t="shared" si="10"/>
        <v>11</v>
      </c>
      <c r="AC21">
        <f t="shared" si="11"/>
        <v>0</v>
      </c>
      <c r="AD21">
        <f t="shared" si="12"/>
        <v>0</v>
      </c>
      <c r="AE21" s="13">
        <f t="shared" si="13"/>
        <v>0</v>
      </c>
      <c r="AH21">
        <f t="shared" si="14"/>
        <v>15.6</v>
      </c>
      <c r="AI21">
        <f t="shared" si="15"/>
        <v>1498.5764999999997</v>
      </c>
      <c r="AJ21" s="11">
        <f t="shared" si="16"/>
        <v>0.184</v>
      </c>
      <c r="AK21">
        <f t="shared" si="17"/>
        <v>14583.920832000002</v>
      </c>
      <c r="AL21">
        <f t="shared" si="18"/>
        <v>23377.793399999995</v>
      </c>
      <c r="AM21">
        <f t="shared" si="19"/>
        <v>-8793.8725679999934</v>
      </c>
    </row>
    <row r="22" spans="1:39" x14ac:dyDescent="0.25">
      <c r="A22" t="s">
        <v>470</v>
      </c>
      <c r="B22" s="4">
        <v>45265</v>
      </c>
      <c r="C22" s="4">
        <v>45272</v>
      </c>
      <c r="D22" s="13">
        <f t="shared" si="0"/>
        <v>7</v>
      </c>
      <c r="E22" s="6" t="s">
        <v>648</v>
      </c>
      <c r="F22" t="s">
        <v>655</v>
      </c>
      <c r="G22" t="s">
        <v>672</v>
      </c>
      <c r="H22" t="s">
        <v>701</v>
      </c>
      <c r="I22" t="s">
        <v>711</v>
      </c>
      <c r="J22" t="s">
        <v>721</v>
      </c>
      <c r="K22" t="s">
        <v>730</v>
      </c>
      <c r="L22" t="s">
        <v>1189</v>
      </c>
      <c r="M22" s="8">
        <v>307.43</v>
      </c>
      <c r="N22" s="8">
        <v>495.19</v>
      </c>
      <c r="O22" s="8">
        <f t="shared" si="1"/>
        <v>495.19</v>
      </c>
      <c r="P22" s="11">
        <v>0</v>
      </c>
      <c r="Q22" s="13">
        <v>42</v>
      </c>
      <c r="R22" s="8">
        <f t="shared" si="2"/>
        <v>20797.98</v>
      </c>
      <c r="S22" s="8">
        <f t="shared" si="3"/>
        <v>12912.06</v>
      </c>
      <c r="T22" s="8">
        <f t="shared" si="4"/>
        <v>7885.92</v>
      </c>
      <c r="U22" s="11">
        <f t="shared" si="5"/>
        <v>0.37916759223732305</v>
      </c>
      <c r="V22" s="17">
        <v>45597</v>
      </c>
      <c r="W22" s="4" t="str">
        <f t="shared" si="6"/>
        <v>Q4-2023</v>
      </c>
      <c r="X22" t="str">
        <f t="shared" si="9"/>
        <v>Americas → Brazil → Brasília</v>
      </c>
      <c r="Y22" t="str">
        <f t="shared" si="7"/>
        <v>Low</v>
      </c>
      <c r="Z22" s="20">
        <f t="shared" si="8"/>
        <v>45261</v>
      </c>
      <c r="AA22" s="4">
        <f t="array" ref="AA22">MIN(IF($F$2:$F$633=F22,$Z$2:$Z$633))</f>
        <v>44927</v>
      </c>
      <c r="AB22">
        <f t="shared" si="10"/>
        <v>11</v>
      </c>
      <c r="AC22">
        <f t="shared" si="11"/>
        <v>1</v>
      </c>
      <c r="AD22">
        <f t="shared" si="12"/>
        <v>0</v>
      </c>
      <c r="AE22" s="13">
        <f t="shared" si="13"/>
        <v>1</v>
      </c>
      <c r="AF22" t="s">
        <v>1495</v>
      </c>
      <c r="AG22" s="13">
        <f>SUM(AE2:AE633)</f>
        <v>172</v>
      </c>
      <c r="AH22">
        <f t="shared" si="14"/>
        <v>50.4</v>
      </c>
      <c r="AI22">
        <f t="shared" si="15"/>
        <v>353.54449999999997</v>
      </c>
      <c r="AJ22" s="11">
        <f t="shared" si="16"/>
        <v>0</v>
      </c>
      <c r="AK22">
        <f t="shared" si="17"/>
        <v>24957.576000000001</v>
      </c>
      <c r="AL22">
        <f t="shared" si="18"/>
        <v>17818.642799999998</v>
      </c>
      <c r="AM22">
        <f t="shared" si="19"/>
        <v>7138.9332000000031</v>
      </c>
    </row>
    <row r="23" spans="1:39" x14ac:dyDescent="0.25">
      <c r="A23" t="s">
        <v>239</v>
      </c>
      <c r="B23" s="4">
        <v>45279</v>
      </c>
      <c r="C23" s="4">
        <v>45280</v>
      </c>
      <c r="D23" s="13">
        <f t="shared" si="0"/>
        <v>1</v>
      </c>
      <c r="E23" s="6" t="s">
        <v>648</v>
      </c>
      <c r="F23" t="s">
        <v>655</v>
      </c>
      <c r="G23" t="s">
        <v>692</v>
      </c>
      <c r="H23" t="s">
        <v>704</v>
      </c>
      <c r="I23" t="s">
        <v>710</v>
      </c>
      <c r="J23" t="s">
        <v>713</v>
      </c>
      <c r="K23" t="s">
        <v>730</v>
      </c>
      <c r="L23" t="s">
        <v>959</v>
      </c>
      <c r="M23" s="8">
        <v>1080.43</v>
      </c>
      <c r="N23" s="8">
        <v>2529.15</v>
      </c>
      <c r="O23" s="8">
        <f t="shared" si="1"/>
        <v>2529.15</v>
      </c>
      <c r="P23" s="11">
        <v>0.14699999999999999</v>
      </c>
      <c r="Q23" s="13">
        <v>10</v>
      </c>
      <c r="R23" s="8">
        <f t="shared" si="2"/>
        <v>21573.6495</v>
      </c>
      <c r="S23" s="8">
        <f t="shared" si="3"/>
        <v>10804.300000000001</v>
      </c>
      <c r="T23" s="8">
        <f t="shared" si="4"/>
        <v>10769.349499999998</v>
      </c>
      <c r="U23" s="11">
        <f t="shared" si="5"/>
        <v>0.49918997247081437</v>
      </c>
      <c r="V23" s="17">
        <v>45574</v>
      </c>
      <c r="W23" s="4" t="str">
        <f t="shared" si="6"/>
        <v>Q4-2023</v>
      </c>
      <c r="X23" t="str">
        <f t="shared" si="9"/>
        <v>Americas → Brazil → Rio de Janeiro</v>
      </c>
      <c r="Y23" t="str">
        <f t="shared" si="7"/>
        <v>High</v>
      </c>
      <c r="Z23" s="20">
        <f t="shared" si="8"/>
        <v>45261</v>
      </c>
      <c r="AA23" s="4">
        <f t="array" ref="AA23">MIN(IF($F$2:$F$633=F23,$Z$2:$Z$633))</f>
        <v>44927</v>
      </c>
      <c r="AB23">
        <f t="shared" si="10"/>
        <v>11</v>
      </c>
      <c r="AC23">
        <f t="shared" si="11"/>
        <v>1</v>
      </c>
      <c r="AD23">
        <f t="shared" si="12"/>
        <v>0</v>
      </c>
      <c r="AE23" s="13">
        <f t="shared" si="13"/>
        <v>1</v>
      </c>
      <c r="AF23" t="s">
        <v>1496</v>
      </c>
      <c r="AG23" s="13">
        <f>COUNT(AE2:AE633)</f>
        <v>632</v>
      </c>
      <c r="AH23">
        <f t="shared" si="14"/>
        <v>12</v>
      </c>
      <c r="AI23">
        <f t="shared" si="15"/>
        <v>1242.4945</v>
      </c>
      <c r="AJ23" s="11">
        <f t="shared" si="16"/>
        <v>0.14699999999999999</v>
      </c>
      <c r="AK23">
        <f t="shared" si="17"/>
        <v>25888.379400000002</v>
      </c>
      <c r="AL23">
        <f t="shared" si="18"/>
        <v>14909.934000000001</v>
      </c>
      <c r="AM23">
        <f t="shared" si="19"/>
        <v>10978.445400000001</v>
      </c>
    </row>
    <row r="24" spans="1:39" x14ac:dyDescent="0.25">
      <c r="A24" t="s">
        <v>282</v>
      </c>
      <c r="B24" s="4">
        <v>45284</v>
      </c>
      <c r="C24" s="4">
        <v>45292</v>
      </c>
      <c r="D24" s="13">
        <f t="shared" si="0"/>
        <v>8</v>
      </c>
      <c r="E24" s="6" t="s">
        <v>648</v>
      </c>
      <c r="F24" t="s">
        <v>655</v>
      </c>
      <c r="G24" t="s">
        <v>670</v>
      </c>
      <c r="H24" t="s">
        <v>702</v>
      </c>
      <c r="I24" t="s">
        <v>711</v>
      </c>
      <c r="J24" t="s">
        <v>712</v>
      </c>
      <c r="K24" t="s">
        <v>730</v>
      </c>
      <c r="L24" t="s">
        <v>1002</v>
      </c>
      <c r="M24" s="8">
        <v>526.49</v>
      </c>
      <c r="N24" s="8">
        <v>496.2</v>
      </c>
      <c r="O24" s="8">
        <f t="shared" si="1"/>
        <v>496.2</v>
      </c>
      <c r="P24" s="11">
        <v>0</v>
      </c>
      <c r="Q24" s="13">
        <v>14</v>
      </c>
      <c r="R24" s="8">
        <f t="shared" si="2"/>
        <v>6946.8</v>
      </c>
      <c r="S24" s="8">
        <f t="shared" si="3"/>
        <v>7370.8600000000006</v>
      </c>
      <c r="T24" s="8">
        <f t="shared" si="4"/>
        <v>-424.0600000000004</v>
      </c>
      <c r="U24" s="11">
        <f t="shared" si="5"/>
        <v>-6.1043933897621985E-2</v>
      </c>
      <c r="V24" s="17">
        <v>45594</v>
      </c>
      <c r="W24" s="4" t="str">
        <f t="shared" si="6"/>
        <v>Q4-2023</v>
      </c>
      <c r="X24" t="str">
        <f t="shared" si="9"/>
        <v>Americas → Brazil → São Paulo</v>
      </c>
      <c r="Y24" t="str">
        <f t="shared" si="7"/>
        <v>Low</v>
      </c>
      <c r="Z24" s="20">
        <f t="shared" si="8"/>
        <v>45261</v>
      </c>
      <c r="AA24" s="4">
        <f t="array" ref="AA24">MIN(IF($F$2:$F$633=F24,$Z$2:$Z$633))</f>
        <v>44927</v>
      </c>
      <c r="AB24">
        <f t="shared" si="10"/>
        <v>11</v>
      </c>
      <c r="AC24">
        <f t="shared" si="11"/>
        <v>0</v>
      </c>
      <c r="AD24">
        <f t="shared" si="12"/>
        <v>0</v>
      </c>
      <c r="AE24" s="13">
        <f t="shared" si="13"/>
        <v>0</v>
      </c>
      <c r="AF24" t="s">
        <v>1494</v>
      </c>
      <c r="AG24" s="11">
        <f xml:space="preserve"> AG22 / AG23</f>
        <v>0.27215189873417722</v>
      </c>
      <c r="AH24">
        <f t="shared" si="14"/>
        <v>16.8</v>
      </c>
      <c r="AI24">
        <f t="shared" si="15"/>
        <v>605.46349999999995</v>
      </c>
      <c r="AJ24" s="11">
        <f t="shared" si="16"/>
        <v>0</v>
      </c>
      <c r="AK24">
        <f t="shared" si="17"/>
        <v>8336.16</v>
      </c>
      <c r="AL24">
        <f t="shared" si="18"/>
        <v>10171.7868</v>
      </c>
      <c r="AM24">
        <f t="shared" si="19"/>
        <v>-1835.6268</v>
      </c>
    </row>
    <row r="25" spans="1:39" x14ac:dyDescent="0.25">
      <c r="A25" t="s">
        <v>289</v>
      </c>
      <c r="B25" s="4">
        <v>45316</v>
      </c>
      <c r="C25" s="4">
        <v>45318</v>
      </c>
      <c r="D25" s="13">
        <f t="shared" si="0"/>
        <v>2</v>
      </c>
      <c r="E25" s="6" t="s">
        <v>648</v>
      </c>
      <c r="F25" t="s">
        <v>655</v>
      </c>
      <c r="G25" t="s">
        <v>670</v>
      </c>
      <c r="H25" t="s">
        <v>703</v>
      </c>
      <c r="I25" t="s">
        <v>709</v>
      </c>
      <c r="J25" t="s">
        <v>725</v>
      </c>
      <c r="K25" t="s">
        <v>731</v>
      </c>
      <c r="L25" t="s">
        <v>1009</v>
      </c>
      <c r="M25" s="8">
        <v>1410.97</v>
      </c>
      <c r="N25" s="8">
        <v>1650.75</v>
      </c>
      <c r="O25" s="8">
        <f t="shared" si="1"/>
        <v>1650.75</v>
      </c>
      <c r="P25" s="11">
        <v>0.13500000000000001</v>
      </c>
      <c r="Q25" s="13">
        <v>6</v>
      </c>
      <c r="R25" s="8">
        <f t="shared" si="2"/>
        <v>8567.3924999999999</v>
      </c>
      <c r="S25" s="8">
        <f t="shared" si="3"/>
        <v>8465.82</v>
      </c>
      <c r="T25" s="8">
        <f t="shared" si="4"/>
        <v>101.57250000000022</v>
      </c>
      <c r="U25" s="11">
        <f t="shared" si="5"/>
        <v>1.1855707556295596E-2</v>
      </c>
      <c r="V25" s="17">
        <v>45542</v>
      </c>
      <c r="W25" s="4" t="str">
        <f t="shared" si="6"/>
        <v>Q1-2024</v>
      </c>
      <c r="X25" t="str">
        <f t="shared" si="9"/>
        <v>Americas → Brazil → São Paulo</v>
      </c>
      <c r="Y25" t="str">
        <f t="shared" si="7"/>
        <v>High</v>
      </c>
      <c r="Z25" s="20">
        <f t="shared" si="8"/>
        <v>45292</v>
      </c>
      <c r="AA25" s="4">
        <f t="array" ref="AA25">MIN(IF($F$2:$F$633=F25,$Z$2:$Z$633))</f>
        <v>44927</v>
      </c>
      <c r="AB25">
        <f t="shared" si="10"/>
        <v>12</v>
      </c>
      <c r="AC25">
        <f t="shared" si="11"/>
        <v>1</v>
      </c>
      <c r="AD25">
        <f t="shared" si="12"/>
        <v>0</v>
      </c>
      <c r="AE25" s="13">
        <f t="shared" si="13"/>
        <v>1</v>
      </c>
      <c r="AG25" s="8"/>
      <c r="AH25">
        <f t="shared" si="14"/>
        <v>7.1999999999999993</v>
      </c>
      <c r="AI25">
        <f t="shared" si="15"/>
        <v>1622.6154999999999</v>
      </c>
      <c r="AJ25" s="11">
        <f t="shared" si="16"/>
        <v>0.13500000000000001</v>
      </c>
      <c r="AK25">
        <f t="shared" si="17"/>
        <v>10280.870999999999</v>
      </c>
      <c r="AL25">
        <f t="shared" si="18"/>
        <v>11682.831599999998</v>
      </c>
      <c r="AM25">
        <f t="shared" si="19"/>
        <v>-1401.9605999999985</v>
      </c>
    </row>
    <row r="26" spans="1:39" x14ac:dyDescent="0.25">
      <c r="A26" t="s">
        <v>337</v>
      </c>
      <c r="B26" s="4">
        <v>45340</v>
      </c>
      <c r="C26" s="4">
        <v>45362</v>
      </c>
      <c r="D26" s="13">
        <f t="shared" si="0"/>
        <v>22</v>
      </c>
      <c r="E26" s="6" t="s">
        <v>648</v>
      </c>
      <c r="F26" t="s">
        <v>655</v>
      </c>
      <c r="G26" t="s">
        <v>670</v>
      </c>
      <c r="H26" t="s">
        <v>704</v>
      </c>
      <c r="I26" t="s">
        <v>708</v>
      </c>
      <c r="J26" t="s">
        <v>720</v>
      </c>
      <c r="K26" t="s">
        <v>727</v>
      </c>
      <c r="L26" t="s">
        <v>1057</v>
      </c>
      <c r="M26" s="8">
        <v>80.48</v>
      </c>
      <c r="N26" s="8">
        <v>65.650000000000006</v>
      </c>
      <c r="O26" s="8">
        <f t="shared" si="1"/>
        <v>65.650000000000006</v>
      </c>
      <c r="P26" s="11">
        <v>0.17599999999999999</v>
      </c>
      <c r="Q26" s="13">
        <v>13</v>
      </c>
      <c r="R26" s="8">
        <f t="shared" si="2"/>
        <v>703.2428000000001</v>
      </c>
      <c r="S26" s="8">
        <f t="shared" si="3"/>
        <v>1046.24</v>
      </c>
      <c r="T26" s="8">
        <f t="shared" si="4"/>
        <v>-342.99719999999991</v>
      </c>
      <c r="U26" s="11">
        <f t="shared" si="5"/>
        <v>-0.48773652570634191</v>
      </c>
      <c r="V26" s="17">
        <v>45523</v>
      </c>
      <c r="W26" s="4" t="str">
        <f t="shared" si="6"/>
        <v>Q1-2024</v>
      </c>
      <c r="X26" t="str">
        <f t="shared" si="9"/>
        <v>Americas → Brazil → São Paulo</v>
      </c>
      <c r="Y26" t="str">
        <f t="shared" si="7"/>
        <v>Low</v>
      </c>
      <c r="Z26" s="20">
        <f t="shared" si="8"/>
        <v>45323</v>
      </c>
      <c r="AA26" s="4">
        <f t="array" ref="AA26">MIN(IF($F$2:$F$633=F26,$Z$2:$Z$633))</f>
        <v>44927</v>
      </c>
      <c r="AB26">
        <f t="shared" si="10"/>
        <v>13</v>
      </c>
      <c r="AC26">
        <f t="shared" si="11"/>
        <v>0</v>
      </c>
      <c r="AD26">
        <f t="shared" si="12"/>
        <v>0</v>
      </c>
      <c r="AE26" s="13">
        <f t="shared" si="13"/>
        <v>0</v>
      </c>
      <c r="AH26">
        <f t="shared" si="14"/>
        <v>15.6</v>
      </c>
      <c r="AI26">
        <f t="shared" si="15"/>
        <v>92.551999999999992</v>
      </c>
      <c r="AJ26" s="11">
        <f t="shared" si="16"/>
        <v>0.17599999999999999</v>
      </c>
      <c r="AK26">
        <f t="shared" si="17"/>
        <v>843.89136000000019</v>
      </c>
      <c r="AL26">
        <f t="shared" si="18"/>
        <v>1443.8111999999999</v>
      </c>
      <c r="AM26">
        <f t="shared" si="19"/>
        <v>-599.91983999999968</v>
      </c>
    </row>
    <row r="27" spans="1:39" x14ac:dyDescent="0.25">
      <c r="A27" t="s">
        <v>351</v>
      </c>
      <c r="B27" s="4">
        <v>45340</v>
      </c>
      <c r="C27" s="4">
        <v>45354</v>
      </c>
      <c r="D27" s="13">
        <f t="shared" si="0"/>
        <v>14</v>
      </c>
      <c r="E27" s="6" t="s">
        <v>648</v>
      </c>
      <c r="F27" t="s">
        <v>655</v>
      </c>
      <c r="G27" t="s">
        <v>672</v>
      </c>
      <c r="H27" t="s">
        <v>706</v>
      </c>
      <c r="I27" t="s">
        <v>710</v>
      </c>
      <c r="J27" t="s">
        <v>720</v>
      </c>
      <c r="K27" t="s">
        <v>728</v>
      </c>
      <c r="L27" t="s">
        <v>1071</v>
      </c>
      <c r="M27" s="8">
        <v>624.23</v>
      </c>
      <c r="N27" s="8">
        <v>1318.37</v>
      </c>
      <c r="O27" s="8">
        <f t="shared" si="1"/>
        <v>1318.37</v>
      </c>
      <c r="P27" s="11">
        <v>0.21</v>
      </c>
      <c r="Q27" s="13">
        <v>37</v>
      </c>
      <c r="R27" s="8">
        <f t="shared" si="2"/>
        <v>38535.955099999999</v>
      </c>
      <c r="S27" s="8">
        <f t="shared" si="3"/>
        <v>23096.510000000002</v>
      </c>
      <c r="T27" s="8">
        <f t="shared" si="4"/>
        <v>15439.445099999997</v>
      </c>
      <c r="U27" s="11">
        <f t="shared" si="5"/>
        <v>0.40065038118128793</v>
      </c>
      <c r="V27" s="17">
        <v>45520</v>
      </c>
      <c r="W27" s="4" t="str">
        <f t="shared" si="6"/>
        <v>Q1-2024</v>
      </c>
      <c r="X27" t="str">
        <f t="shared" si="9"/>
        <v>Americas → Brazil → Brasília</v>
      </c>
      <c r="Y27" t="str">
        <f t="shared" si="7"/>
        <v>Medium</v>
      </c>
      <c r="Z27" s="20">
        <f t="shared" si="8"/>
        <v>45323</v>
      </c>
      <c r="AA27" s="4">
        <f t="array" ref="AA27">MIN(IF($F$2:$F$633=F27,$Z$2:$Z$633))</f>
        <v>44927</v>
      </c>
      <c r="AB27">
        <f t="shared" si="10"/>
        <v>13</v>
      </c>
      <c r="AC27">
        <f t="shared" si="11"/>
        <v>0</v>
      </c>
      <c r="AD27">
        <f t="shared" si="12"/>
        <v>1</v>
      </c>
      <c r="AE27" s="13">
        <f t="shared" si="13"/>
        <v>0</v>
      </c>
      <c r="AH27">
        <f t="shared" si="14"/>
        <v>44.4</v>
      </c>
      <c r="AI27">
        <f t="shared" si="15"/>
        <v>717.86450000000002</v>
      </c>
      <c r="AJ27" s="11">
        <f t="shared" si="16"/>
        <v>0.21</v>
      </c>
      <c r="AK27">
        <f t="shared" si="17"/>
        <v>46243.14611999999</v>
      </c>
      <c r="AL27">
        <f t="shared" si="18"/>
        <v>31873.183799999999</v>
      </c>
      <c r="AM27">
        <f t="shared" si="19"/>
        <v>14369.962319999991</v>
      </c>
    </row>
    <row r="28" spans="1:39" x14ac:dyDescent="0.25">
      <c r="A28" t="s">
        <v>507</v>
      </c>
      <c r="B28" s="4">
        <v>45351</v>
      </c>
      <c r="C28" s="4">
        <v>45352</v>
      </c>
      <c r="D28" s="13">
        <f t="shared" si="0"/>
        <v>1</v>
      </c>
      <c r="E28" s="6" t="s">
        <v>648</v>
      </c>
      <c r="F28" t="s">
        <v>655</v>
      </c>
      <c r="G28" t="s">
        <v>670</v>
      </c>
      <c r="H28" t="s">
        <v>703</v>
      </c>
      <c r="I28" t="s">
        <v>711</v>
      </c>
      <c r="J28" t="s">
        <v>714</v>
      </c>
      <c r="K28" t="s">
        <v>730</v>
      </c>
      <c r="L28" t="s">
        <v>1226</v>
      </c>
      <c r="M28" s="8">
        <v>5.34</v>
      </c>
      <c r="N28" s="8">
        <v>12.69</v>
      </c>
      <c r="O28" s="8">
        <f t="shared" si="1"/>
        <v>12.69</v>
      </c>
      <c r="P28" s="11">
        <v>0.13200000000000001</v>
      </c>
      <c r="Q28" s="13">
        <v>10</v>
      </c>
      <c r="R28" s="8">
        <f t="shared" si="2"/>
        <v>110.14919999999999</v>
      </c>
      <c r="S28" s="8">
        <f t="shared" si="3"/>
        <v>53.4</v>
      </c>
      <c r="T28" s="8">
        <f t="shared" si="4"/>
        <v>56.749199999999995</v>
      </c>
      <c r="U28" s="11">
        <f t="shared" si="5"/>
        <v>0.51520301554618642</v>
      </c>
      <c r="V28" s="17">
        <v>45519</v>
      </c>
      <c r="W28" s="4" t="str">
        <f t="shared" si="6"/>
        <v>Q1-2024</v>
      </c>
      <c r="X28" t="str">
        <f t="shared" si="9"/>
        <v>Americas → Brazil → São Paulo</v>
      </c>
      <c r="Y28" t="str">
        <f t="shared" si="7"/>
        <v>Low</v>
      </c>
      <c r="Z28" s="20">
        <f t="shared" si="8"/>
        <v>45323</v>
      </c>
      <c r="AA28" s="4">
        <f t="array" ref="AA28">MIN(IF($F$2:$F$633=F28,$Z$2:$Z$633))</f>
        <v>44927</v>
      </c>
      <c r="AB28">
        <f t="shared" si="10"/>
        <v>13</v>
      </c>
      <c r="AC28">
        <f t="shared" si="11"/>
        <v>1</v>
      </c>
      <c r="AD28">
        <f t="shared" si="12"/>
        <v>0</v>
      </c>
      <c r="AE28" s="13">
        <f t="shared" si="13"/>
        <v>1</v>
      </c>
      <c r="AH28">
        <f t="shared" si="14"/>
        <v>12</v>
      </c>
      <c r="AI28">
        <f t="shared" si="15"/>
        <v>6.1409999999999991</v>
      </c>
      <c r="AJ28" s="11">
        <f t="shared" si="16"/>
        <v>0.13200000000000001</v>
      </c>
      <c r="AK28">
        <f t="shared" si="17"/>
        <v>132.17903999999999</v>
      </c>
      <c r="AL28">
        <f t="shared" si="18"/>
        <v>73.691999999999993</v>
      </c>
      <c r="AM28">
        <f t="shared" si="19"/>
        <v>58.487039999999993</v>
      </c>
    </row>
    <row r="29" spans="1:39" x14ac:dyDescent="0.25">
      <c r="A29" t="s">
        <v>371</v>
      </c>
      <c r="B29" s="4">
        <v>45385</v>
      </c>
      <c r="C29" s="4">
        <v>45403</v>
      </c>
      <c r="D29" s="13">
        <f t="shared" si="0"/>
        <v>18</v>
      </c>
      <c r="E29" s="6" t="s">
        <v>648</v>
      </c>
      <c r="F29" t="s">
        <v>655</v>
      </c>
      <c r="G29" t="s">
        <v>672</v>
      </c>
      <c r="H29" t="s">
        <v>705</v>
      </c>
      <c r="I29" t="s">
        <v>710</v>
      </c>
      <c r="J29" t="s">
        <v>717</v>
      </c>
      <c r="K29" t="s">
        <v>729</v>
      </c>
      <c r="L29" t="s">
        <v>1091</v>
      </c>
      <c r="M29" s="8">
        <v>1176.69</v>
      </c>
      <c r="N29" s="8">
        <v>2201.54</v>
      </c>
      <c r="O29" s="8">
        <f t="shared" si="1"/>
        <v>2201.54</v>
      </c>
      <c r="P29" s="11">
        <v>0.17</v>
      </c>
      <c r="Q29" s="13">
        <v>27</v>
      </c>
      <c r="R29" s="8">
        <f t="shared" si="2"/>
        <v>49336.511399999996</v>
      </c>
      <c r="S29" s="8">
        <f t="shared" si="3"/>
        <v>31770.63</v>
      </c>
      <c r="T29" s="8">
        <f t="shared" si="4"/>
        <v>17565.881399999995</v>
      </c>
      <c r="U29" s="11">
        <f t="shared" si="5"/>
        <v>0.35604222717701106</v>
      </c>
      <c r="V29" s="17">
        <v>45471</v>
      </c>
      <c r="W29" s="4" t="str">
        <f t="shared" si="6"/>
        <v>Q2-2024</v>
      </c>
      <c r="X29" t="str">
        <f t="shared" si="9"/>
        <v>Americas → Brazil → Brasília</v>
      </c>
      <c r="Y29" t="str">
        <f t="shared" si="7"/>
        <v>High</v>
      </c>
      <c r="Z29" s="20">
        <f t="shared" si="8"/>
        <v>45383</v>
      </c>
      <c r="AA29" s="4">
        <f t="array" ref="AA29">MIN(IF($F$2:$F$633=F29,$Z$2:$Z$633))</f>
        <v>44927</v>
      </c>
      <c r="AB29">
        <f t="shared" si="10"/>
        <v>15</v>
      </c>
      <c r="AC29">
        <f t="shared" si="11"/>
        <v>0</v>
      </c>
      <c r="AD29">
        <f t="shared" si="12"/>
        <v>0</v>
      </c>
      <c r="AE29" s="13">
        <f t="shared" si="13"/>
        <v>0</v>
      </c>
      <c r="AH29">
        <f t="shared" si="14"/>
        <v>32.4</v>
      </c>
      <c r="AI29">
        <f t="shared" si="15"/>
        <v>1353.1934999999999</v>
      </c>
      <c r="AJ29" s="11">
        <f t="shared" si="16"/>
        <v>0.17</v>
      </c>
      <c r="AK29">
        <f t="shared" si="17"/>
        <v>59203.813679999992</v>
      </c>
      <c r="AL29">
        <f t="shared" si="18"/>
        <v>43843.469399999994</v>
      </c>
      <c r="AM29">
        <f t="shared" si="19"/>
        <v>15360.344279999998</v>
      </c>
    </row>
    <row r="30" spans="1:39" x14ac:dyDescent="0.25">
      <c r="A30" t="s">
        <v>177</v>
      </c>
      <c r="B30" s="4">
        <v>45385</v>
      </c>
      <c r="C30" s="4">
        <v>45389</v>
      </c>
      <c r="D30" s="13">
        <f t="shared" si="0"/>
        <v>4</v>
      </c>
      <c r="E30" s="6" t="s">
        <v>648</v>
      </c>
      <c r="F30" t="s">
        <v>655</v>
      </c>
      <c r="G30" t="s">
        <v>672</v>
      </c>
      <c r="H30" t="s">
        <v>703</v>
      </c>
      <c r="I30" t="s">
        <v>711</v>
      </c>
      <c r="J30" t="s">
        <v>725</v>
      </c>
      <c r="K30" t="s">
        <v>730</v>
      </c>
      <c r="L30" t="s">
        <v>896</v>
      </c>
      <c r="M30" s="8">
        <v>1023.27</v>
      </c>
      <c r="N30" s="8">
        <v>1343.64</v>
      </c>
      <c r="O30" s="8">
        <f t="shared" si="1"/>
        <v>1343.64</v>
      </c>
      <c r="P30" s="11">
        <v>0.13300000000000001</v>
      </c>
      <c r="Q30" s="13">
        <v>7</v>
      </c>
      <c r="R30" s="8">
        <f t="shared" si="2"/>
        <v>8154.5511600000009</v>
      </c>
      <c r="S30" s="8">
        <f t="shared" si="3"/>
        <v>7162.8899999999994</v>
      </c>
      <c r="T30" s="8">
        <f t="shared" si="4"/>
        <v>991.66116000000147</v>
      </c>
      <c r="U30" s="11">
        <f t="shared" si="5"/>
        <v>0.12160830688810116</v>
      </c>
      <c r="V30" s="17">
        <v>45466</v>
      </c>
      <c r="W30" s="4" t="str">
        <f t="shared" si="6"/>
        <v>Q2-2024</v>
      </c>
      <c r="X30" t="str">
        <f t="shared" si="9"/>
        <v>Americas → Brazil → Brasília</v>
      </c>
      <c r="Y30" t="str">
        <f t="shared" si="7"/>
        <v>Medium</v>
      </c>
      <c r="Z30" s="20">
        <f t="shared" si="8"/>
        <v>45383</v>
      </c>
      <c r="AA30" s="4">
        <f t="array" ref="AA30">MIN(IF($F$2:$F$633=F30,$Z$2:$Z$633))</f>
        <v>44927</v>
      </c>
      <c r="AB30">
        <f t="shared" si="10"/>
        <v>15</v>
      </c>
      <c r="AC30">
        <f t="shared" si="11"/>
        <v>1</v>
      </c>
      <c r="AD30">
        <f t="shared" si="12"/>
        <v>0</v>
      </c>
      <c r="AE30" s="13">
        <f t="shared" si="13"/>
        <v>1</v>
      </c>
      <c r="AH30">
        <f t="shared" si="14"/>
        <v>8.4</v>
      </c>
      <c r="AI30">
        <f t="shared" si="15"/>
        <v>1176.7604999999999</v>
      </c>
      <c r="AJ30" s="11">
        <f t="shared" si="16"/>
        <v>0.13300000000000001</v>
      </c>
      <c r="AK30">
        <f t="shared" si="17"/>
        <v>9785.4613920000011</v>
      </c>
      <c r="AL30">
        <f t="shared" si="18"/>
        <v>9884.7881999999991</v>
      </c>
      <c r="AM30">
        <f t="shared" si="19"/>
        <v>-99.326807999997982</v>
      </c>
    </row>
    <row r="31" spans="1:39" x14ac:dyDescent="0.25">
      <c r="A31" t="s">
        <v>203</v>
      </c>
      <c r="B31" s="4">
        <v>45431</v>
      </c>
      <c r="C31" s="4">
        <v>45451</v>
      </c>
      <c r="D31" s="13">
        <f t="shared" si="0"/>
        <v>20</v>
      </c>
      <c r="E31" s="6" t="s">
        <v>648</v>
      </c>
      <c r="F31" t="s">
        <v>655</v>
      </c>
      <c r="G31" t="s">
        <v>672</v>
      </c>
      <c r="H31" t="s">
        <v>705</v>
      </c>
      <c r="I31" t="s">
        <v>707</v>
      </c>
      <c r="J31" t="s">
        <v>718</v>
      </c>
      <c r="K31" t="s">
        <v>732</v>
      </c>
      <c r="L31" t="s">
        <v>923</v>
      </c>
      <c r="M31" s="8">
        <v>1075.9000000000001</v>
      </c>
      <c r="N31" s="8">
        <v>1242.1500000000001</v>
      </c>
      <c r="O31" s="8">
        <f t="shared" si="1"/>
        <v>1242.1500000000001</v>
      </c>
      <c r="P31" s="11">
        <v>1.2E-2</v>
      </c>
      <c r="Q31" s="13">
        <v>7</v>
      </c>
      <c r="R31" s="8">
        <f t="shared" si="2"/>
        <v>8590.7094000000016</v>
      </c>
      <c r="S31" s="8">
        <f t="shared" si="3"/>
        <v>7531.3000000000011</v>
      </c>
      <c r="T31" s="8">
        <f t="shared" si="4"/>
        <v>1059.4094000000005</v>
      </c>
      <c r="U31" s="11">
        <f t="shared" si="5"/>
        <v>0.12332036280961853</v>
      </c>
      <c r="V31" s="17">
        <v>45433</v>
      </c>
      <c r="W31" s="4" t="str">
        <f t="shared" si="6"/>
        <v>Q2-2024</v>
      </c>
      <c r="X31" t="str">
        <f t="shared" si="9"/>
        <v>Americas → Brazil → Brasília</v>
      </c>
      <c r="Y31" t="str">
        <f t="shared" si="7"/>
        <v>Medium</v>
      </c>
      <c r="Z31" s="20">
        <f t="shared" si="8"/>
        <v>45413</v>
      </c>
      <c r="AA31" s="4">
        <f t="array" ref="AA31">MIN(IF($F$2:$F$633=F31,$Z$2:$Z$633))</f>
        <v>44927</v>
      </c>
      <c r="AB31">
        <f t="shared" si="10"/>
        <v>16</v>
      </c>
      <c r="AC31">
        <f t="shared" si="11"/>
        <v>0</v>
      </c>
      <c r="AD31">
        <f t="shared" si="12"/>
        <v>0</v>
      </c>
      <c r="AE31" s="13">
        <f t="shared" si="13"/>
        <v>0</v>
      </c>
      <c r="AH31">
        <f t="shared" si="14"/>
        <v>8.4</v>
      </c>
      <c r="AI31">
        <f t="shared" si="15"/>
        <v>1237.2850000000001</v>
      </c>
      <c r="AJ31" s="11">
        <f t="shared" si="16"/>
        <v>1.2E-2</v>
      </c>
      <c r="AK31">
        <f t="shared" si="17"/>
        <v>10308.851280000001</v>
      </c>
      <c r="AL31">
        <f t="shared" si="18"/>
        <v>10393.194000000001</v>
      </c>
      <c r="AM31">
        <f t="shared" si="19"/>
        <v>-84.342720000000554</v>
      </c>
    </row>
    <row r="32" spans="1:39" x14ac:dyDescent="0.25">
      <c r="A32" t="s">
        <v>325</v>
      </c>
      <c r="B32" s="4">
        <v>45435</v>
      </c>
      <c r="C32" s="4">
        <v>45449</v>
      </c>
      <c r="D32" s="13">
        <f t="shared" si="0"/>
        <v>14</v>
      </c>
      <c r="E32" s="6" t="s">
        <v>648</v>
      </c>
      <c r="F32" t="s">
        <v>655</v>
      </c>
      <c r="G32" t="s">
        <v>692</v>
      </c>
      <c r="H32" t="s">
        <v>703</v>
      </c>
      <c r="I32" t="s">
        <v>708</v>
      </c>
      <c r="J32" t="s">
        <v>714</v>
      </c>
      <c r="K32" t="s">
        <v>729</v>
      </c>
      <c r="L32" t="s">
        <v>1045</v>
      </c>
      <c r="M32" s="8">
        <v>51.13</v>
      </c>
      <c r="N32" s="8">
        <v>57.53</v>
      </c>
      <c r="O32" s="8">
        <f t="shared" si="1"/>
        <v>57.53</v>
      </c>
      <c r="P32" s="11">
        <v>4.4999999999999998E-2</v>
      </c>
      <c r="Q32" s="13">
        <v>16</v>
      </c>
      <c r="R32" s="8">
        <f t="shared" si="2"/>
        <v>879.05840000000001</v>
      </c>
      <c r="S32" s="8">
        <f t="shared" si="3"/>
        <v>818.08</v>
      </c>
      <c r="T32" s="8">
        <f t="shared" si="4"/>
        <v>60.978399999999965</v>
      </c>
      <c r="U32" s="11">
        <f t="shared" si="5"/>
        <v>6.9367859973808302E-2</v>
      </c>
      <c r="V32" s="17">
        <v>45424</v>
      </c>
      <c r="W32" s="4" t="str">
        <f t="shared" si="6"/>
        <v>Q2-2024</v>
      </c>
      <c r="X32" t="str">
        <f t="shared" si="9"/>
        <v>Americas → Brazil → Rio de Janeiro</v>
      </c>
      <c r="Y32" t="str">
        <f t="shared" si="7"/>
        <v>Low</v>
      </c>
      <c r="Z32" s="20">
        <f t="shared" si="8"/>
        <v>45413</v>
      </c>
      <c r="AA32" s="4">
        <f t="array" ref="AA32">MIN(IF($F$2:$F$633=F32,$Z$2:$Z$633))</f>
        <v>44927</v>
      </c>
      <c r="AB32">
        <f t="shared" si="10"/>
        <v>16</v>
      </c>
      <c r="AC32">
        <f t="shared" si="11"/>
        <v>0</v>
      </c>
      <c r="AD32">
        <f t="shared" si="12"/>
        <v>0</v>
      </c>
      <c r="AE32" s="13">
        <f t="shared" si="13"/>
        <v>0</v>
      </c>
      <c r="AH32">
        <f t="shared" si="14"/>
        <v>19.2</v>
      </c>
      <c r="AI32">
        <f t="shared" si="15"/>
        <v>58.799500000000002</v>
      </c>
      <c r="AJ32" s="11">
        <f t="shared" si="16"/>
        <v>4.4999999999999998E-2</v>
      </c>
      <c r="AK32">
        <f t="shared" si="17"/>
        <v>1054.8700799999999</v>
      </c>
      <c r="AL32">
        <f t="shared" si="18"/>
        <v>1128.9503999999999</v>
      </c>
      <c r="AM32">
        <f t="shared" si="19"/>
        <v>-74.080320000000029</v>
      </c>
    </row>
    <row r="33" spans="1:39" x14ac:dyDescent="0.25">
      <c r="A33" t="s">
        <v>92</v>
      </c>
      <c r="B33" s="4">
        <v>45471</v>
      </c>
      <c r="C33" s="4">
        <v>45473</v>
      </c>
      <c r="D33" s="13">
        <f t="shared" si="0"/>
        <v>2</v>
      </c>
      <c r="E33" s="6" t="s">
        <v>648</v>
      </c>
      <c r="F33" t="s">
        <v>655</v>
      </c>
      <c r="G33" t="s">
        <v>692</v>
      </c>
      <c r="H33" t="s">
        <v>705</v>
      </c>
      <c r="I33" t="s">
        <v>711</v>
      </c>
      <c r="J33" t="s">
        <v>716</v>
      </c>
      <c r="K33" t="s">
        <v>733</v>
      </c>
      <c r="L33" t="s">
        <v>811</v>
      </c>
      <c r="M33" s="8">
        <v>1112.98</v>
      </c>
      <c r="N33" s="8">
        <v>2095.73</v>
      </c>
      <c r="O33" s="8">
        <f t="shared" si="1"/>
        <v>2095.73</v>
      </c>
      <c r="P33" s="11">
        <v>7.1999999999999995E-2</v>
      </c>
      <c r="Q33" s="13">
        <v>17</v>
      </c>
      <c r="R33" s="8">
        <f t="shared" si="2"/>
        <v>33062.236480000007</v>
      </c>
      <c r="S33" s="8">
        <f t="shared" si="3"/>
        <v>18920.66</v>
      </c>
      <c r="T33" s="8">
        <f t="shared" si="4"/>
        <v>14141.576480000007</v>
      </c>
      <c r="U33" s="11">
        <f t="shared" si="5"/>
        <v>0.42772594916724777</v>
      </c>
      <c r="V33" s="17">
        <v>45361</v>
      </c>
      <c r="W33" s="4" t="str">
        <f t="shared" si="6"/>
        <v>Q2-2024</v>
      </c>
      <c r="X33" t="str">
        <f t="shared" si="9"/>
        <v>Americas → Brazil → Rio de Janeiro</v>
      </c>
      <c r="Y33" t="str">
        <f t="shared" si="7"/>
        <v>High</v>
      </c>
      <c r="Z33" s="20">
        <f t="shared" si="8"/>
        <v>45444</v>
      </c>
      <c r="AA33" s="4">
        <f t="array" ref="AA33">MIN(IF($F$2:$F$633=F33,$Z$2:$Z$633))</f>
        <v>44927</v>
      </c>
      <c r="AB33">
        <f t="shared" si="10"/>
        <v>17</v>
      </c>
      <c r="AC33">
        <f t="shared" si="11"/>
        <v>1</v>
      </c>
      <c r="AD33">
        <f t="shared" si="12"/>
        <v>0</v>
      </c>
      <c r="AE33" s="13">
        <f t="shared" si="13"/>
        <v>1</v>
      </c>
      <c r="AH33">
        <f t="shared" si="14"/>
        <v>20.399999999999999</v>
      </c>
      <c r="AI33">
        <f t="shared" si="15"/>
        <v>1279.9269999999999</v>
      </c>
      <c r="AJ33" s="11">
        <f t="shared" si="16"/>
        <v>7.1999999999999995E-2</v>
      </c>
      <c r="AK33">
        <f t="shared" si="17"/>
        <v>39674.683776000005</v>
      </c>
      <c r="AL33">
        <f t="shared" si="18"/>
        <v>26110.510799999996</v>
      </c>
      <c r="AM33">
        <f t="shared" si="19"/>
        <v>13564.172976000009</v>
      </c>
    </row>
    <row r="34" spans="1:39" x14ac:dyDescent="0.25">
      <c r="A34" t="s">
        <v>40</v>
      </c>
      <c r="B34" s="4">
        <v>45473</v>
      </c>
      <c r="C34" s="4">
        <v>45487</v>
      </c>
      <c r="D34" s="13">
        <f t="shared" si="0"/>
        <v>14</v>
      </c>
      <c r="E34" s="6" t="s">
        <v>648</v>
      </c>
      <c r="F34" t="s">
        <v>655</v>
      </c>
      <c r="G34" t="s">
        <v>672</v>
      </c>
      <c r="H34" t="s">
        <v>702</v>
      </c>
      <c r="I34" t="s">
        <v>707</v>
      </c>
      <c r="J34" t="s">
        <v>712</v>
      </c>
      <c r="K34" t="s">
        <v>733</v>
      </c>
      <c r="L34" t="s">
        <v>759</v>
      </c>
      <c r="M34" s="8">
        <v>1491.85</v>
      </c>
      <c r="N34" s="8">
        <v>2583.02</v>
      </c>
      <c r="O34" s="8">
        <f t="shared" si="1"/>
        <v>2583.02</v>
      </c>
      <c r="P34" s="11">
        <v>0.16800000000000001</v>
      </c>
      <c r="Q34" s="13">
        <v>4</v>
      </c>
      <c r="R34" s="8">
        <f t="shared" si="2"/>
        <v>8596.2905599999995</v>
      </c>
      <c r="S34" s="8">
        <f t="shared" si="3"/>
        <v>5967.4</v>
      </c>
      <c r="T34" s="8">
        <f t="shared" si="4"/>
        <v>2628.8905599999998</v>
      </c>
      <c r="U34" s="11">
        <f t="shared" si="5"/>
        <v>0.30581685689321325</v>
      </c>
      <c r="V34" s="17">
        <v>45362</v>
      </c>
      <c r="W34" s="4" t="str">
        <f t="shared" si="6"/>
        <v>Q2-2024</v>
      </c>
      <c r="X34" t="str">
        <f t="shared" si="9"/>
        <v>Americas → Brazil → Brasília</v>
      </c>
      <c r="Y34" t="str">
        <f t="shared" si="7"/>
        <v>High</v>
      </c>
      <c r="Z34" s="20">
        <f t="shared" si="8"/>
        <v>45444</v>
      </c>
      <c r="AA34" s="4">
        <f t="array" ref="AA34">MIN(IF($F$2:$F$633=F34,$Z$2:$Z$633))</f>
        <v>44927</v>
      </c>
      <c r="AB34">
        <f t="shared" si="10"/>
        <v>17</v>
      </c>
      <c r="AC34">
        <f t="shared" si="11"/>
        <v>0</v>
      </c>
      <c r="AD34">
        <f t="shared" si="12"/>
        <v>0</v>
      </c>
      <c r="AE34" s="13">
        <f t="shared" si="13"/>
        <v>0</v>
      </c>
      <c r="AH34">
        <f t="shared" si="14"/>
        <v>4.8</v>
      </c>
      <c r="AI34">
        <f t="shared" si="15"/>
        <v>1715.6274999999998</v>
      </c>
      <c r="AJ34" s="11">
        <f t="shared" si="16"/>
        <v>0.16800000000000001</v>
      </c>
      <c r="AK34">
        <f t="shared" si="17"/>
        <v>10315.548671999999</v>
      </c>
      <c r="AL34">
        <f t="shared" si="18"/>
        <v>8235.0119999999988</v>
      </c>
      <c r="AM34">
        <f t="shared" si="19"/>
        <v>2080.5366720000002</v>
      </c>
    </row>
    <row r="35" spans="1:39" x14ac:dyDescent="0.25">
      <c r="A35" t="s">
        <v>563</v>
      </c>
      <c r="B35" s="4">
        <v>45486</v>
      </c>
      <c r="C35" s="4">
        <v>45507</v>
      </c>
      <c r="D35" s="13">
        <f t="shared" si="0"/>
        <v>21</v>
      </c>
      <c r="E35" s="6" t="s">
        <v>648</v>
      </c>
      <c r="F35" t="s">
        <v>655</v>
      </c>
      <c r="G35" t="s">
        <v>692</v>
      </c>
      <c r="H35" t="s">
        <v>701</v>
      </c>
      <c r="I35" t="s">
        <v>709</v>
      </c>
      <c r="J35" t="s">
        <v>724</v>
      </c>
      <c r="K35" t="s">
        <v>732</v>
      </c>
      <c r="L35" t="s">
        <v>1281</v>
      </c>
      <c r="M35" s="8">
        <v>702.98</v>
      </c>
      <c r="N35" s="8">
        <v>1104.8</v>
      </c>
      <c r="O35" s="8">
        <f t="shared" si="1"/>
        <v>1104.8</v>
      </c>
      <c r="P35" s="11">
        <v>0.17499999999999999</v>
      </c>
      <c r="Q35" s="13">
        <v>12</v>
      </c>
      <c r="R35" s="8">
        <f t="shared" si="2"/>
        <v>10937.519999999999</v>
      </c>
      <c r="S35" s="8">
        <f t="shared" si="3"/>
        <v>8435.76</v>
      </c>
      <c r="T35" s="8">
        <f t="shared" si="4"/>
        <v>2501.7599999999984</v>
      </c>
      <c r="U35" s="11">
        <f t="shared" si="5"/>
        <v>0.22873192460448061</v>
      </c>
      <c r="V35" s="17">
        <v>45374</v>
      </c>
      <c r="W35" s="4" t="str">
        <f t="shared" si="6"/>
        <v>Q3-2024</v>
      </c>
      <c r="X35" t="str">
        <f t="shared" si="9"/>
        <v>Americas → Brazil → Rio de Janeiro</v>
      </c>
      <c r="Y35" t="str">
        <f t="shared" si="7"/>
        <v>Medium</v>
      </c>
      <c r="Z35" s="20">
        <f t="shared" si="8"/>
        <v>45474</v>
      </c>
      <c r="AA35" s="4">
        <f t="array" ref="AA35">MIN(IF($F$2:$F$633=F35,$Z$2:$Z$633))</f>
        <v>44927</v>
      </c>
      <c r="AB35">
        <f t="shared" si="10"/>
        <v>18</v>
      </c>
      <c r="AC35">
        <f t="shared" si="11"/>
        <v>0</v>
      </c>
      <c r="AD35">
        <f t="shared" si="12"/>
        <v>0</v>
      </c>
      <c r="AE35" s="13">
        <f t="shared" si="13"/>
        <v>0</v>
      </c>
      <c r="AH35">
        <f t="shared" si="14"/>
        <v>14.399999999999999</v>
      </c>
      <c r="AI35">
        <f t="shared" si="15"/>
        <v>808.42699999999991</v>
      </c>
      <c r="AJ35" s="11">
        <f t="shared" si="16"/>
        <v>0.17499999999999999</v>
      </c>
      <c r="AK35">
        <f t="shared" si="17"/>
        <v>13125.023999999998</v>
      </c>
      <c r="AL35">
        <f t="shared" si="18"/>
        <v>11641.348799999998</v>
      </c>
      <c r="AM35">
        <f t="shared" si="19"/>
        <v>1483.6751999999997</v>
      </c>
    </row>
    <row r="36" spans="1:39" x14ac:dyDescent="0.25">
      <c r="A36" t="s">
        <v>613</v>
      </c>
      <c r="B36" s="4">
        <v>45519</v>
      </c>
      <c r="C36" s="4">
        <v>45521</v>
      </c>
      <c r="D36" s="13">
        <f t="shared" si="0"/>
        <v>2</v>
      </c>
      <c r="E36" s="6" t="s">
        <v>648</v>
      </c>
      <c r="F36" t="s">
        <v>655</v>
      </c>
      <c r="G36" t="s">
        <v>692</v>
      </c>
      <c r="H36" t="s">
        <v>704</v>
      </c>
      <c r="I36" t="s">
        <v>711</v>
      </c>
      <c r="J36" t="s">
        <v>724</v>
      </c>
      <c r="K36" t="s">
        <v>732</v>
      </c>
      <c r="L36" t="s">
        <v>1331</v>
      </c>
      <c r="M36" s="8">
        <v>165.3</v>
      </c>
      <c r="N36" s="8">
        <v>275.07</v>
      </c>
      <c r="O36" s="8">
        <f t="shared" si="1"/>
        <v>275.07</v>
      </c>
      <c r="P36" s="11">
        <v>0.13300000000000001</v>
      </c>
      <c r="Q36" s="13">
        <v>25</v>
      </c>
      <c r="R36" s="8">
        <f t="shared" si="2"/>
        <v>5962.1422499999999</v>
      </c>
      <c r="S36" s="8">
        <f t="shared" si="3"/>
        <v>4132.5</v>
      </c>
      <c r="T36" s="8">
        <f t="shared" si="4"/>
        <v>1829.6422499999999</v>
      </c>
      <c r="U36" s="11">
        <f t="shared" si="5"/>
        <v>0.30687665159280625</v>
      </c>
      <c r="V36" s="17">
        <v>45340</v>
      </c>
      <c r="W36" s="4" t="str">
        <f t="shared" si="6"/>
        <v>Q3-2024</v>
      </c>
      <c r="X36" t="str">
        <f t="shared" si="9"/>
        <v>Americas → Brazil → Rio de Janeiro</v>
      </c>
      <c r="Y36" t="str">
        <f t="shared" si="7"/>
        <v>Low</v>
      </c>
      <c r="Z36" s="20">
        <f t="shared" si="8"/>
        <v>45505</v>
      </c>
      <c r="AA36" s="4">
        <f t="array" ref="AA36">MIN(IF($F$2:$F$633=F36,$Z$2:$Z$633))</f>
        <v>44927</v>
      </c>
      <c r="AB36">
        <f t="shared" si="10"/>
        <v>19</v>
      </c>
      <c r="AC36">
        <f t="shared" si="11"/>
        <v>1</v>
      </c>
      <c r="AD36">
        <f t="shared" si="12"/>
        <v>0</v>
      </c>
      <c r="AE36" s="13">
        <f t="shared" si="13"/>
        <v>1</v>
      </c>
      <c r="AH36">
        <f t="shared" si="14"/>
        <v>30</v>
      </c>
      <c r="AI36">
        <f t="shared" si="15"/>
        <v>190.095</v>
      </c>
      <c r="AJ36" s="11">
        <f t="shared" si="16"/>
        <v>0.13300000000000001</v>
      </c>
      <c r="AK36">
        <f t="shared" si="17"/>
        <v>7154.5707000000002</v>
      </c>
      <c r="AL36">
        <f t="shared" si="18"/>
        <v>5702.85</v>
      </c>
      <c r="AM36">
        <f t="shared" si="19"/>
        <v>1451.7206999999999</v>
      </c>
    </row>
    <row r="37" spans="1:39" x14ac:dyDescent="0.25">
      <c r="A37" t="s">
        <v>91</v>
      </c>
      <c r="B37" s="4">
        <v>45532</v>
      </c>
      <c r="C37" s="4">
        <v>45560</v>
      </c>
      <c r="D37" s="13">
        <f t="shared" si="0"/>
        <v>28</v>
      </c>
      <c r="E37" s="6" t="s">
        <v>648</v>
      </c>
      <c r="F37" t="s">
        <v>655</v>
      </c>
      <c r="G37" t="s">
        <v>692</v>
      </c>
      <c r="H37" t="s">
        <v>703</v>
      </c>
      <c r="I37" t="s">
        <v>708</v>
      </c>
      <c r="J37" t="s">
        <v>1422</v>
      </c>
      <c r="K37" t="s">
        <v>733</v>
      </c>
      <c r="L37" t="s">
        <v>810</v>
      </c>
      <c r="M37" s="8">
        <v>1394.65</v>
      </c>
      <c r="N37" s="8">
        <v>3144.1</v>
      </c>
      <c r="O37" s="8">
        <f t="shared" si="1"/>
        <v>3144.1</v>
      </c>
      <c r="P37" s="11">
        <v>0.13400000000000001</v>
      </c>
      <c r="Q37" s="13">
        <v>13</v>
      </c>
      <c r="R37" s="8">
        <f t="shared" si="2"/>
        <v>35396.277799999996</v>
      </c>
      <c r="S37" s="8">
        <f t="shared" si="3"/>
        <v>18130.45</v>
      </c>
      <c r="T37" s="8">
        <f t="shared" si="4"/>
        <v>17265.827799999995</v>
      </c>
      <c r="U37" s="11">
        <f t="shared" si="5"/>
        <v>0.4877865378263021</v>
      </c>
      <c r="V37" s="17">
        <v>45311</v>
      </c>
      <c r="W37" s="4" t="str">
        <f t="shared" si="6"/>
        <v>Q3-2024</v>
      </c>
      <c r="X37" t="str">
        <f t="shared" si="9"/>
        <v>Americas → Brazil → Rio de Janeiro</v>
      </c>
      <c r="Y37" t="str">
        <f t="shared" si="7"/>
        <v>High</v>
      </c>
      <c r="Z37" s="20">
        <f t="shared" si="8"/>
        <v>45505</v>
      </c>
      <c r="AA37" s="4">
        <f t="array" ref="AA37">MIN(IF($F$2:$F$633=F37,$Z$2:$Z$633))</f>
        <v>44927</v>
      </c>
      <c r="AB37">
        <f t="shared" si="10"/>
        <v>19</v>
      </c>
      <c r="AC37">
        <f t="shared" si="11"/>
        <v>0</v>
      </c>
      <c r="AD37">
        <f t="shared" si="12"/>
        <v>0</v>
      </c>
      <c r="AE37" s="13">
        <f t="shared" si="13"/>
        <v>0</v>
      </c>
      <c r="AH37">
        <f t="shared" si="14"/>
        <v>15.6</v>
      </c>
      <c r="AI37">
        <f t="shared" si="15"/>
        <v>1603.8475000000001</v>
      </c>
      <c r="AJ37" s="11">
        <f t="shared" si="16"/>
        <v>0.13400000000000001</v>
      </c>
      <c r="AK37">
        <f t="shared" si="17"/>
        <v>42475.533360000001</v>
      </c>
      <c r="AL37">
        <f t="shared" si="18"/>
        <v>25020.021000000001</v>
      </c>
      <c r="AM37">
        <f t="shared" si="19"/>
        <v>17455.512360000001</v>
      </c>
    </row>
    <row r="38" spans="1:39" x14ac:dyDescent="0.25">
      <c r="A38" t="s">
        <v>338</v>
      </c>
      <c r="B38" s="4">
        <v>45544</v>
      </c>
      <c r="C38" s="4">
        <v>45573</v>
      </c>
      <c r="D38" s="13">
        <f t="shared" si="0"/>
        <v>29</v>
      </c>
      <c r="E38" s="6" t="s">
        <v>648</v>
      </c>
      <c r="F38" t="s">
        <v>655</v>
      </c>
      <c r="G38" t="s">
        <v>670</v>
      </c>
      <c r="H38" t="s">
        <v>702</v>
      </c>
      <c r="I38" t="s">
        <v>711</v>
      </c>
      <c r="J38" t="s">
        <v>713</v>
      </c>
      <c r="K38" t="s">
        <v>727</v>
      </c>
      <c r="L38" t="s">
        <v>1058</v>
      </c>
      <c r="M38" s="8">
        <v>1010.33</v>
      </c>
      <c r="N38" s="8">
        <v>2492.14</v>
      </c>
      <c r="O38" s="8">
        <f t="shared" si="1"/>
        <v>2492.14</v>
      </c>
      <c r="P38" s="11">
        <v>5.0999999999999997E-2</v>
      </c>
      <c r="Q38" s="13">
        <v>11</v>
      </c>
      <c r="R38" s="8">
        <f t="shared" si="2"/>
        <v>26015.449459999996</v>
      </c>
      <c r="S38" s="8">
        <f t="shared" si="3"/>
        <v>11113.630000000001</v>
      </c>
      <c r="T38" s="8">
        <f t="shared" si="4"/>
        <v>14901.819459999995</v>
      </c>
      <c r="U38" s="11">
        <f t="shared" si="5"/>
        <v>0.57280653493656752</v>
      </c>
      <c r="V38" s="17">
        <v>45303</v>
      </c>
      <c r="W38" s="4" t="str">
        <f t="shared" si="6"/>
        <v>Q3-2024</v>
      </c>
      <c r="X38" t="str">
        <f t="shared" si="9"/>
        <v>Americas → Brazil → São Paulo</v>
      </c>
      <c r="Y38" t="str">
        <f t="shared" si="7"/>
        <v>High</v>
      </c>
      <c r="Z38" s="20">
        <f t="shared" si="8"/>
        <v>45536</v>
      </c>
      <c r="AA38" s="4">
        <f t="array" ref="AA38">MIN(IF($F$2:$F$633=F38,$Z$2:$Z$633))</f>
        <v>44927</v>
      </c>
      <c r="AB38">
        <f t="shared" si="10"/>
        <v>20</v>
      </c>
      <c r="AC38">
        <f t="shared" si="11"/>
        <v>0</v>
      </c>
      <c r="AD38">
        <f t="shared" si="12"/>
        <v>0</v>
      </c>
      <c r="AE38" s="13">
        <f t="shared" si="13"/>
        <v>0</v>
      </c>
      <c r="AH38">
        <f t="shared" si="14"/>
        <v>13.2</v>
      </c>
      <c r="AI38">
        <f t="shared" si="15"/>
        <v>1161.8795</v>
      </c>
      <c r="AJ38" s="11">
        <f t="shared" si="16"/>
        <v>5.0999999999999997E-2</v>
      </c>
      <c r="AK38">
        <f t="shared" si="17"/>
        <v>31218.539352</v>
      </c>
      <c r="AL38">
        <f t="shared" si="18"/>
        <v>15336.8094</v>
      </c>
      <c r="AM38">
        <f t="shared" si="19"/>
        <v>15881.729952</v>
      </c>
    </row>
    <row r="39" spans="1:39" x14ac:dyDescent="0.25">
      <c r="A39" t="s">
        <v>233</v>
      </c>
      <c r="B39" s="4">
        <v>45554</v>
      </c>
      <c r="C39" s="4">
        <v>45579</v>
      </c>
      <c r="D39" s="13">
        <f t="shared" si="0"/>
        <v>25</v>
      </c>
      <c r="E39" s="6" t="s">
        <v>648</v>
      </c>
      <c r="F39" t="s">
        <v>655</v>
      </c>
      <c r="G39" t="s">
        <v>692</v>
      </c>
      <c r="H39" t="s">
        <v>705</v>
      </c>
      <c r="I39" t="s">
        <v>707</v>
      </c>
      <c r="J39" t="s">
        <v>723</v>
      </c>
      <c r="K39" t="s">
        <v>728</v>
      </c>
      <c r="L39" t="s">
        <v>953</v>
      </c>
      <c r="M39" s="8">
        <v>386.96</v>
      </c>
      <c r="N39" s="8">
        <v>937.46</v>
      </c>
      <c r="O39" s="8">
        <f t="shared" si="1"/>
        <v>937.46</v>
      </c>
      <c r="P39" s="11">
        <v>0.26600000000000001</v>
      </c>
      <c r="Q39" s="13">
        <v>41</v>
      </c>
      <c r="R39" s="8">
        <f t="shared" si="2"/>
        <v>28211.92124</v>
      </c>
      <c r="S39" s="8">
        <f t="shared" si="3"/>
        <v>15865.359999999999</v>
      </c>
      <c r="T39" s="8">
        <f t="shared" si="4"/>
        <v>12346.561240000001</v>
      </c>
      <c r="U39" s="11">
        <f t="shared" si="5"/>
        <v>0.43763631462626335</v>
      </c>
      <c r="V39" s="17">
        <v>45312</v>
      </c>
      <c r="W39" s="4" t="str">
        <f t="shared" si="6"/>
        <v>Q3-2024</v>
      </c>
      <c r="X39" t="str">
        <f t="shared" si="9"/>
        <v>Americas → Brazil → Rio de Janeiro</v>
      </c>
      <c r="Y39" t="str">
        <f t="shared" si="7"/>
        <v>Medium</v>
      </c>
      <c r="Z39" s="20">
        <f t="shared" si="8"/>
        <v>45536</v>
      </c>
      <c r="AA39" s="4">
        <f t="array" ref="AA39">MIN(IF($F$2:$F$633=F39,$Z$2:$Z$633))</f>
        <v>44927</v>
      </c>
      <c r="AB39">
        <f t="shared" si="10"/>
        <v>20</v>
      </c>
      <c r="AC39">
        <f t="shared" si="11"/>
        <v>0</v>
      </c>
      <c r="AD39">
        <f t="shared" si="12"/>
        <v>1</v>
      </c>
      <c r="AE39" s="13">
        <f t="shared" si="13"/>
        <v>0</v>
      </c>
      <c r="AH39">
        <f t="shared" si="14"/>
        <v>49.199999999999996</v>
      </c>
      <c r="AI39">
        <f t="shared" si="15"/>
        <v>445.00399999999996</v>
      </c>
      <c r="AJ39" s="11">
        <f t="shared" si="16"/>
        <v>0.25</v>
      </c>
      <c r="AK39">
        <f t="shared" si="17"/>
        <v>34592.273999999998</v>
      </c>
      <c r="AL39">
        <f t="shared" si="18"/>
        <v>21894.196799999998</v>
      </c>
      <c r="AM39">
        <f t="shared" si="19"/>
        <v>12698.0772</v>
      </c>
    </row>
    <row r="40" spans="1:39" x14ac:dyDescent="0.25">
      <c r="A40" t="s">
        <v>209</v>
      </c>
      <c r="B40" s="4">
        <v>45557</v>
      </c>
      <c r="C40" s="4">
        <v>45566</v>
      </c>
      <c r="D40" s="13">
        <f t="shared" si="0"/>
        <v>9</v>
      </c>
      <c r="E40" s="6" t="s">
        <v>648</v>
      </c>
      <c r="F40" t="s">
        <v>655</v>
      </c>
      <c r="G40" t="s">
        <v>670</v>
      </c>
      <c r="H40" t="s">
        <v>703</v>
      </c>
      <c r="I40" t="s">
        <v>708</v>
      </c>
      <c r="J40" t="s">
        <v>723</v>
      </c>
      <c r="K40" t="s">
        <v>732</v>
      </c>
      <c r="L40" t="s">
        <v>929</v>
      </c>
      <c r="M40" s="8">
        <v>1378.8</v>
      </c>
      <c r="N40" s="8">
        <v>1952.04</v>
      </c>
      <c r="O40" s="8">
        <f t="shared" si="1"/>
        <v>1952.04</v>
      </c>
      <c r="P40" s="11">
        <v>0.159</v>
      </c>
      <c r="Q40" s="13">
        <v>19</v>
      </c>
      <c r="R40" s="8">
        <f t="shared" si="2"/>
        <v>31191.64716</v>
      </c>
      <c r="S40" s="8">
        <f t="shared" si="3"/>
        <v>26197.200000000001</v>
      </c>
      <c r="T40" s="8">
        <f t="shared" si="4"/>
        <v>4994.4471599999997</v>
      </c>
      <c r="U40" s="11">
        <f t="shared" si="5"/>
        <v>0.16012130216723058</v>
      </c>
      <c r="V40" s="17">
        <v>45301</v>
      </c>
      <c r="W40" s="4" t="str">
        <f t="shared" si="6"/>
        <v>Q3-2024</v>
      </c>
      <c r="X40" t="str">
        <f t="shared" si="9"/>
        <v>Americas → Brazil → São Paulo</v>
      </c>
      <c r="Y40" t="str">
        <f t="shared" si="7"/>
        <v>High</v>
      </c>
      <c r="Z40" s="20">
        <f t="shared" si="8"/>
        <v>45536</v>
      </c>
      <c r="AA40" s="4">
        <f t="array" ref="AA40">MIN(IF($F$2:$F$633=F40,$Z$2:$Z$633))</f>
        <v>44927</v>
      </c>
      <c r="AB40">
        <f t="shared" si="10"/>
        <v>20</v>
      </c>
      <c r="AC40">
        <f t="shared" si="11"/>
        <v>0</v>
      </c>
      <c r="AD40">
        <f t="shared" si="12"/>
        <v>0</v>
      </c>
      <c r="AE40" s="13">
        <f t="shared" si="13"/>
        <v>0</v>
      </c>
      <c r="AH40">
        <f t="shared" si="14"/>
        <v>22.8</v>
      </c>
      <c r="AI40">
        <f t="shared" si="15"/>
        <v>1585.62</v>
      </c>
      <c r="AJ40" s="11">
        <f t="shared" si="16"/>
        <v>0.159</v>
      </c>
      <c r="AK40">
        <f t="shared" si="17"/>
        <v>37429.976591999999</v>
      </c>
      <c r="AL40">
        <f t="shared" si="18"/>
        <v>36152.135999999999</v>
      </c>
      <c r="AM40">
        <f t="shared" si="19"/>
        <v>1277.8405920000005</v>
      </c>
    </row>
    <row r="41" spans="1:39" x14ac:dyDescent="0.25">
      <c r="A41" t="s">
        <v>138</v>
      </c>
      <c r="B41" s="4">
        <v>45598</v>
      </c>
      <c r="C41" s="4">
        <v>45625</v>
      </c>
      <c r="D41" s="13">
        <f t="shared" si="0"/>
        <v>27</v>
      </c>
      <c r="E41" s="6" t="s">
        <v>648</v>
      </c>
      <c r="F41" t="s">
        <v>655</v>
      </c>
      <c r="G41" t="s">
        <v>672</v>
      </c>
      <c r="H41" t="s">
        <v>705</v>
      </c>
      <c r="I41" t="s">
        <v>711</v>
      </c>
      <c r="J41" t="s">
        <v>714</v>
      </c>
      <c r="K41" t="s">
        <v>729</v>
      </c>
      <c r="L41" t="s">
        <v>857</v>
      </c>
      <c r="M41" s="8">
        <v>1363.51</v>
      </c>
      <c r="N41" s="8">
        <v>1433.9</v>
      </c>
      <c r="O41" s="8">
        <f t="shared" si="1"/>
        <v>1433.9</v>
      </c>
      <c r="P41" s="11">
        <v>5.7000000000000002E-2</v>
      </c>
      <c r="Q41" s="13">
        <v>8</v>
      </c>
      <c r="R41" s="8">
        <f t="shared" si="2"/>
        <v>10817.3416</v>
      </c>
      <c r="S41" s="8">
        <f t="shared" si="3"/>
        <v>10908.08</v>
      </c>
      <c r="T41" s="8">
        <f t="shared" si="4"/>
        <v>-90.738400000000183</v>
      </c>
      <c r="U41" s="11">
        <f t="shared" si="5"/>
        <v>-8.3882346842037592E-3</v>
      </c>
      <c r="V41" s="17">
        <v>45262</v>
      </c>
      <c r="W41" s="4" t="str">
        <f t="shared" si="6"/>
        <v>Q4-2024</v>
      </c>
      <c r="X41" t="str">
        <f t="shared" si="9"/>
        <v>Americas → Brazil → Brasília</v>
      </c>
      <c r="Y41" t="str">
        <f t="shared" si="7"/>
        <v>Medium</v>
      </c>
      <c r="Z41" s="20">
        <f t="shared" si="8"/>
        <v>45597</v>
      </c>
      <c r="AA41" s="4">
        <f t="array" ref="AA41">MIN(IF($F$2:$F$633=F41,$Z$2:$Z$633))</f>
        <v>44927</v>
      </c>
      <c r="AB41">
        <f t="shared" si="10"/>
        <v>22</v>
      </c>
      <c r="AC41">
        <f t="shared" si="11"/>
        <v>0</v>
      </c>
      <c r="AD41">
        <f t="shared" si="12"/>
        <v>0</v>
      </c>
      <c r="AE41" s="13">
        <f t="shared" si="13"/>
        <v>0</v>
      </c>
      <c r="AH41">
        <f t="shared" si="14"/>
        <v>9.6</v>
      </c>
      <c r="AI41">
        <f t="shared" si="15"/>
        <v>1568.0364999999999</v>
      </c>
      <c r="AJ41" s="11">
        <f t="shared" si="16"/>
        <v>5.7000000000000002E-2</v>
      </c>
      <c r="AK41">
        <f t="shared" si="17"/>
        <v>12980.80992</v>
      </c>
      <c r="AL41">
        <f t="shared" si="18"/>
        <v>15053.150399999999</v>
      </c>
      <c r="AM41">
        <f t="shared" si="19"/>
        <v>-2072.3404799999989</v>
      </c>
    </row>
    <row r="42" spans="1:39" x14ac:dyDescent="0.25">
      <c r="A42" t="s">
        <v>368</v>
      </c>
      <c r="B42" s="4">
        <v>45603</v>
      </c>
      <c r="C42" s="4">
        <v>45622</v>
      </c>
      <c r="D42" s="13">
        <f t="shared" si="0"/>
        <v>19</v>
      </c>
      <c r="E42" s="6" t="s">
        <v>648</v>
      </c>
      <c r="F42" t="s">
        <v>655</v>
      </c>
      <c r="G42" t="s">
        <v>692</v>
      </c>
      <c r="H42" t="s">
        <v>703</v>
      </c>
      <c r="I42" t="s">
        <v>710</v>
      </c>
      <c r="J42" t="s">
        <v>713</v>
      </c>
      <c r="K42" t="s">
        <v>728</v>
      </c>
      <c r="L42" t="s">
        <v>1088</v>
      </c>
      <c r="M42" s="8">
        <v>55.35</v>
      </c>
      <c r="N42" s="8">
        <v>128.68</v>
      </c>
      <c r="O42" s="8">
        <f t="shared" si="1"/>
        <v>128.68</v>
      </c>
      <c r="P42" s="11">
        <v>0.128</v>
      </c>
      <c r="Q42" s="13">
        <v>10</v>
      </c>
      <c r="R42" s="8">
        <f t="shared" si="2"/>
        <v>1122.0896000000002</v>
      </c>
      <c r="S42" s="8">
        <f t="shared" si="3"/>
        <v>553.5</v>
      </c>
      <c r="T42" s="8">
        <f t="shared" si="4"/>
        <v>568.58960000000025</v>
      </c>
      <c r="U42" s="11">
        <f t="shared" si="5"/>
        <v>0.50672388372550647</v>
      </c>
      <c r="V42" s="17">
        <v>45258</v>
      </c>
      <c r="W42" s="4" t="str">
        <f t="shared" si="6"/>
        <v>Q4-2024</v>
      </c>
      <c r="X42" t="str">
        <f t="shared" si="9"/>
        <v>Americas → Brazil → Rio de Janeiro</v>
      </c>
      <c r="Y42" t="str">
        <f t="shared" si="7"/>
        <v>Low</v>
      </c>
      <c r="Z42" s="20">
        <f t="shared" si="8"/>
        <v>45597</v>
      </c>
      <c r="AA42" s="4">
        <f t="array" ref="AA42">MIN(IF($F$2:$F$633=F42,$Z$2:$Z$633))</f>
        <v>44927</v>
      </c>
      <c r="AB42">
        <f t="shared" si="10"/>
        <v>22</v>
      </c>
      <c r="AC42">
        <f t="shared" si="11"/>
        <v>0</v>
      </c>
      <c r="AD42">
        <f t="shared" si="12"/>
        <v>0</v>
      </c>
      <c r="AE42" s="13">
        <f t="shared" si="13"/>
        <v>0</v>
      </c>
      <c r="AH42">
        <f t="shared" si="14"/>
        <v>12</v>
      </c>
      <c r="AI42">
        <f t="shared" si="15"/>
        <v>63.652499999999996</v>
      </c>
      <c r="AJ42" s="11">
        <f t="shared" si="16"/>
        <v>0.128</v>
      </c>
      <c r="AK42">
        <f t="shared" si="17"/>
        <v>1346.5075200000001</v>
      </c>
      <c r="AL42">
        <f t="shared" si="18"/>
        <v>763.82999999999993</v>
      </c>
      <c r="AM42">
        <f t="shared" si="19"/>
        <v>582.67752000000019</v>
      </c>
    </row>
    <row r="43" spans="1:39" x14ac:dyDescent="0.25">
      <c r="A43" t="s">
        <v>549</v>
      </c>
      <c r="B43" s="4">
        <v>45667</v>
      </c>
      <c r="C43" s="4">
        <v>45694</v>
      </c>
      <c r="D43" s="13">
        <f t="shared" si="0"/>
        <v>27</v>
      </c>
      <c r="E43" s="6" t="s">
        <v>648</v>
      </c>
      <c r="F43" t="s">
        <v>655</v>
      </c>
      <c r="G43" t="s">
        <v>672</v>
      </c>
      <c r="H43" t="s">
        <v>703</v>
      </c>
      <c r="I43" t="s">
        <v>707</v>
      </c>
      <c r="J43" t="s">
        <v>717</v>
      </c>
      <c r="K43" t="s">
        <v>731</v>
      </c>
      <c r="L43" t="s">
        <v>1268</v>
      </c>
      <c r="M43" s="8">
        <v>725.62</v>
      </c>
      <c r="N43" s="8">
        <v>1559.19</v>
      </c>
      <c r="O43" s="8">
        <f t="shared" si="1"/>
        <v>1559.19</v>
      </c>
      <c r="P43" s="11">
        <v>0.19</v>
      </c>
      <c r="Q43" s="13">
        <v>12</v>
      </c>
      <c r="R43" s="8">
        <f t="shared" si="2"/>
        <v>15155.326800000001</v>
      </c>
      <c r="S43" s="8">
        <f t="shared" si="3"/>
        <v>8707.44</v>
      </c>
      <c r="T43" s="8">
        <f t="shared" si="4"/>
        <v>6447.8868000000002</v>
      </c>
      <c r="U43" s="11">
        <f t="shared" si="5"/>
        <v>0.42545349797405885</v>
      </c>
      <c r="V43" s="17">
        <v>45183</v>
      </c>
      <c r="W43" s="4" t="str">
        <f t="shared" si="6"/>
        <v>Q1-2025</v>
      </c>
      <c r="X43" t="str">
        <f t="shared" si="9"/>
        <v>Americas → Brazil → Brasília</v>
      </c>
      <c r="Y43" t="str">
        <f t="shared" si="7"/>
        <v>Medium</v>
      </c>
      <c r="Z43" s="20">
        <f t="shared" si="8"/>
        <v>45658</v>
      </c>
      <c r="AA43" s="4">
        <f t="array" ref="AA43">MIN(IF($F$2:$F$633=F43,$Z$2:$Z$633))</f>
        <v>44927</v>
      </c>
      <c r="AB43">
        <f t="shared" si="10"/>
        <v>24</v>
      </c>
      <c r="AC43">
        <f t="shared" si="11"/>
        <v>0</v>
      </c>
      <c r="AD43">
        <f t="shared" si="12"/>
        <v>0</v>
      </c>
      <c r="AE43" s="13">
        <f t="shared" si="13"/>
        <v>0</v>
      </c>
      <c r="AH43">
        <f t="shared" si="14"/>
        <v>14.399999999999999</v>
      </c>
      <c r="AI43">
        <f t="shared" si="15"/>
        <v>834.46299999999997</v>
      </c>
      <c r="AJ43" s="11">
        <f t="shared" si="16"/>
        <v>0.19</v>
      </c>
      <c r="AK43">
        <f t="shared" si="17"/>
        <v>18186.392159999999</v>
      </c>
      <c r="AL43">
        <f t="shared" si="18"/>
        <v>12016.267199999998</v>
      </c>
      <c r="AM43">
        <f t="shared" si="19"/>
        <v>6170.124960000001</v>
      </c>
    </row>
    <row r="44" spans="1:39" x14ac:dyDescent="0.25">
      <c r="A44" t="s">
        <v>418</v>
      </c>
      <c r="B44" s="4">
        <v>45677</v>
      </c>
      <c r="C44" s="4">
        <v>45691</v>
      </c>
      <c r="D44" s="13">
        <f t="shared" si="0"/>
        <v>14</v>
      </c>
      <c r="E44" s="6" t="s">
        <v>648</v>
      </c>
      <c r="F44" t="s">
        <v>655</v>
      </c>
      <c r="G44" t="s">
        <v>672</v>
      </c>
      <c r="H44" t="s">
        <v>706</v>
      </c>
      <c r="I44" t="s">
        <v>709</v>
      </c>
      <c r="J44" t="s">
        <v>721</v>
      </c>
      <c r="K44" t="s">
        <v>727</v>
      </c>
      <c r="L44" t="s">
        <v>1137</v>
      </c>
      <c r="M44" s="8">
        <v>974.11</v>
      </c>
      <c r="N44" s="8">
        <v>880.99</v>
      </c>
      <c r="O44" s="8">
        <f t="shared" si="1"/>
        <v>880.99</v>
      </c>
      <c r="P44" s="11">
        <v>0.111</v>
      </c>
      <c r="Q44" s="13">
        <v>10</v>
      </c>
      <c r="R44" s="8">
        <f t="shared" si="2"/>
        <v>7832.0010999999995</v>
      </c>
      <c r="S44" s="8">
        <f t="shared" si="3"/>
        <v>9741.1</v>
      </c>
      <c r="T44" s="8">
        <f t="shared" si="4"/>
        <v>-1909.0989000000009</v>
      </c>
      <c r="U44" s="11">
        <f t="shared" si="5"/>
        <v>-0.2437562093805121</v>
      </c>
      <c r="V44" s="17">
        <v>45157</v>
      </c>
      <c r="W44" s="4" t="str">
        <f t="shared" si="6"/>
        <v>Q1-2025</v>
      </c>
      <c r="X44" t="str">
        <f t="shared" si="9"/>
        <v>Americas → Brazil → Brasília</v>
      </c>
      <c r="Y44" t="str">
        <f t="shared" si="7"/>
        <v>Medium</v>
      </c>
      <c r="Z44" s="20">
        <f t="shared" si="8"/>
        <v>45658</v>
      </c>
      <c r="AA44" s="4">
        <f t="array" ref="AA44">MIN(IF($F$2:$F$633=F44,$Z$2:$Z$633))</f>
        <v>44927</v>
      </c>
      <c r="AB44">
        <f t="shared" si="10"/>
        <v>24</v>
      </c>
      <c r="AC44">
        <f t="shared" si="11"/>
        <v>0</v>
      </c>
      <c r="AD44">
        <f t="shared" si="12"/>
        <v>0</v>
      </c>
      <c r="AE44" s="13">
        <f t="shared" si="13"/>
        <v>0</v>
      </c>
      <c r="AH44">
        <f t="shared" si="14"/>
        <v>12</v>
      </c>
      <c r="AI44">
        <f t="shared" si="15"/>
        <v>1120.2265</v>
      </c>
      <c r="AJ44" s="11">
        <f t="shared" si="16"/>
        <v>0.111</v>
      </c>
      <c r="AK44">
        <f t="shared" si="17"/>
        <v>9398.4013200000009</v>
      </c>
      <c r="AL44">
        <f t="shared" si="18"/>
        <v>13442.718000000001</v>
      </c>
      <c r="AM44">
        <f t="shared" si="19"/>
        <v>-4044.3166799999999</v>
      </c>
    </row>
    <row r="45" spans="1:39" x14ac:dyDescent="0.25">
      <c r="A45" t="s">
        <v>393</v>
      </c>
      <c r="B45" s="4">
        <v>45694</v>
      </c>
      <c r="C45" s="4">
        <v>45703</v>
      </c>
      <c r="D45" s="13">
        <f t="shared" si="0"/>
        <v>9</v>
      </c>
      <c r="E45" s="6" t="s">
        <v>648</v>
      </c>
      <c r="F45" t="s">
        <v>655</v>
      </c>
      <c r="G45" t="s">
        <v>670</v>
      </c>
      <c r="H45" t="s">
        <v>703</v>
      </c>
      <c r="I45" t="s">
        <v>710</v>
      </c>
      <c r="J45" t="s">
        <v>721</v>
      </c>
      <c r="K45" t="s">
        <v>729</v>
      </c>
      <c r="L45" t="s">
        <v>1113</v>
      </c>
      <c r="M45" s="8">
        <v>837.39</v>
      </c>
      <c r="N45" s="8">
        <v>1905.42</v>
      </c>
      <c r="O45" s="8">
        <f t="shared" si="1"/>
        <v>1905.42</v>
      </c>
      <c r="P45" s="11">
        <v>3.2000000000000001E-2</v>
      </c>
      <c r="Q45" s="13">
        <v>18</v>
      </c>
      <c r="R45" s="8">
        <f t="shared" si="2"/>
        <v>33200.038079999998</v>
      </c>
      <c r="S45" s="8">
        <f t="shared" si="3"/>
        <v>15073.02</v>
      </c>
      <c r="T45" s="8">
        <f t="shared" si="4"/>
        <v>18127.018079999998</v>
      </c>
      <c r="U45" s="11">
        <f t="shared" si="5"/>
        <v>0.54599389423350919</v>
      </c>
      <c r="V45" s="17">
        <v>45153</v>
      </c>
      <c r="W45" s="4" t="str">
        <f t="shared" si="6"/>
        <v>Q1-2025</v>
      </c>
      <c r="X45" t="str">
        <f t="shared" si="9"/>
        <v>Americas → Brazil → São Paulo</v>
      </c>
      <c r="Y45" t="str">
        <f t="shared" si="7"/>
        <v>High</v>
      </c>
      <c r="Z45" s="20">
        <f t="shared" si="8"/>
        <v>45689</v>
      </c>
      <c r="AA45" s="4">
        <f t="array" ref="AA45">MIN(IF($F$2:$F$633=F45,$Z$2:$Z$633))</f>
        <v>44927</v>
      </c>
      <c r="AB45">
        <f t="shared" si="10"/>
        <v>25</v>
      </c>
      <c r="AC45">
        <f t="shared" si="11"/>
        <v>0</v>
      </c>
      <c r="AD45">
        <f t="shared" si="12"/>
        <v>0</v>
      </c>
      <c r="AE45" s="13">
        <f t="shared" si="13"/>
        <v>0</v>
      </c>
      <c r="AH45">
        <f t="shared" si="14"/>
        <v>21.599999999999998</v>
      </c>
      <c r="AI45">
        <f t="shared" si="15"/>
        <v>962.99849999999992</v>
      </c>
      <c r="AJ45" s="11">
        <f t="shared" si="16"/>
        <v>3.2000000000000001E-2</v>
      </c>
      <c r="AK45">
        <f t="shared" si="17"/>
        <v>39840.045696000001</v>
      </c>
      <c r="AL45">
        <f t="shared" si="18"/>
        <v>20800.767599999996</v>
      </c>
      <c r="AM45">
        <f t="shared" si="19"/>
        <v>19039.278096000005</v>
      </c>
    </row>
    <row r="46" spans="1:39" x14ac:dyDescent="0.25">
      <c r="A46" t="s">
        <v>71</v>
      </c>
      <c r="B46" s="4">
        <v>45697</v>
      </c>
      <c r="C46" s="4">
        <v>45717</v>
      </c>
      <c r="D46" s="13">
        <f t="shared" si="0"/>
        <v>20</v>
      </c>
      <c r="E46" s="6" t="s">
        <v>648</v>
      </c>
      <c r="F46" t="s">
        <v>655</v>
      </c>
      <c r="G46" t="s">
        <v>670</v>
      </c>
      <c r="H46" t="s">
        <v>701</v>
      </c>
      <c r="I46" t="s">
        <v>710</v>
      </c>
      <c r="J46" t="s">
        <v>717</v>
      </c>
      <c r="K46" t="s">
        <v>731</v>
      </c>
      <c r="L46" t="s">
        <v>790</v>
      </c>
      <c r="M46" s="8">
        <v>1154.6400000000001</v>
      </c>
      <c r="N46" s="8">
        <v>2794.13</v>
      </c>
      <c r="O46" s="8">
        <f t="shared" si="1"/>
        <v>2794.13</v>
      </c>
      <c r="P46" s="11">
        <v>3.5000000000000003E-2</v>
      </c>
      <c r="Q46" s="13">
        <v>11</v>
      </c>
      <c r="R46" s="8">
        <f t="shared" si="2"/>
        <v>29659.68995</v>
      </c>
      <c r="S46" s="8">
        <f t="shared" si="3"/>
        <v>12701.04</v>
      </c>
      <c r="T46" s="8">
        <f t="shared" si="4"/>
        <v>16958.649949999999</v>
      </c>
      <c r="U46" s="11">
        <f t="shared" si="5"/>
        <v>0.57177435025749479</v>
      </c>
      <c r="V46" s="17">
        <v>45142</v>
      </c>
      <c r="W46" s="4" t="str">
        <f t="shared" si="6"/>
        <v>Q1-2025</v>
      </c>
      <c r="X46" t="str">
        <f t="shared" si="9"/>
        <v>Americas → Brazil → São Paulo</v>
      </c>
      <c r="Y46" t="str">
        <f t="shared" si="7"/>
        <v>High</v>
      </c>
      <c r="Z46" s="20">
        <f t="shared" si="8"/>
        <v>45689</v>
      </c>
      <c r="AA46" s="4">
        <f t="array" ref="AA46">MIN(IF($F$2:$F$633=F46,$Z$2:$Z$633))</f>
        <v>44927</v>
      </c>
      <c r="AB46">
        <f t="shared" si="10"/>
        <v>25</v>
      </c>
      <c r="AC46">
        <f t="shared" si="11"/>
        <v>0</v>
      </c>
      <c r="AD46">
        <f t="shared" si="12"/>
        <v>0</v>
      </c>
      <c r="AE46" s="13">
        <f t="shared" si="13"/>
        <v>0</v>
      </c>
      <c r="AH46">
        <f t="shared" si="14"/>
        <v>13.2</v>
      </c>
      <c r="AI46">
        <f t="shared" si="15"/>
        <v>1327.836</v>
      </c>
      <c r="AJ46" s="11">
        <f t="shared" si="16"/>
        <v>3.5000000000000003E-2</v>
      </c>
      <c r="AK46">
        <f t="shared" si="17"/>
        <v>35591.627939999998</v>
      </c>
      <c r="AL46">
        <f t="shared" si="18"/>
        <v>17527.4352</v>
      </c>
      <c r="AM46">
        <f t="shared" si="19"/>
        <v>18064.192739999999</v>
      </c>
    </row>
    <row r="47" spans="1:39" x14ac:dyDescent="0.25">
      <c r="A47" t="s">
        <v>145</v>
      </c>
      <c r="B47" s="4">
        <v>45700</v>
      </c>
      <c r="C47" s="4">
        <v>45716</v>
      </c>
      <c r="D47" s="13">
        <f t="shared" si="0"/>
        <v>16</v>
      </c>
      <c r="E47" s="6" t="s">
        <v>648</v>
      </c>
      <c r="F47" t="s">
        <v>655</v>
      </c>
      <c r="G47" t="s">
        <v>670</v>
      </c>
      <c r="H47" t="s">
        <v>703</v>
      </c>
      <c r="I47" t="s">
        <v>711</v>
      </c>
      <c r="J47" t="s">
        <v>717</v>
      </c>
      <c r="K47" t="s">
        <v>732</v>
      </c>
      <c r="L47" t="s">
        <v>864</v>
      </c>
      <c r="M47" s="8">
        <v>414.95</v>
      </c>
      <c r="N47" s="8">
        <v>1027.73</v>
      </c>
      <c r="O47" s="8">
        <f t="shared" si="1"/>
        <v>1027.73</v>
      </c>
      <c r="P47" s="11">
        <v>6.3E-2</v>
      </c>
      <c r="Q47" s="13">
        <v>8</v>
      </c>
      <c r="R47" s="8">
        <f t="shared" si="2"/>
        <v>7703.8640800000003</v>
      </c>
      <c r="S47" s="8">
        <f t="shared" si="3"/>
        <v>3319.6</v>
      </c>
      <c r="T47" s="8">
        <f t="shared" si="4"/>
        <v>4384.2640800000008</v>
      </c>
      <c r="U47" s="11">
        <f t="shared" si="5"/>
        <v>0.56909935513815568</v>
      </c>
      <c r="V47" s="17">
        <v>45157</v>
      </c>
      <c r="W47" s="4" t="str">
        <f t="shared" si="6"/>
        <v>Q1-2025</v>
      </c>
      <c r="X47" t="str">
        <f t="shared" si="9"/>
        <v>Americas → Brazil → São Paulo</v>
      </c>
      <c r="Y47" t="str">
        <f t="shared" si="7"/>
        <v>Medium</v>
      </c>
      <c r="Z47" s="20">
        <f t="shared" si="8"/>
        <v>45689</v>
      </c>
      <c r="AA47" s="4">
        <f t="array" ref="AA47">MIN(IF($F$2:$F$633=F47,$Z$2:$Z$633))</f>
        <v>44927</v>
      </c>
      <c r="AB47">
        <f t="shared" si="10"/>
        <v>25</v>
      </c>
      <c r="AC47">
        <f t="shared" si="11"/>
        <v>0</v>
      </c>
      <c r="AD47">
        <f t="shared" si="12"/>
        <v>0</v>
      </c>
      <c r="AE47" s="13">
        <f t="shared" si="13"/>
        <v>0</v>
      </c>
      <c r="AH47">
        <f t="shared" si="14"/>
        <v>9.6</v>
      </c>
      <c r="AI47">
        <f t="shared" si="15"/>
        <v>477.19249999999994</v>
      </c>
      <c r="AJ47" s="11">
        <f t="shared" si="16"/>
        <v>6.3E-2</v>
      </c>
      <c r="AK47">
        <f t="shared" si="17"/>
        <v>9244.6368960000018</v>
      </c>
      <c r="AL47">
        <f t="shared" si="18"/>
        <v>4581.0479999999989</v>
      </c>
      <c r="AM47">
        <f t="shared" si="19"/>
        <v>4663.5888960000029</v>
      </c>
    </row>
    <row r="48" spans="1:39" x14ac:dyDescent="0.25">
      <c r="A48" t="s">
        <v>27</v>
      </c>
      <c r="B48" s="4">
        <v>45722</v>
      </c>
      <c r="C48" s="4">
        <v>45747</v>
      </c>
      <c r="D48" s="13">
        <f t="shared" si="0"/>
        <v>25</v>
      </c>
      <c r="E48" s="6" t="s">
        <v>648</v>
      </c>
      <c r="F48" t="s">
        <v>655</v>
      </c>
      <c r="G48" t="s">
        <v>672</v>
      </c>
      <c r="H48" t="s">
        <v>703</v>
      </c>
      <c r="I48" t="s">
        <v>708</v>
      </c>
      <c r="J48" t="s">
        <v>713</v>
      </c>
      <c r="K48" t="s">
        <v>727</v>
      </c>
      <c r="L48" t="s">
        <v>746</v>
      </c>
      <c r="M48" s="8">
        <v>331.57</v>
      </c>
      <c r="N48" s="8">
        <v>548.4</v>
      </c>
      <c r="O48" s="8">
        <f t="shared" si="1"/>
        <v>548.4</v>
      </c>
      <c r="P48" s="11">
        <v>9.4E-2</v>
      </c>
      <c r="Q48" s="13">
        <v>10</v>
      </c>
      <c r="R48" s="8">
        <f t="shared" si="2"/>
        <v>4968.5039999999999</v>
      </c>
      <c r="S48" s="8">
        <f t="shared" si="3"/>
        <v>3315.7</v>
      </c>
      <c r="T48" s="8">
        <f t="shared" si="4"/>
        <v>1652.8040000000001</v>
      </c>
      <c r="U48" s="11">
        <f t="shared" si="5"/>
        <v>0.33265626836568918</v>
      </c>
      <c r="V48" s="17">
        <v>45137</v>
      </c>
      <c r="W48" s="4" t="str">
        <f t="shared" si="6"/>
        <v>Q1-2025</v>
      </c>
      <c r="X48" t="str">
        <f t="shared" si="9"/>
        <v>Americas → Brazil → Brasília</v>
      </c>
      <c r="Y48" t="str">
        <f t="shared" si="7"/>
        <v>Low</v>
      </c>
      <c r="Z48" s="20">
        <f t="shared" si="8"/>
        <v>45717</v>
      </c>
      <c r="AA48" s="4">
        <f t="array" ref="AA48">MIN(IF($F$2:$F$633=F48,$Z$2:$Z$633))</f>
        <v>44927</v>
      </c>
      <c r="AB48">
        <f t="shared" si="10"/>
        <v>26</v>
      </c>
      <c r="AC48">
        <f t="shared" si="11"/>
        <v>0</v>
      </c>
      <c r="AD48">
        <f t="shared" si="12"/>
        <v>0</v>
      </c>
      <c r="AE48" s="13">
        <f t="shared" si="13"/>
        <v>0</v>
      </c>
      <c r="AH48">
        <f t="shared" si="14"/>
        <v>12</v>
      </c>
      <c r="AI48">
        <f t="shared" si="15"/>
        <v>381.30549999999994</v>
      </c>
      <c r="AJ48" s="11">
        <f t="shared" si="16"/>
        <v>9.4E-2</v>
      </c>
      <c r="AK48">
        <f t="shared" si="17"/>
        <v>5962.2047999999995</v>
      </c>
      <c r="AL48">
        <f t="shared" si="18"/>
        <v>4575.6659999999993</v>
      </c>
      <c r="AM48">
        <f t="shared" si="19"/>
        <v>1386.5388000000003</v>
      </c>
    </row>
    <row r="49" spans="1:39" x14ac:dyDescent="0.25">
      <c r="A49" t="s">
        <v>518</v>
      </c>
      <c r="B49" s="4">
        <v>45726</v>
      </c>
      <c r="C49" s="4">
        <v>45743</v>
      </c>
      <c r="D49" s="13">
        <f t="shared" si="0"/>
        <v>17</v>
      </c>
      <c r="E49" s="6" t="s">
        <v>648</v>
      </c>
      <c r="F49" t="s">
        <v>655</v>
      </c>
      <c r="G49" t="s">
        <v>692</v>
      </c>
      <c r="H49" t="s">
        <v>706</v>
      </c>
      <c r="I49" t="s">
        <v>711</v>
      </c>
      <c r="J49" t="s">
        <v>721</v>
      </c>
      <c r="K49" t="s">
        <v>729</v>
      </c>
      <c r="L49" t="s">
        <v>1237</v>
      </c>
      <c r="M49" s="8">
        <v>996.73</v>
      </c>
      <c r="N49" s="8">
        <v>1217.43</v>
      </c>
      <c r="O49" s="8">
        <f t="shared" si="1"/>
        <v>1217.43</v>
      </c>
      <c r="P49" s="11">
        <v>7.0000000000000007E-2</v>
      </c>
      <c r="Q49" s="13">
        <v>9</v>
      </c>
      <c r="R49" s="8">
        <f t="shared" si="2"/>
        <v>10189.8891</v>
      </c>
      <c r="S49" s="8">
        <f t="shared" si="3"/>
        <v>8970.57</v>
      </c>
      <c r="T49" s="8">
        <f t="shared" si="4"/>
        <v>1219.3191000000006</v>
      </c>
      <c r="U49" s="11">
        <f t="shared" si="5"/>
        <v>0.11965970267527255</v>
      </c>
      <c r="V49" s="17">
        <v>45109</v>
      </c>
      <c r="W49" s="4" t="str">
        <f t="shared" si="6"/>
        <v>Q1-2025</v>
      </c>
      <c r="X49" t="str">
        <f t="shared" si="9"/>
        <v>Americas → Brazil → Rio de Janeiro</v>
      </c>
      <c r="Y49" t="str">
        <f t="shared" si="7"/>
        <v>Medium</v>
      </c>
      <c r="Z49" s="20">
        <f t="shared" si="8"/>
        <v>45717</v>
      </c>
      <c r="AA49" s="4">
        <f t="array" ref="AA49">MIN(IF($F$2:$F$633=F49,$Z$2:$Z$633))</f>
        <v>44927</v>
      </c>
      <c r="AB49">
        <f t="shared" si="10"/>
        <v>26</v>
      </c>
      <c r="AC49">
        <f t="shared" si="11"/>
        <v>0</v>
      </c>
      <c r="AD49">
        <f t="shared" si="12"/>
        <v>0</v>
      </c>
      <c r="AE49" s="13">
        <f t="shared" si="13"/>
        <v>0</v>
      </c>
      <c r="AH49">
        <f t="shared" si="14"/>
        <v>10.799999999999999</v>
      </c>
      <c r="AI49">
        <f t="shared" si="15"/>
        <v>1146.2394999999999</v>
      </c>
      <c r="AJ49" s="11">
        <f t="shared" si="16"/>
        <v>7.0000000000000007E-2</v>
      </c>
      <c r="AK49">
        <f t="shared" si="17"/>
        <v>12227.866919999999</v>
      </c>
      <c r="AL49">
        <f t="shared" si="18"/>
        <v>12379.386599999998</v>
      </c>
      <c r="AM49">
        <f t="shared" si="19"/>
        <v>-151.51967999999943</v>
      </c>
    </row>
    <row r="50" spans="1:39" x14ac:dyDescent="0.25">
      <c r="A50" t="s">
        <v>305</v>
      </c>
      <c r="B50" s="4">
        <v>45746</v>
      </c>
      <c r="C50" s="4">
        <v>45754</v>
      </c>
      <c r="D50" s="13">
        <f t="shared" si="0"/>
        <v>8</v>
      </c>
      <c r="E50" s="6" t="s">
        <v>648</v>
      </c>
      <c r="F50" t="s">
        <v>655</v>
      </c>
      <c r="G50" t="s">
        <v>670</v>
      </c>
      <c r="H50" t="s">
        <v>703</v>
      </c>
      <c r="I50" t="s">
        <v>711</v>
      </c>
      <c r="J50" t="s">
        <v>716</v>
      </c>
      <c r="K50" t="s">
        <v>728</v>
      </c>
      <c r="L50" t="s">
        <v>1025</v>
      </c>
      <c r="M50" s="8">
        <v>71.62</v>
      </c>
      <c r="N50" s="8">
        <v>118.37</v>
      </c>
      <c r="O50" s="8">
        <f t="shared" si="1"/>
        <v>118.37</v>
      </c>
      <c r="P50" s="11">
        <v>0.156</v>
      </c>
      <c r="Q50" s="13">
        <v>11</v>
      </c>
      <c r="R50" s="8">
        <f t="shared" si="2"/>
        <v>1098.9470800000001</v>
      </c>
      <c r="S50" s="8">
        <f t="shared" si="3"/>
        <v>787.82</v>
      </c>
      <c r="T50" s="8">
        <f t="shared" si="4"/>
        <v>311.12708000000009</v>
      </c>
      <c r="U50" s="11">
        <f t="shared" si="5"/>
        <v>0.28311379652603474</v>
      </c>
      <c r="V50" s="17">
        <v>45108</v>
      </c>
      <c r="W50" s="4" t="str">
        <f t="shared" si="6"/>
        <v>Q1-2025</v>
      </c>
      <c r="X50" t="str">
        <f t="shared" si="9"/>
        <v>Americas → Brazil → São Paulo</v>
      </c>
      <c r="Y50" t="str">
        <f t="shared" si="7"/>
        <v>Low</v>
      </c>
      <c r="Z50" s="20">
        <f t="shared" si="8"/>
        <v>45717</v>
      </c>
      <c r="AA50" s="4">
        <f t="array" ref="AA50">MIN(IF($F$2:$F$633=F50,$Z$2:$Z$633))</f>
        <v>44927</v>
      </c>
      <c r="AB50">
        <f t="shared" si="10"/>
        <v>26</v>
      </c>
      <c r="AC50">
        <f t="shared" si="11"/>
        <v>0</v>
      </c>
      <c r="AD50">
        <f t="shared" si="12"/>
        <v>0</v>
      </c>
      <c r="AE50" s="13">
        <f t="shared" si="13"/>
        <v>0</v>
      </c>
      <c r="AH50">
        <f t="shared" si="14"/>
        <v>13.2</v>
      </c>
      <c r="AI50">
        <f t="shared" si="15"/>
        <v>82.363</v>
      </c>
      <c r="AJ50" s="11">
        <f t="shared" si="16"/>
        <v>0.156</v>
      </c>
      <c r="AK50">
        <f t="shared" si="17"/>
        <v>1318.736496</v>
      </c>
      <c r="AL50">
        <f t="shared" si="18"/>
        <v>1087.1915999999999</v>
      </c>
      <c r="AM50">
        <f t="shared" si="19"/>
        <v>231.54489600000011</v>
      </c>
    </row>
    <row r="51" spans="1:39" x14ac:dyDescent="0.25">
      <c r="A51" t="s">
        <v>70</v>
      </c>
      <c r="B51" s="4">
        <v>45753</v>
      </c>
      <c r="C51" s="4">
        <v>45777</v>
      </c>
      <c r="D51" s="13">
        <f t="shared" si="0"/>
        <v>24</v>
      </c>
      <c r="E51" s="6" t="s">
        <v>648</v>
      </c>
      <c r="F51" t="s">
        <v>655</v>
      </c>
      <c r="G51" t="s">
        <v>672</v>
      </c>
      <c r="H51" t="s">
        <v>702</v>
      </c>
      <c r="I51" t="s">
        <v>708</v>
      </c>
      <c r="J51" t="s">
        <v>723</v>
      </c>
      <c r="K51" t="s">
        <v>732</v>
      </c>
      <c r="L51" t="s">
        <v>789</v>
      </c>
      <c r="M51" s="8">
        <v>855.78</v>
      </c>
      <c r="N51" s="8">
        <v>977.38</v>
      </c>
      <c r="O51" s="8">
        <f t="shared" si="1"/>
        <v>977.38</v>
      </c>
      <c r="P51" s="11">
        <v>0.14699999999999999</v>
      </c>
      <c r="Q51" s="13">
        <v>38</v>
      </c>
      <c r="R51" s="8">
        <f t="shared" si="2"/>
        <v>31680.795320000001</v>
      </c>
      <c r="S51" s="8">
        <f t="shared" si="3"/>
        <v>32519.64</v>
      </c>
      <c r="T51" s="8">
        <f t="shared" si="4"/>
        <v>-838.84467999999833</v>
      </c>
      <c r="U51" s="11">
        <f t="shared" si="5"/>
        <v>-2.6478018355506307E-2</v>
      </c>
      <c r="V51" s="17">
        <v>45097</v>
      </c>
      <c r="W51" s="4" t="str">
        <f t="shared" si="6"/>
        <v>Q2-2025</v>
      </c>
      <c r="X51" t="str">
        <f t="shared" si="9"/>
        <v>Americas → Brazil → Brasília</v>
      </c>
      <c r="Y51" t="str">
        <f t="shared" si="7"/>
        <v>Medium</v>
      </c>
      <c r="Z51" s="20">
        <f t="shared" si="8"/>
        <v>45748</v>
      </c>
      <c r="AA51" s="4">
        <f t="array" ref="AA51">MIN(IF($F$2:$F$633=F51,$Z$2:$Z$633))</f>
        <v>44927</v>
      </c>
      <c r="AB51">
        <f t="shared" si="10"/>
        <v>27</v>
      </c>
      <c r="AC51">
        <f t="shared" si="11"/>
        <v>0</v>
      </c>
      <c r="AD51">
        <f t="shared" si="12"/>
        <v>0</v>
      </c>
      <c r="AE51" s="13">
        <f t="shared" si="13"/>
        <v>0</v>
      </c>
      <c r="AH51">
        <f t="shared" si="14"/>
        <v>45.6</v>
      </c>
      <c r="AI51">
        <f t="shared" si="15"/>
        <v>984.14699999999993</v>
      </c>
      <c r="AJ51" s="11">
        <f t="shared" si="16"/>
        <v>0.14699999999999999</v>
      </c>
      <c r="AK51">
        <f t="shared" si="17"/>
        <v>38016.954383999997</v>
      </c>
      <c r="AL51">
        <f t="shared" si="18"/>
        <v>44877.103199999998</v>
      </c>
      <c r="AM51">
        <f t="shared" si="19"/>
        <v>-6860.1488160000008</v>
      </c>
    </row>
    <row r="52" spans="1:39" x14ac:dyDescent="0.25">
      <c r="A52" t="s">
        <v>86</v>
      </c>
      <c r="B52" s="4">
        <v>45756</v>
      </c>
      <c r="C52" s="4">
        <v>45783</v>
      </c>
      <c r="D52" s="13">
        <f t="shared" si="0"/>
        <v>27</v>
      </c>
      <c r="E52" s="6" t="s">
        <v>648</v>
      </c>
      <c r="F52" t="s">
        <v>655</v>
      </c>
      <c r="G52" t="s">
        <v>672</v>
      </c>
      <c r="H52" t="s">
        <v>706</v>
      </c>
      <c r="I52" t="s">
        <v>709</v>
      </c>
      <c r="J52" t="s">
        <v>721</v>
      </c>
      <c r="K52" t="s">
        <v>731</v>
      </c>
      <c r="L52" t="s">
        <v>805</v>
      </c>
      <c r="M52" s="8">
        <v>264.19</v>
      </c>
      <c r="N52" s="8">
        <v>620.92999999999995</v>
      </c>
      <c r="O52" s="8">
        <f t="shared" si="1"/>
        <v>620.92999999999995</v>
      </c>
      <c r="P52" s="11">
        <v>0.14199999999999999</v>
      </c>
      <c r="Q52" s="13">
        <v>12</v>
      </c>
      <c r="R52" s="8">
        <f t="shared" si="2"/>
        <v>6393.0952799999995</v>
      </c>
      <c r="S52" s="8">
        <f t="shared" si="3"/>
        <v>3170.2799999999997</v>
      </c>
      <c r="T52" s="8">
        <f t="shared" si="4"/>
        <v>3222.8152799999998</v>
      </c>
      <c r="U52" s="11">
        <f t="shared" si="5"/>
        <v>0.50410875152794532</v>
      </c>
      <c r="V52" s="17">
        <v>45106</v>
      </c>
      <c r="W52" s="4" t="str">
        <f t="shared" si="6"/>
        <v>Q2-2025</v>
      </c>
      <c r="X52" t="str">
        <f t="shared" si="9"/>
        <v>Americas → Brazil → Brasília</v>
      </c>
      <c r="Y52" t="str">
        <f t="shared" si="7"/>
        <v>Low</v>
      </c>
      <c r="Z52" s="20">
        <f t="shared" si="8"/>
        <v>45748</v>
      </c>
      <c r="AA52" s="4">
        <f t="array" ref="AA52">MIN(IF($F$2:$F$633=F52,$Z$2:$Z$633))</f>
        <v>44927</v>
      </c>
      <c r="AB52">
        <f t="shared" si="10"/>
        <v>27</v>
      </c>
      <c r="AC52">
        <f t="shared" si="11"/>
        <v>0</v>
      </c>
      <c r="AD52">
        <f t="shared" si="12"/>
        <v>0</v>
      </c>
      <c r="AE52" s="13">
        <f t="shared" si="13"/>
        <v>0</v>
      </c>
      <c r="AH52">
        <f t="shared" si="14"/>
        <v>14.399999999999999</v>
      </c>
      <c r="AI52">
        <f t="shared" si="15"/>
        <v>303.81849999999997</v>
      </c>
      <c r="AJ52" s="11">
        <f t="shared" si="16"/>
        <v>0.14199999999999999</v>
      </c>
      <c r="AK52">
        <f t="shared" si="17"/>
        <v>7671.7143359999982</v>
      </c>
      <c r="AL52">
        <f t="shared" si="18"/>
        <v>4374.9863999999989</v>
      </c>
      <c r="AM52">
        <f t="shared" si="19"/>
        <v>3296.7279359999993</v>
      </c>
    </row>
    <row r="53" spans="1:39" x14ac:dyDescent="0.25">
      <c r="A53" t="s">
        <v>635</v>
      </c>
      <c r="B53" s="4">
        <v>45764</v>
      </c>
      <c r="C53" s="4">
        <v>45780</v>
      </c>
      <c r="D53" s="13">
        <f t="shared" si="0"/>
        <v>16</v>
      </c>
      <c r="E53" s="6" t="s">
        <v>648</v>
      </c>
      <c r="F53" t="s">
        <v>655</v>
      </c>
      <c r="G53" t="s">
        <v>692</v>
      </c>
      <c r="H53" t="s">
        <v>704</v>
      </c>
      <c r="I53" t="s">
        <v>709</v>
      </c>
      <c r="J53" t="s">
        <v>713</v>
      </c>
      <c r="K53" t="s">
        <v>729</v>
      </c>
      <c r="L53" t="s">
        <v>1353</v>
      </c>
      <c r="M53" s="8">
        <v>168.68</v>
      </c>
      <c r="N53" s="8">
        <v>413.34</v>
      </c>
      <c r="O53" s="8">
        <f t="shared" si="1"/>
        <v>413.34</v>
      </c>
      <c r="P53" s="11">
        <v>0.186</v>
      </c>
      <c r="Q53" s="13">
        <v>7</v>
      </c>
      <c r="R53" s="8">
        <f t="shared" si="2"/>
        <v>2355.2113199999999</v>
      </c>
      <c r="S53" s="8">
        <f t="shared" si="3"/>
        <v>1180.76</v>
      </c>
      <c r="T53" s="8">
        <f t="shared" si="4"/>
        <v>1174.4513199999999</v>
      </c>
      <c r="U53" s="11">
        <f t="shared" si="5"/>
        <v>0.49866069767361682</v>
      </c>
      <c r="V53" s="17">
        <v>45070</v>
      </c>
      <c r="W53" s="4" t="str">
        <f t="shared" si="6"/>
        <v>Q2-2025</v>
      </c>
      <c r="X53" t="str">
        <f t="shared" si="9"/>
        <v>Americas → Brazil → Rio de Janeiro</v>
      </c>
      <c r="Y53" t="str">
        <f t="shared" si="7"/>
        <v>Low</v>
      </c>
      <c r="Z53" s="20">
        <f t="shared" si="8"/>
        <v>45748</v>
      </c>
      <c r="AA53" s="4">
        <f t="array" ref="AA53">MIN(IF($F$2:$F$633=F53,$Z$2:$Z$633))</f>
        <v>44927</v>
      </c>
      <c r="AB53">
        <f t="shared" si="10"/>
        <v>27</v>
      </c>
      <c r="AC53">
        <f t="shared" si="11"/>
        <v>0</v>
      </c>
      <c r="AD53">
        <f t="shared" si="12"/>
        <v>0</v>
      </c>
      <c r="AE53" s="13">
        <f t="shared" si="13"/>
        <v>0</v>
      </c>
      <c r="AH53">
        <f t="shared" si="14"/>
        <v>8.4</v>
      </c>
      <c r="AI53">
        <f t="shared" si="15"/>
        <v>193.982</v>
      </c>
      <c r="AJ53" s="11">
        <f t="shared" si="16"/>
        <v>0.186</v>
      </c>
      <c r="AK53">
        <f t="shared" si="17"/>
        <v>2826.253584</v>
      </c>
      <c r="AL53">
        <f t="shared" si="18"/>
        <v>1629.4488000000001</v>
      </c>
      <c r="AM53">
        <f t="shared" si="19"/>
        <v>1196.8047839999999</v>
      </c>
    </row>
    <row r="54" spans="1:39" x14ac:dyDescent="0.25">
      <c r="A54" t="s">
        <v>599</v>
      </c>
      <c r="B54" s="4">
        <v>45764</v>
      </c>
      <c r="C54" s="4">
        <v>45764</v>
      </c>
      <c r="D54" s="13">
        <f t="shared" si="0"/>
        <v>0</v>
      </c>
      <c r="E54" s="6" t="s">
        <v>648</v>
      </c>
      <c r="F54" t="s">
        <v>655</v>
      </c>
      <c r="G54" t="s">
        <v>670</v>
      </c>
      <c r="H54" t="s">
        <v>701</v>
      </c>
      <c r="I54" t="s">
        <v>710</v>
      </c>
      <c r="J54" t="s">
        <v>716</v>
      </c>
      <c r="K54" t="s">
        <v>730</v>
      </c>
      <c r="L54" t="s">
        <v>1317</v>
      </c>
      <c r="M54" s="8">
        <v>719.41</v>
      </c>
      <c r="N54" s="8">
        <v>1125.99</v>
      </c>
      <c r="O54" s="8">
        <f t="shared" si="1"/>
        <v>1125.99</v>
      </c>
      <c r="P54" s="11">
        <v>4.1000000000000002E-2</v>
      </c>
      <c r="Q54" s="13">
        <v>21</v>
      </c>
      <c r="R54" s="8">
        <f t="shared" si="2"/>
        <v>22676.312610000001</v>
      </c>
      <c r="S54" s="8">
        <f t="shared" si="3"/>
        <v>15107.609999999999</v>
      </c>
      <c r="T54" s="8">
        <f t="shared" si="4"/>
        <v>7568.7026100000021</v>
      </c>
      <c r="U54" s="11">
        <f t="shared" si="5"/>
        <v>0.33377131194876403</v>
      </c>
      <c r="V54" s="17">
        <v>45075</v>
      </c>
      <c r="W54" s="4" t="str">
        <f t="shared" si="6"/>
        <v>Q2-2025</v>
      </c>
      <c r="X54" t="str">
        <f t="shared" si="9"/>
        <v>Americas → Brazil → São Paulo</v>
      </c>
      <c r="Y54" t="str">
        <f t="shared" si="7"/>
        <v>Medium</v>
      </c>
      <c r="Z54" s="20">
        <f t="shared" si="8"/>
        <v>45748</v>
      </c>
      <c r="AA54" s="4">
        <f t="array" ref="AA54">MIN(IF($F$2:$F$633=F54,$Z$2:$Z$633))</f>
        <v>44927</v>
      </c>
      <c r="AB54">
        <f t="shared" si="10"/>
        <v>27</v>
      </c>
      <c r="AC54">
        <f t="shared" si="11"/>
        <v>1</v>
      </c>
      <c r="AD54">
        <f t="shared" si="12"/>
        <v>0</v>
      </c>
      <c r="AE54" s="13">
        <f t="shared" si="13"/>
        <v>1</v>
      </c>
      <c r="AH54">
        <f t="shared" si="14"/>
        <v>25.2</v>
      </c>
      <c r="AI54">
        <f t="shared" si="15"/>
        <v>827.3214999999999</v>
      </c>
      <c r="AJ54" s="11">
        <f t="shared" si="16"/>
        <v>4.1000000000000002E-2</v>
      </c>
      <c r="AK54">
        <f t="shared" si="17"/>
        <v>27211.575131999998</v>
      </c>
      <c r="AL54">
        <f t="shared" si="18"/>
        <v>20848.501799999998</v>
      </c>
      <c r="AM54">
        <f t="shared" si="19"/>
        <v>6363.0733319999999</v>
      </c>
    </row>
    <row r="55" spans="1:39" x14ac:dyDescent="0.25">
      <c r="A55" t="s">
        <v>245</v>
      </c>
      <c r="B55" s="4">
        <v>45771</v>
      </c>
      <c r="C55" s="4">
        <v>45783</v>
      </c>
      <c r="D55" s="13">
        <f t="shared" si="0"/>
        <v>12</v>
      </c>
      <c r="E55" s="6" t="s">
        <v>648</v>
      </c>
      <c r="F55" t="s">
        <v>655</v>
      </c>
      <c r="G55" t="s">
        <v>672</v>
      </c>
      <c r="H55" t="s">
        <v>704</v>
      </c>
      <c r="I55" t="s">
        <v>708</v>
      </c>
      <c r="J55" t="s">
        <v>712</v>
      </c>
      <c r="K55" t="s">
        <v>730</v>
      </c>
      <c r="L55" t="s">
        <v>965</v>
      </c>
      <c r="M55" s="8">
        <v>394.13</v>
      </c>
      <c r="N55" s="8">
        <v>932.29</v>
      </c>
      <c r="O55" s="8">
        <f t="shared" si="1"/>
        <v>932.29</v>
      </c>
      <c r="P55" s="11">
        <v>0.109</v>
      </c>
      <c r="Q55" s="13">
        <v>7</v>
      </c>
      <c r="R55" s="8">
        <f t="shared" si="2"/>
        <v>5814.6927299999998</v>
      </c>
      <c r="S55" s="8">
        <f t="shared" si="3"/>
        <v>2758.91</v>
      </c>
      <c r="T55" s="8">
        <f t="shared" si="4"/>
        <v>3055.7827299999999</v>
      </c>
      <c r="U55" s="11">
        <f t="shared" si="5"/>
        <v>0.5255278089303268</v>
      </c>
      <c r="V55" s="17">
        <v>45087</v>
      </c>
      <c r="W55" s="4" t="str">
        <f t="shared" si="6"/>
        <v>Q2-2025</v>
      </c>
      <c r="X55" t="str">
        <f t="shared" si="9"/>
        <v>Americas → Brazil → Brasília</v>
      </c>
      <c r="Y55" t="str">
        <f t="shared" si="7"/>
        <v>Medium</v>
      </c>
      <c r="Z55" s="20">
        <f t="shared" si="8"/>
        <v>45748</v>
      </c>
      <c r="AA55" s="4">
        <f t="array" ref="AA55">MIN(IF($F$2:$F$633=F55,$Z$2:$Z$633))</f>
        <v>44927</v>
      </c>
      <c r="AB55">
        <f t="shared" si="10"/>
        <v>27</v>
      </c>
      <c r="AC55">
        <f t="shared" si="11"/>
        <v>0</v>
      </c>
      <c r="AD55">
        <f t="shared" si="12"/>
        <v>0</v>
      </c>
      <c r="AE55" s="13">
        <f t="shared" si="13"/>
        <v>0</v>
      </c>
      <c r="AH55">
        <f t="shared" si="14"/>
        <v>8.4</v>
      </c>
      <c r="AI55">
        <f t="shared" si="15"/>
        <v>453.24949999999995</v>
      </c>
      <c r="AJ55" s="11">
        <f t="shared" si="16"/>
        <v>0.109</v>
      </c>
      <c r="AK55">
        <f t="shared" si="17"/>
        <v>6977.6312760000001</v>
      </c>
      <c r="AL55">
        <f t="shared" si="18"/>
        <v>3807.2957999999999</v>
      </c>
      <c r="AM55">
        <f t="shared" si="19"/>
        <v>3170.3354760000002</v>
      </c>
    </row>
    <row r="56" spans="1:39" x14ac:dyDescent="0.25">
      <c r="A56" t="s">
        <v>342</v>
      </c>
      <c r="B56" s="4">
        <v>45794</v>
      </c>
      <c r="C56" s="4">
        <v>45796</v>
      </c>
      <c r="D56" s="13">
        <f t="shared" si="0"/>
        <v>2</v>
      </c>
      <c r="E56" s="6" t="s">
        <v>648</v>
      </c>
      <c r="F56" t="s">
        <v>655</v>
      </c>
      <c r="G56" t="s">
        <v>670</v>
      </c>
      <c r="H56" t="s">
        <v>705</v>
      </c>
      <c r="I56" t="s">
        <v>710</v>
      </c>
      <c r="J56" t="s">
        <v>716</v>
      </c>
      <c r="K56" t="s">
        <v>732</v>
      </c>
      <c r="L56" t="s">
        <v>1062</v>
      </c>
      <c r="M56" s="8">
        <v>383.77</v>
      </c>
      <c r="N56" s="8">
        <v>952.56</v>
      </c>
      <c r="O56" s="8">
        <f t="shared" si="1"/>
        <v>952.56</v>
      </c>
      <c r="P56" s="11">
        <v>0.34599999999999997</v>
      </c>
      <c r="Q56" s="13">
        <v>10</v>
      </c>
      <c r="R56" s="8">
        <f t="shared" si="2"/>
        <v>6229.7423999999992</v>
      </c>
      <c r="S56" s="8">
        <f t="shared" si="3"/>
        <v>3837.7</v>
      </c>
      <c r="T56" s="8">
        <f t="shared" si="4"/>
        <v>2392.0423999999994</v>
      </c>
      <c r="U56" s="11">
        <f t="shared" si="5"/>
        <v>0.38397131797937578</v>
      </c>
      <c r="V56" s="17">
        <v>45064</v>
      </c>
      <c r="W56" s="4" t="str">
        <f t="shared" si="6"/>
        <v>Q2-2025</v>
      </c>
      <c r="X56" t="str">
        <f t="shared" si="9"/>
        <v>Americas → Brazil → São Paulo</v>
      </c>
      <c r="Y56" t="str">
        <f t="shared" si="7"/>
        <v>Medium</v>
      </c>
      <c r="Z56" s="20">
        <f t="shared" si="8"/>
        <v>45778</v>
      </c>
      <c r="AA56" s="4">
        <f t="array" ref="AA56">MIN(IF($F$2:$F$633=F56,$Z$2:$Z$633))</f>
        <v>44927</v>
      </c>
      <c r="AB56">
        <f t="shared" si="10"/>
        <v>28</v>
      </c>
      <c r="AC56">
        <f t="shared" si="11"/>
        <v>1</v>
      </c>
      <c r="AD56">
        <f t="shared" si="12"/>
        <v>1</v>
      </c>
      <c r="AE56" s="13">
        <f t="shared" si="13"/>
        <v>1</v>
      </c>
      <c r="AH56">
        <f t="shared" si="14"/>
        <v>12</v>
      </c>
      <c r="AI56">
        <f t="shared" si="15"/>
        <v>441.33549999999997</v>
      </c>
      <c r="AJ56" s="11">
        <f t="shared" si="16"/>
        <v>0.25</v>
      </c>
      <c r="AK56">
        <f t="shared" si="17"/>
        <v>8573.0399999999991</v>
      </c>
      <c r="AL56">
        <f t="shared" si="18"/>
        <v>5296.0259999999998</v>
      </c>
      <c r="AM56">
        <f t="shared" si="19"/>
        <v>3277.0139999999992</v>
      </c>
    </row>
    <row r="57" spans="1:39" x14ac:dyDescent="0.25">
      <c r="A57" t="s">
        <v>24</v>
      </c>
      <c r="B57" s="4">
        <v>45798</v>
      </c>
      <c r="C57" s="4">
        <v>45817</v>
      </c>
      <c r="D57" s="13">
        <f t="shared" si="0"/>
        <v>19</v>
      </c>
      <c r="E57" s="6" t="s">
        <v>648</v>
      </c>
      <c r="F57" t="s">
        <v>655</v>
      </c>
      <c r="G57" t="s">
        <v>670</v>
      </c>
      <c r="H57" t="s">
        <v>703</v>
      </c>
      <c r="I57" t="s">
        <v>708</v>
      </c>
      <c r="J57" t="s">
        <v>720</v>
      </c>
      <c r="K57" t="s">
        <v>727</v>
      </c>
      <c r="L57" t="s">
        <v>743</v>
      </c>
      <c r="M57" s="8">
        <v>1331.38</v>
      </c>
      <c r="N57" s="8">
        <v>2309.56</v>
      </c>
      <c r="O57" s="8">
        <f t="shared" si="1"/>
        <v>2309.56</v>
      </c>
      <c r="P57" s="11">
        <v>0.14899999999999999</v>
      </c>
      <c r="Q57" s="13">
        <v>31</v>
      </c>
      <c r="R57" s="8">
        <f t="shared" si="2"/>
        <v>60928.502359999999</v>
      </c>
      <c r="S57" s="8">
        <f t="shared" si="3"/>
        <v>41272.780000000006</v>
      </c>
      <c r="T57" s="8">
        <f t="shared" si="4"/>
        <v>19655.722359999992</v>
      </c>
      <c r="U57" s="11">
        <f t="shared" si="5"/>
        <v>0.32260307735553528</v>
      </c>
      <c r="V57" s="17">
        <v>45050</v>
      </c>
      <c r="W57" s="4" t="str">
        <f t="shared" si="6"/>
        <v>Q2-2025</v>
      </c>
      <c r="X57" t="str">
        <f t="shared" si="9"/>
        <v>Americas → Brazil → São Paulo</v>
      </c>
      <c r="Y57" t="str">
        <f t="shared" si="7"/>
        <v>High</v>
      </c>
      <c r="Z57" s="20">
        <f t="shared" si="8"/>
        <v>45778</v>
      </c>
      <c r="AA57" s="4">
        <f t="array" ref="AA57">MIN(IF($F$2:$F$633=F57,$Z$2:$Z$633))</f>
        <v>44927</v>
      </c>
      <c r="AB57">
        <f t="shared" si="10"/>
        <v>28</v>
      </c>
      <c r="AC57">
        <f t="shared" si="11"/>
        <v>0</v>
      </c>
      <c r="AD57">
        <f t="shared" si="12"/>
        <v>0</v>
      </c>
      <c r="AE57" s="13">
        <f t="shared" si="13"/>
        <v>0</v>
      </c>
      <c r="AH57">
        <f t="shared" si="14"/>
        <v>37.199999999999996</v>
      </c>
      <c r="AI57">
        <f t="shared" si="15"/>
        <v>1531.087</v>
      </c>
      <c r="AJ57" s="11">
        <f t="shared" si="16"/>
        <v>0.14899999999999999</v>
      </c>
      <c r="AK57">
        <f t="shared" si="17"/>
        <v>73114.202831999981</v>
      </c>
      <c r="AL57">
        <f t="shared" si="18"/>
        <v>56956.436399999991</v>
      </c>
      <c r="AM57">
        <f t="shared" si="19"/>
        <v>16157.766431999989</v>
      </c>
    </row>
    <row r="58" spans="1:39" x14ac:dyDescent="0.25">
      <c r="A58" t="s">
        <v>33</v>
      </c>
      <c r="B58" s="4">
        <v>45858</v>
      </c>
      <c r="C58" s="4">
        <v>45874</v>
      </c>
      <c r="D58" s="13">
        <f t="shared" si="0"/>
        <v>16</v>
      </c>
      <c r="E58" s="6" t="s">
        <v>648</v>
      </c>
      <c r="F58" t="s">
        <v>655</v>
      </c>
      <c r="G58" t="s">
        <v>672</v>
      </c>
      <c r="H58" t="s">
        <v>706</v>
      </c>
      <c r="I58" t="s">
        <v>709</v>
      </c>
      <c r="J58" t="s">
        <v>715</v>
      </c>
      <c r="K58" t="s">
        <v>733</v>
      </c>
      <c r="L58" t="s">
        <v>752</v>
      </c>
      <c r="M58" s="8">
        <v>1068.17</v>
      </c>
      <c r="N58" s="8">
        <v>2375.37</v>
      </c>
      <c r="O58" s="8">
        <f t="shared" si="1"/>
        <v>2375.37</v>
      </c>
      <c r="P58" s="11">
        <v>0.109</v>
      </c>
      <c r="Q58" s="13">
        <v>18</v>
      </c>
      <c r="R58" s="8">
        <f t="shared" si="2"/>
        <v>38096.18406</v>
      </c>
      <c r="S58" s="8">
        <f t="shared" si="3"/>
        <v>19227.060000000001</v>
      </c>
      <c r="T58" s="8">
        <f t="shared" si="4"/>
        <v>18869.124059999998</v>
      </c>
      <c r="U58" s="11">
        <f t="shared" si="5"/>
        <v>0.49530220744108822</v>
      </c>
      <c r="V58" s="17">
        <v>44991</v>
      </c>
      <c r="W58" s="4" t="str">
        <f t="shared" si="6"/>
        <v>Q3-2025</v>
      </c>
      <c r="X58" t="str">
        <f t="shared" si="9"/>
        <v>Americas → Brazil → Brasília</v>
      </c>
      <c r="Y58" t="str">
        <f t="shared" si="7"/>
        <v>High</v>
      </c>
      <c r="Z58" s="20">
        <f t="shared" si="8"/>
        <v>45839</v>
      </c>
      <c r="AA58" s="4">
        <f t="array" ref="AA58">MIN(IF($F$2:$F$633=F58,$Z$2:$Z$633))</f>
        <v>44927</v>
      </c>
      <c r="AB58">
        <f t="shared" si="10"/>
        <v>30</v>
      </c>
      <c r="AC58">
        <f t="shared" si="11"/>
        <v>0</v>
      </c>
      <c r="AD58">
        <f t="shared" si="12"/>
        <v>0</v>
      </c>
      <c r="AE58" s="13">
        <f t="shared" si="13"/>
        <v>0</v>
      </c>
      <c r="AH58">
        <f t="shared" si="14"/>
        <v>21.599999999999998</v>
      </c>
      <c r="AI58">
        <f t="shared" si="15"/>
        <v>1228.3955000000001</v>
      </c>
      <c r="AJ58" s="11">
        <f t="shared" si="16"/>
        <v>0.109</v>
      </c>
      <c r="AK58">
        <f t="shared" si="17"/>
        <v>45715.420871999995</v>
      </c>
      <c r="AL58">
        <f t="shared" si="18"/>
        <v>26533.342799999999</v>
      </c>
      <c r="AM58">
        <f t="shared" si="19"/>
        <v>19182.078071999997</v>
      </c>
    </row>
    <row r="59" spans="1:39" x14ac:dyDescent="0.25">
      <c r="A59" t="s">
        <v>565</v>
      </c>
      <c r="B59" s="4">
        <v>45875</v>
      </c>
      <c r="C59" s="4">
        <v>45892</v>
      </c>
      <c r="D59" s="13">
        <f t="shared" si="0"/>
        <v>17</v>
      </c>
      <c r="E59" s="6" t="s">
        <v>648</v>
      </c>
      <c r="F59" t="s">
        <v>655</v>
      </c>
      <c r="G59" t="s">
        <v>672</v>
      </c>
      <c r="H59" t="s">
        <v>704</v>
      </c>
      <c r="I59" t="s">
        <v>710</v>
      </c>
      <c r="J59" t="s">
        <v>720</v>
      </c>
      <c r="K59" t="s">
        <v>732</v>
      </c>
      <c r="L59" t="s">
        <v>1283</v>
      </c>
      <c r="M59" s="8">
        <v>86.64</v>
      </c>
      <c r="N59" s="8">
        <v>213.06</v>
      </c>
      <c r="O59" s="8">
        <f t="shared" si="1"/>
        <v>213.06</v>
      </c>
      <c r="P59" s="11">
        <v>0.21199999999999999</v>
      </c>
      <c r="Q59" s="13">
        <v>11</v>
      </c>
      <c r="R59" s="8">
        <f t="shared" si="2"/>
        <v>1846.8040799999999</v>
      </c>
      <c r="S59" s="8">
        <f t="shared" si="3"/>
        <v>953.04</v>
      </c>
      <c r="T59" s="8">
        <f t="shared" si="4"/>
        <v>893.76407999999992</v>
      </c>
      <c r="U59" s="11">
        <f t="shared" si="5"/>
        <v>0.48395175735154322</v>
      </c>
      <c r="V59" s="17">
        <v>44981</v>
      </c>
      <c r="W59" s="4" t="str">
        <f t="shared" si="6"/>
        <v>Q3-2025</v>
      </c>
      <c r="X59" t="str">
        <f t="shared" si="9"/>
        <v>Americas → Brazil → Brasília</v>
      </c>
      <c r="Y59" t="str">
        <f t="shared" si="7"/>
        <v>Low</v>
      </c>
      <c r="Z59" s="20">
        <f t="shared" si="8"/>
        <v>45870</v>
      </c>
      <c r="AA59" s="4">
        <f t="array" ref="AA59">MIN(IF($F$2:$F$633=F59,$Z$2:$Z$633))</f>
        <v>44927</v>
      </c>
      <c r="AB59">
        <f t="shared" si="10"/>
        <v>31</v>
      </c>
      <c r="AC59">
        <f t="shared" si="11"/>
        <v>0</v>
      </c>
      <c r="AD59">
        <f t="shared" si="12"/>
        <v>1</v>
      </c>
      <c r="AE59" s="13">
        <f t="shared" si="13"/>
        <v>0</v>
      </c>
      <c r="AH59">
        <f t="shared" si="14"/>
        <v>13.2</v>
      </c>
      <c r="AI59">
        <f t="shared" si="15"/>
        <v>99.635999999999996</v>
      </c>
      <c r="AJ59" s="11">
        <f t="shared" si="16"/>
        <v>0.21199999999999999</v>
      </c>
      <c r="AK59">
        <f t="shared" si="17"/>
        <v>2216.1648959999998</v>
      </c>
      <c r="AL59">
        <f t="shared" si="18"/>
        <v>1315.1951999999999</v>
      </c>
      <c r="AM59">
        <f t="shared" si="19"/>
        <v>900.96969599999989</v>
      </c>
    </row>
    <row r="60" spans="1:39" x14ac:dyDescent="0.25">
      <c r="A60" t="s">
        <v>370</v>
      </c>
      <c r="B60" s="4">
        <v>45883</v>
      </c>
      <c r="C60" s="4">
        <v>45911</v>
      </c>
      <c r="D60" s="13">
        <f t="shared" si="0"/>
        <v>28</v>
      </c>
      <c r="E60" s="6" t="s">
        <v>648</v>
      </c>
      <c r="F60" t="s">
        <v>655</v>
      </c>
      <c r="G60" t="s">
        <v>670</v>
      </c>
      <c r="H60" t="s">
        <v>703</v>
      </c>
      <c r="I60" t="s">
        <v>711</v>
      </c>
      <c r="J60" t="s">
        <v>721</v>
      </c>
      <c r="K60" t="s">
        <v>728</v>
      </c>
      <c r="L60" t="s">
        <v>1090</v>
      </c>
      <c r="M60" s="8">
        <v>1203.02</v>
      </c>
      <c r="N60" s="8">
        <v>2439.33</v>
      </c>
      <c r="O60" s="8">
        <f t="shared" si="1"/>
        <v>2439.33</v>
      </c>
      <c r="P60" s="11">
        <v>0</v>
      </c>
      <c r="Q60" s="13">
        <v>18</v>
      </c>
      <c r="R60" s="8">
        <f t="shared" si="2"/>
        <v>43907.94</v>
      </c>
      <c r="S60" s="8">
        <f t="shared" si="3"/>
        <v>21654.36</v>
      </c>
      <c r="T60" s="8">
        <f t="shared" si="4"/>
        <v>22253.58</v>
      </c>
      <c r="U60" s="11">
        <f t="shared" si="5"/>
        <v>0.50682359500354612</v>
      </c>
      <c r="V60" s="17">
        <v>44955</v>
      </c>
      <c r="W60" s="4" t="str">
        <f t="shared" si="6"/>
        <v>Q3-2025</v>
      </c>
      <c r="X60" t="str">
        <f t="shared" si="9"/>
        <v>Americas → Brazil → São Paulo</v>
      </c>
      <c r="Y60" t="str">
        <f t="shared" si="7"/>
        <v>High</v>
      </c>
      <c r="Z60" s="20">
        <f t="shared" si="8"/>
        <v>45870</v>
      </c>
      <c r="AA60" s="4">
        <f t="array" ref="AA60">MIN(IF($F$2:$F$633=F60,$Z$2:$Z$633))</f>
        <v>44927</v>
      </c>
      <c r="AB60">
        <f t="shared" si="10"/>
        <v>31</v>
      </c>
      <c r="AC60">
        <f t="shared" si="11"/>
        <v>0</v>
      </c>
      <c r="AD60">
        <f t="shared" si="12"/>
        <v>0</v>
      </c>
      <c r="AE60" s="13">
        <f t="shared" si="13"/>
        <v>0</v>
      </c>
      <c r="AH60">
        <f t="shared" si="14"/>
        <v>21.599999999999998</v>
      </c>
      <c r="AI60">
        <f t="shared" si="15"/>
        <v>1383.473</v>
      </c>
      <c r="AJ60" s="11">
        <f t="shared" si="16"/>
        <v>0</v>
      </c>
      <c r="AK60">
        <f t="shared" si="17"/>
        <v>52689.527999999991</v>
      </c>
      <c r="AL60">
        <f t="shared" si="18"/>
        <v>29883.016799999998</v>
      </c>
      <c r="AM60">
        <f t="shared" si="19"/>
        <v>22806.511199999994</v>
      </c>
    </row>
    <row r="61" spans="1:39" x14ac:dyDescent="0.25">
      <c r="A61" t="s">
        <v>29</v>
      </c>
      <c r="B61" s="4">
        <v>45901</v>
      </c>
      <c r="C61" s="4">
        <v>45930</v>
      </c>
      <c r="D61" s="13">
        <f t="shared" si="0"/>
        <v>29</v>
      </c>
      <c r="E61" s="6" t="s">
        <v>648</v>
      </c>
      <c r="F61" t="s">
        <v>655</v>
      </c>
      <c r="G61" t="s">
        <v>672</v>
      </c>
      <c r="H61" t="s">
        <v>702</v>
      </c>
      <c r="I61" t="s">
        <v>707</v>
      </c>
      <c r="J61" t="s">
        <v>723</v>
      </c>
      <c r="K61" t="s">
        <v>733</v>
      </c>
      <c r="L61" t="s">
        <v>748</v>
      </c>
      <c r="M61" s="8">
        <v>780.59</v>
      </c>
      <c r="N61" s="8">
        <v>631.57000000000005</v>
      </c>
      <c r="O61" s="8">
        <f t="shared" si="1"/>
        <v>631.57000000000005</v>
      </c>
      <c r="P61" s="11">
        <v>0</v>
      </c>
      <c r="Q61" s="13">
        <v>12</v>
      </c>
      <c r="R61" s="8">
        <f t="shared" si="2"/>
        <v>7578.84</v>
      </c>
      <c r="S61" s="8">
        <f t="shared" si="3"/>
        <v>9367.08</v>
      </c>
      <c r="T61" s="8">
        <f t="shared" si="4"/>
        <v>-1788.2399999999998</v>
      </c>
      <c r="U61" s="11">
        <f t="shared" si="5"/>
        <v>-0.23595167598207639</v>
      </c>
      <c r="V61" s="17">
        <v>44955</v>
      </c>
      <c r="W61" s="4" t="str">
        <f t="shared" si="6"/>
        <v>Q3-2025</v>
      </c>
      <c r="X61" t="str">
        <f t="shared" si="9"/>
        <v>Americas → Brazil → Brasília</v>
      </c>
      <c r="Y61" t="str">
        <f t="shared" si="7"/>
        <v>Low</v>
      </c>
      <c r="Z61" s="20">
        <f t="shared" si="8"/>
        <v>45901</v>
      </c>
      <c r="AA61" s="4">
        <f t="array" ref="AA61">MIN(IF($F$2:$F$633=F61,$Z$2:$Z$633))</f>
        <v>44927</v>
      </c>
      <c r="AB61">
        <f t="shared" si="10"/>
        <v>32</v>
      </c>
      <c r="AC61">
        <f t="shared" si="11"/>
        <v>0</v>
      </c>
      <c r="AD61">
        <f t="shared" si="12"/>
        <v>0</v>
      </c>
      <c r="AE61" s="13">
        <f t="shared" si="13"/>
        <v>0</v>
      </c>
      <c r="AH61">
        <f t="shared" si="14"/>
        <v>14.399999999999999</v>
      </c>
      <c r="AI61">
        <f t="shared" si="15"/>
        <v>897.67849999999999</v>
      </c>
      <c r="AJ61" s="11">
        <f t="shared" si="16"/>
        <v>0</v>
      </c>
      <c r="AK61">
        <f t="shared" si="17"/>
        <v>9094.6080000000002</v>
      </c>
      <c r="AL61">
        <f t="shared" si="18"/>
        <v>12926.570399999999</v>
      </c>
      <c r="AM61">
        <f t="shared" si="19"/>
        <v>-3831.9623999999985</v>
      </c>
    </row>
    <row r="62" spans="1:39" x14ac:dyDescent="0.25">
      <c r="A62" t="s">
        <v>513</v>
      </c>
      <c r="B62" s="4">
        <v>45908</v>
      </c>
      <c r="C62" s="4">
        <v>45935</v>
      </c>
      <c r="D62" s="13">
        <f t="shared" si="0"/>
        <v>27</v>
      </c>
      <c r="E62" s="6" t="s">
        <v>648</v>
      </c>
      <c r="F62" t="s">
        <v>655</v>
      </c>
      <c r="G62" t="s">
        <v>692</v>
      </c>
      <c r="H62" t="s">
        <v>702</v>
      </c>
      <c r="I62" t="s">
        <v>708</v>
      </c>
      <c r="J62" t="s">
        <v>712</v>
      </c>
      <c r="K62" t="s">
        <v>732</v>
      </c>
      <c r="L62" t="s">
        <v>1232</v>
      </c>
      <c r="M62" s="8">
        <v>660.78</v>
      </c>
      <c r="N62" s="8">
        <v>1630.39</v>
      </c>
      <c r="O62" s="8">
        <f t="shared" si="1"/>
        <v>1630.39</v>
      </c>
      <c r="P62" s="11">
        <v>0.218</v>
      </c>
      <c r="Q62" s="13">
        <v>13</v>
      </c>
      <c r="R62" s="8">
        <f t="shared" si="2"/>
        <v>16574.544740000001</v>
      </c>
      <c r="S62" s="8">
        <f t="shared" si="3"/>
        <v>8590.14</v>
      </c>
      <c r="T62" s="8">
        <f t="shared" si="4"/>
        <v>7984.4047400000018</v>
      </c>
      <c r="U62" s="11">
        <f t="shared" si="5"/>
        <v>0.48172694123724097</v>
      </c>
      <c r="V62" s="17">
        <v>44953</v>
      </c>
      <c r="W62" s="4" t="str">
        <f t="shared" si="6"/>
        <v>Q3-2025</v>
      </c>
      <c r="X62" t="str">
        <f t="shared" si="9"/>
        <v>Americas → Brazil → Rio de Janeiro</v>
      </c>
      <c r="Y62" t="str">
        <f t="shared" si="7"/>
        <v>Medium</v>
      </c>
      <c r="Z62" s="20">
        <f t="shared" si="8"/>
        <v>45901</v>
      </c>
      <c r="AA62" s="4">
        <f t="array" ref="AA62">MIN(IF($F$2:$F$633=F62,$Z$2:$Z$633))</f>
        <v>44927</v>
      </c>
      <c r="AB62">
        <f t="shared" si="10"/>
        <v>32</v>
      </c>
      <c r="AC62">
        <f t="shared" si="11"/>
        <v>0</v>
      </c>
      <c r="AD62">
        <f t="shared" si="12"/>
        <v>1</v>
      </c>
      <c r="AE62" s="13">
        <f t="shared" si="13"/>
        <v>0</v>
      </c>
      <c r="AH62">
        <f t="shared" si="14"/>
        <v>15.6</v>
      </c>
      <c r="AI62">
        <f t="shared" si="15"/>
        <v>759.89699999999993</v>
      </c>
      <c r="AJ62" s="11">
        <f t="shared" si="16"/>
        <v>0.218</v>
      </c>
      <c r="AK62">
        <f t="shared" si="17"/>
        <v>19889.453688000001</v>
      </c>
      <c r="AL62">
        <f t="shared" si="18"/>
        <v>11854.393199999999</v>
      </c>
      <c r="AM62">
        <f t="shared" si="19"/>
        <v>8035.0604880000028</v>
      </c>
    </row>
    <row r="63" spans="1:39" x14ac:dyDescent="0.25">
      <c r="A63" t="s">
        <v>195</v>
      </c>
      <c r="B63" s="4">
        <v>45915</v>
      </c>
      <c r="C63" s="4">
        <v>45918</v>
      </c>
      <c r="D63" s="13">
        <f t="shared" si="0"/>
        <v>3</v>
      </c>
      <c r="E63" s="6" t="s">
        <v>648</v>
      </c>
      <c r="F63" t="s">
        <v>655</v>
      </c>
      <c r="G63" t="s">
        <v>692</v>
      </c>
      <c r="H63" t="s">
        <v>703</v>
      </c>
      <c r="I63" t="s">
        <v>711</v>
      </c>
      <c r="J63" t="s">
        <v>716</v>
      </c>
      <c r="K63" t="s">
        <v>733</v>
      </c>
      <c r="L63" t="s">
        <v>914</v>
      </c>
      <c r="M63" s="8">
        <v>5.5</v>
      </c>
      <c r="N63" s="8">
        <v>5.92</v>
      </c>
      <c r="O63" s="8">
        <f t="shared" si="1"/>
        <v>5.92</v>
      </c>
      <c r="P63" s="11">
        <v>0.21199999999999999</v>
      </c>
      <c r="Q63" s="13">
        <v>4</v>
      </c>
      <c r="R63" s="8">
        <f t="shared" si="2"/>
        <v>18.659839999999999</v>
      </c>
      <c r="S63" s="8">
        <f t="shared" si="3"/>
        <v>22</v>
      </c>
      <c r="T63" s="8">
        <f t="shared" si="4"/>
        <v>-3.3401600000000009</v>
      </c>
      <c r="U63" s="11">
        <f t="shared" si="5"/>
        <v>-0.17900260666758133</v>
      </c>
      <c r="V63" s="17">
        <v>44928</v>
      </c>
      <c r="W63" s="4" t="str">
        <f t="shared" si="6"/>
        <v>Q3-2025</v>
      </c>
      <c r="X63" t="str">
        <f t="shared" si="9"/>
        <v>Americas → Brazil → Rio de Janeiro</v>
      </c>
      <c r="Y63" t="str">
        <f t="shared" si="7"/>
        <v>Low</v>
      </c>
      <c r="Z63" s="20">
        <f t="shared" si="8"/>
        <v>45901</v>
      </c>
      <c r="AA63" s="4">
        <f t="array" ref="AA63">MIN(IF($F$2:$F$633=F63,$Z$2:$Z$633))</f>
        <v>44927</v>
      </c>
      <c r="AB63">
        <f t="shared" si="10"/>
        <v>32</v>
      </c>
      <c r="AC63">
        <f t="shared" si="11"/>
        <v>1</v>
      </c>
      <c r="AD63">
        <f t="shared" si="12"/>
        <v>1</v>
      </c>
      <c r="AE63" s="13">
        <f t="shared" si="13"/>
        <v>1</v>
      </c>
      <c r="AH63">
        <f t="shared" si="14"/>
        <v>4.8</v>
      </c>
      <c r="AI63">
        <f t="shared" si="15"/>
        <v>6.3249999999999993</v>
      </c>
      <c r="AJ63" s="11">
        <f t="shared" si="16"/>
        <v>0.21199999999999999</v>
      </c>
      <c r="AK63">
        <f t="shared" si="17"/>
        <v>22.391808000000001</v>
      </c>
      <c r="AL63">
        <f t="shared" si="18"/>
        <v>30.359999999999996</v>
      </c>
      <c r="AM63">
        <f t="shared" si="19"/>
        <v>-7.9681919999999948</v>
      </c>
    </row>
    <row r="64" spans="1:39" x14ac:dyDescent="0.25">
      <c r="A64" t="s">
        <v>20</v>
      </c>
      <c r="B64" s="4">
        <v>44928</v>
      </c>
      <c r="C64" s="4">
        <v>44931</v>
      </c>
      <c r="D64" s="13">
        <f t="shared" si="0"/>
        <v>3</v>
      </c>
      <c r="E64" s="6" t="s">
        <v>648</v>
      </c>
      <c r="F64" t="s">
        <v>653</v>
      </c>
      <c r="G64" t="s">
        <v>667</v>
      </c>
      <c r="H64" t="s">
        <v>701</v>
      </c>
      <c r="I64" t="s">
        <v>710</v>
      </c>
      <c r="J64" t="s">
        <v>717</v>
      </c>
      <c r="K64" t="s">
        <v>731</v>
      </c>
      <c r="L64" t="s">
        <v>739</v>
      </c>
      <c r="M64" s="9">
        <v>315.87</v>
      </c>
      <c r="N64" s="8">
        <v>591.67999999999995</v>
      </c>
      <c r="O64" s="8">
        <f t="shared" si="1"/>
        <v>591.67999999999995</v>
      </c>
      <c r="P64" s="11">
        <v>0</v>
      </c>
      <c r="Q64" s="13">
        <v>7</v>
      </c>
      <c r="R64" s="8">
        <f t="shared" si="2"/>
        <v>4141.7599999999993</v>
      </c>
      <c r="S64" s="8">
        <f t="shared" si="3"/>
        <v>2211.09</v>
      </c>
      <c r="T64" s="8">
        <f t="shared" si="4"/>
        <v>1930.6699999999992</v>
      </c>
      <c r="U64" s="11">
        <f t="shared" si="5"/>
        <v>0.46614724175229844</v>
      </c>
      <c r="V64" s="17">
        <v>45908</v>
      </c>
      <c r="W64" s="4" t="str">
        <f t="shared" si="6"/>
        <v>Q1-2023</v>
      </c>
      <c r="X64" t="str">
        <f t="shared" si="9"/>
        <v>Americas → Canada → Toronto</v>
      </c>
      <c r="Y64" t="str">
        <f t="shared" si="7"/>
        <v>Low</v>
      </c>
      <c r="Z64" s="20">
        <f t="shared" si="8"/>
        <v>44927</v>
      </c>
      <c r="AA64" s="4">
        <f t="array" ref="AA64">MIN(IF($F$2:$F$633=F64,$Z$2:$Z$633))</f>
        <v>44927</v>
      </c>
      <c r="AB64">
        <f t="shared" si="10"/>
        <v>0</v>
      </c>
      <c r="AC64">
        <f t="shared" si="11"/>
        <v>1</v>
      </c>
      <c r="AD64">
        <f t="shared" si="12"/>
        <v>0</v>
      </c>
      <c r="AE64" s="13">
        <f t="shared" si="13"/>
        <v>1</v>
      </c>
      <c r="AH64">
        <f t="shared" si="14"/>
        <v>8.4</v>
      </c>
      <c r="AI64">
        <f t="shared" si="15"/>
        <v>363.25049999999999</v>
      </c>
      <c r="AJ64" s="11">
        <f t="shared" si="16"/>
        <v>0</v>
      </c>
      <c r="AK64">
        <f t="shared" si="17"/>
        <v>4970.1120000000001</v>
      </c>
      <c r="AL64">
        <f t="shared" si="18"/>
        <v>3051.3042</v>
      </c>
      <c r="AM64">
        <f t="shared" si="19"/>
        <v>1918.8078</v>
      </c>
    </row>
    <row r="65" spans="1:39" x14ac:dyDescent="0.25">
      <c r="A65" t="s">
        <v>46</v>
      </c>
      <c r="B65" s="4">
        <v>44980</v>
      </c>
      <c r="C65" s="4">
        <v>45010</v>
      </c>
      <c r="D65" s="13">
        <f t="shared" si="0"/>
        <v>30</v>
      </c>
      <c r="E65" s="6" t="s">
        <v>648</v>
      </c>
      <c r="F65" t="s">
        <v>653</v>
      </c>
      <c r="G65" t="s">
        <v>681</v>
      </c>
      <c r="H65" t="s">
        <v>706</v>
      </c>
      <c r="I65" t="s">
        <v>708</v>
      </c>
      <c r="J65" t="s">
        <v>726</v>
      </c>
      <c r="K65" t="s">
        <v>730</v>
      </c>
      <c r="L65" t="s">
        <v>765</v>
      </c>
      <c r="M65" s="8">
        <v>1242.6600000000001</v>
      </c>
      <c r="N65" s="8">
        <v>1794.07</v>
      </c>
      <c r="O65" s="8">
        <f t="shared" si="1"/>
        <v>1794.07</v>
      </c>
      <c r="P65" s="11">
        <v>8.8999999999999996E-2</v>
      </c>
      <c r="Q65" s="13">
        <v>16</v>
      </c>
      <c r="R65" s="8">
        <f t="shared" si="2"/>
        <v>26150.364320000001</v>
      </c>
      <c r="S65" s="8">
        <f t="shared" si="3"/>
        <v>19882.560000000001</v>
      </c>
      <c r="T65" s="8">
        <f t="shared" si="4"/>
        <v>6267.8043199999993</v>
      </c>
      <c r="U65" s="11">
        <f t="shared" si="5"/>
        <v>0.23968325042440553</v>
      </c>
      <c r="V65" s="17">
        <v>45874</v>
      </c>
      <c r="W65" s="4" t="str">
        <f t="shared" si="6"/>
        <v>Q1-2023</v>
      </c>
      <c r="X65" t="str">
        <f t="shared" si="9"/>
        <v>Americas → Canada → Montreal</v>
      </c>
      <c r="Y65" t="str">
        <f t="shared" si="7"/>
        <v>High</v>
      </c>
      <c r="Z65" s="20">
        <f t="shared" si="8"/>
        <v>44958</v>
      </c>
      <c r="AA65" s="4">
        <f t="array" ref="AA65">MIN(IF($F$2:$F$633=F65,$Z$2:$Z$633))</f>
        <v>44927</v>
      </c>
      <c r="AB65">
        <f t="shared" si="10"/>
        <v>1</v>
      </c>
      <c r="AC65">
        <f t="shared" si="11"/>
        <v>0</v>
      </c>
      <c r="AD65">
        <f t="shared" si="12"/>
        <v>0</v>
      </c>
      <c r="AE65" s="13">
        <f t="shared" si="13"/>
        <v>0</v>
      </c>
      <c r="AH65">
        <f t="shared" si="14"/>
        <v>19.2</v>
      </c>
      <c r="AI65">
        <f t="shared" si="15"/>
        <v>1429.059</v>
      </c>
      <c r="AJ65" s="11">
        <f t="shared" si="16"/>
        <v>8.8999999999999996E-2</v>
      </c>
      <c r="AK65">
        <f t="shared" si="17"/>
        <v>31380.437184000002</v>
      </c>
      <c r="AL65">
        <f t="shared" si="18"/>
        <v>27437.932799999999</v>
      </c>
      <c r="AM65">
        <f t="shared" si="19"/>
        <v>3942.5043840000035</v>
      </c>
    </row>
    <row r="66" spans="1:39" x14ac:dyDescent="0.25">
      <c r="A66" t="s">
        <v>265</v>
      </c>
      <c r="B66" s="4">
        <v>44989</v>
      </c>
      <c r="C66" s="4">
        <v>45009</v>
      </c>
      <c r="D66" s="13">
        <f t="shared" ref="D66:D129" si="20">C66-B66</f>
        <v>20</v>
      </c>
      <c r="E66" s="6" t="s">
        <v>648</v>
      </c>
      <c r="F66" t="s">
        <v>653</v>
      </c>
      <c r="G66" t="s">
        <v>681</v>
      </c>
      <c r="H66" t="s">
        <v>704</v>
      </c>
      <c r="I66" t="s">
        <v>710</v>
      </c>
      <c r="J66" t="s">
        <v>714</v>
      </c>
      <c r="K66" t="s">
        <v>731</v>
      </c>
      <c r="L66" t="s">
        <v>985</v>
      </c>
      <c r="M66" s="8">
        <v>481.71</v>
      </c>
      <c r="N66" s="8">
        <v>912.45</v>
      </c>
      <c r="O66" s="8">
        <f t="shared" ref="O66:O129" si="21">ABS(N:N)</f>
        <v>912.45</v>
      </c>
      <c r="P66" s="11">
        <v>0.20300000000000001</v>
      </c>
      <c r="Q66" s="13">
        <v>24</v>
      </c>
      <c r="R66" s="8">
        <f t="shared" ref="R66:R129" si="22">O66*Q66*(1-P66)</f>
        <v>17453.3436</v>
      </c>
      <c r="S66" s="8">
        <f t="shared" ref="S66:S129" si="23">PRODUCT(M66*Q66)</f>
        <v>11561.039999999999</v>
      </c>
      <c r="T66" s="8">
        <f t="shared" ref="T66:T129" si="24">R66-S66</f>
        <v>5892.3036000000011</v>
      </c>
      <c r="U66" s="11">
        <f t="shared" ref="U66:U129" si="25">IF(T66=0, "0", T66/R66)</f>
        <v>0.33760313983619739</v>
      </c>
      <c r="V66" s="17">
        <v>45865</v>
      </c>
      <c r="W66" s="4" t="str">
        <f t="shared" ref="W66:W129" si="26">"Q"&amp;ROUNDUP(MONTH(B66)/3,0)&amp;"-"&amp;YEAR(B66)</f>
        <v>Q1-2023</v>
      </c>
      <c r="X66" t="str">
        <f t="shared" ref="X66:X129" si="27">E66 &amp; " → " &amp; F66 &amp; " → " &amp; G66</f>
        <v>Americas → Canada → Montreal</v>
      </c>
      <c r="Y66" t="str">
        <f t="shared" ref="Y66:Y129" si="28">IF(O66&lt;=_xlfn.PERCENTILE.INC($O:$O,0.33),"Low",
IF(O66&lt;=_xlfn.PERCENTILE.INC($O:$O,0.67),"Medium","High"))</f>
        <v>Medium</v>
      </c>
      <c r="Z66" s="20">
        <f t="shared" ref="Z66:Z129" si="29">DATE(YEAR(B66),MONTH(B66),1)</f>
        <v>44986</v>
      </c>
      <c r="AA66" s="4">
        <f t="array" ref="AA66">MIN(IF($F$2:$F$633=F66,$Z$2:$Z$633))</f>
        <v>44927</v>
      </c>
      <c r="AB66">
        <f t="shared" si="10"/>
        <v>2</v>
      </c>
      <c r="AC66">
        <f t="shared" si="11"/>
        <v>0</v>
      </c>
      <c r="AD66">
        <f t="shared" si="12"/>
        <v>1</v>
      </c>
      <c r="AE66" s="13">
        <f t="shared" si="13"/>
        <v>0</v>
      </c>
      <c r="AH66">
        <f t="shared" si="14"/>
        <v>28.799999999999997</v>
      </c>
      <c r="AI66">
        <f t="shared" si="15"/>
        <v>553.96649999999988</v>
      </c>
      <c r="AJ66" s="11">
        <f t="shared" si="16"/>
        <v>0.20300000000000001</v>
      </c>
      <c r="AK66">
        <f t="shared" si="17"/>
        <v>20944.012319999998</v>
      </c>
      <c r="AL66">
        <f t="shared" si="18"/>
        <v>15954.235199999996</v>
      </c>
      <c r="AM66">
        <f t="shared" si="19"/>
        <v>4989.7771200000025</v>
      </c>
    </row>
    <row r="67" spans="1:39" x14ac:dyDescent="0.25">
      <c r="A67" t="s">
        <v>193</v>
      </c>
      <c r="B67" s="4">
        <v>45021</v>
      </c>
      <c r="C67" s="4">
        <v>45032</v>
      </c>
      <c r="D67" s="13">
        <f t="shared" si="20"/>
        <v>11</v>
      </c>
      <c r="E67" s="6" t="s">
        <v>648</v>
      </c>
      <c r="F67" t="s">
        <v>653</v>
      </c>
      <c r="G67" t="s">
        <v>688</v>
      </c>
      <c r="H67" t="s">
        <v>703</v>
      </c>
      <c r="I67" t="s">
        <v>708</v>
      </c>
      <c r="J67" t="s">
        <v>719</v>
      </c>
      <c r="K67" t="s">
        <v>732</v>
      </c>
      <c r="L67" t="s">
        <v>912</v>
      </c>
      <c r="M67" s="8">
        <v>213.1</v>
      </c>
      <c r="N67" s="8">
        <v>501.31</v>
      </c>
      <c r="O67" s="8">
        <f t="shared" si="21"/>
        <v>501.31</v>
      </c>
      <c r="P67" s="11">
        <v>5.6000000000000001E-2</v>
      </c>
      <c r="Q67" s="13">
        <v>15</v>
      </c>
      <c r="R67" s="8">
        <f t="shared" si="22"/>
        <v>7098.5495999999994</v>
      </c>
      <c r="S67" s="8">
        <f t="shared" si="23"/>
        <v>3196.5</v>
      </c>
      <c r="T67" s="8">
        <f t="shared" si="24"/>
        <v>3902.0495999999994</v>
      </c>
      <c r="U67" s="11">
        <f t="shared" si="25"/>
        <v>0.54969674368409005</v>
      </c>
      <c r="V67" s="17">
        <v>45849</v>
      </c>
      <c r="W67" s="4" t="str">
        <f t="shared" si="26"/>
        <v>Q2-2023</v>
      </c>
      <c r="X67" t="str">
        <f t="shared" si="27"/>
        <v>Americas → Canada → Vancouver</v>
      </c>
      <c r="Y67" t="str">
        <f t="shared" si="28"/>
        <v>Low</v>
      </c>
      <c r="Z67" s="20">
        <f t="shared" si="29"/>
        <v>45017</v>
      </c>
      <c r="AA67" s="4">
        <f t="array" ref="AA67">MIN(IF($F$2:$F$633=F67,$Z$2:$Z$633))</f>
        <v>44927</v>
      </c>
      <c r="AB67">
        <f t="shared" ref="AB67:AB130" si="30">DATEDIF(AA67,Z67,"m")</f>
        <v>3</v>
      </c>
      <c r="AC67">
        <f t="shared" ref="AC67:AC130" si="31">IF(D67&lt;=7,1,0)</f>
        <v>0</v>
      </c>
      <c r="AD67">
        <f t="shared" ref="AD67:AD130" si="32">IF(P67&gt;20%,1,0)</f>
        <v>0</v>
      </c>
      <c r="AE67" s="13">
        <f t="shared" ref="AE67:AE130" si="33">IF(D67&lt;=7, 1,0)</f>
        <v>0</v>
      </c>
      <c r="AH67">
        <f t="shared" ref="AH67:AH130" si="34" xml:space="preserve"> Q67 * (1 + $AG$5)</f>
        <v>18</v>
      </c>
      <c r="AI67">
        <f t="shared" ref="AI67:AI130" si="35">M67*(1+$AG$4)</f>
        <v>245.06499999999997</v>
      </c>
      <c r="AJ67" s="11">
        <f t="shared" ref="AJ67:AJ130" si="36" xml:space="preserve"> MIN(P67, $AG$3)</f>
        <v>5.6000000000000001E-2</v>
      </c>
      <c r="AK67">
        <f t="shared" ref="AK67:AK130" si="37">AH67 * O67 * (1-AJ67)</f>
        <v>8518.2595199999996</v>
      </c>
      <c r="AL67">
        <f t="shared" ref="AL67:AL130" si="38">AH67 * AI67</f>
        <v>4411.1699999999992</v>
      </c>
      <c r="AM67">
        <f t="shared" ref="AM67:AM130" si="39" xml:space="preserve"> AK67 - AL67</f>
        <v>4107.0895200000004</v>
      </c>
    </row>
    <row r="68" spans="1:39" x14ac:dyDescent="0.25">
      <c r="A68" t="s">
        <v>577</v>
      </c>
      <c r="B68" s="4">
        <v>45029</v>
      </c>
      <c r="C68" s="4">
        <v>45048</v>
      </c>
      <c r="D68" s="13">
        <f t="shared" si="20"/>
        <v>19</v>
      </c>
      <c r="E68" s="6" t="s">
        <v>648</v>
      </c>
      <c r="F68" t="s">
        <v>653</v>
      </c>
      <c r="G68" t="s">
        <v>681</v>
      </c>
      <c r="H68" t="s">
        <v>704</v>
      </c>
      <c r="I68" t="s">
        <v>710</v>
      </c>
      <c r="J68" t="s">
        <v>718</v>
      </c>
      <c r="K68" t="s">
        <v>732</v>
      </c>
      <c r="L68" t="s">
        <v>1295</v>
      </c>
      <c r="M68" s="8">
        <v>671.05</v>
      </c>
      <c r="N68" s="8">
        <v>1645.48</v>
      </c>
      <c r="O68" s="8">
        <f t="shared" si="21"/>
        <v>1645.48</v>
      </c>
      <c r="P68" s="11">
        <v>0.13700000000000001</v>
      </c>
      <c r="Q68" s="13">
        <v>6</v>
      </c>
      <c r="R68" s="8">
        <f t="shared" si="22"/>
        <v>8520.2954399999999</v>
      </c>
      <c r="S68" s="8">
        <f t="shared" si="23"/>
        <v>4026.2999999999997</v>
      </c>
      <c r="T68" s="8">
        <f t="shared" si="24"/>
        <v>4493.9954400000006</v>
      </c>
      <c r="U68" s="11">
        <f t="shared" si="25"/>
        <v>0.52744596377517172</v>
      </c>
      <c r="V68" s="17">
        <v>45834</v>
      </c>
      <c r="W68" s="4" t="str">
        <f t="shared" si="26"/>
        <v>Q2-2023</v>
      </c>
      <c r="X68" t="str">
        <f t="shared" si="27"/>
        <v>Americas → Canada → Montreal</v>
      </c>
      <c r="Y68" t="str">
        <f t="shared" si="28"/>
        <v>High</v>
      </c>
      <c r="Z68" s="20">
        <f t="shared" si="29"/>
        <v>45017</v>
      </c>
      <c r="AA68" s="4">
        <f t="array" ref="AA68">MIN(IF($F$2:$F$633=F68,$Z$2:$Z$633))</f>
        <v>44927</v>
      </c>
      <c r="AB68">
        <f t="shared" si="30"/>
        <v>3</v>
      </c>
      <c r="AC68">
        <f t="shared" si="31"/>
        <v>0</v>
      </c>
      <c r="AD68">
        <f t="shared" si="32"/>
        <v>0</v>
      </c>
      <c r="AE68" s="13">
        <f t="shared" si="33"/>
        <v>0</v>
      </c>
      <c r="AH68">
        <f t="shared" si="34"/>
        <v>7.1999999999999993</v>
      </c>
      <c r="AI68">
        <f t="shared" si="35"/>
        <v>771.70749999999987</v>
      </c>
      <c r="AJ68" s="11">
        <f t="shared" si="36"/>
        <v>0.13700000000000001</v>
      </c>
      <c r="AK68">
        <f t="shared" si="37"/>
        <v>10224.354527999998</v>
      </c>
      <c r="AL68">
        <f t="shared" si="38"/>
        <v>5556.2939999999981</v>
      </c>
      <c r="AM68">
        <f t="shared" si="39"/>
        <v>4668.060528</v>
      </c>
    </row>
    <row r="69" spans="1:39" x14ac:dyDescent="0.25">
      <c r="A69" t="s">
        <v>459</v>
      </c>
      <c r="B69" s="4">
        <v>45090</v>
      </c>
      <c r="C69" s="4">
        <v>45101</v>
      </c>
      <c r="D69" s="13">
        <f t="shared" si="20"/>
        <v>11</v>
      </c>
      <c r="E69" s="6" t="s">
        <v>648</v>
      </c>
      <c r="F69" t="s">
        <v>653</v>
      </c>
      <c r="G69" t="s">
        <v>667</v>
      </c>
      <c r="H69" t="s">
        <v>701</v>
      </c>
      <c r="I69" t="s">
        <v>708</v>
      </c>
      <c r="J69" t="s">
        <v>712</v>
      </c>
      <c r="K69" t="s">
        <v>728</v>
      </c>
      <c r="L69" t="s">
        <v>1178</v>
      </c>
      <c r="M69" s="8">
        <v>247.07</v>
      </c>
      <c r="N69" s="8">
        <v>495.19</v>
      </c>
      <c r="O69" s="8">
        <f t="shared" si="21"/>
        <v>495.19</v>
      </c>
      <c r="P69" s="11">
        <v>2.8000000000000001E-2</v>
      </c>
      <c r="Q69" s="13">
        <v>4</v>
      </c>
      <c r="R69" s="8">
        <f t="shared" si="22"/>
        <v>1925.29872</v>
      </c>
      <c r="S69" s="8">
        <f t="shared" si="23"/>
        <v>988.28</v>
      </c>
      <c r="T69" s="8">
        <f t="shared" si="24"/>
        <v>937.01872000000003</v>
      </c>
      <c r="U69" s="11">
        <f t="shared" si="25"/>
        <v>0.48668744764968214</v>
      </c>
      <c r="V69" s="17">
        <v>45769</v>
      </c>
      <c r="W69" s="4" t="str">
        <f t="shared" si="26"/>
        <v>Q2-2023</v>
      </c>
      <c r="X69" t="str">
        <f t="shared" si="27"/>
        <v>Americas → Canada → Toronto</v>
      </c>
      <c r="Y69" t="str">
        <f t="shared" si="28"/>
        <v>Low</v>
      </c>
      <c r="Z69" s="20">
        <f t="shared" si="29"/>
        <v>45078</v>
      </c>
      <c r="AA69" s="4">
        <f t="array" ref="AA69">MIN(IF($F$2:$F$633=F69,$Z$2:$Z$633))</f>
        <v>44927</v>
      </c>
      <c r="AB69">
        <f t="shared" si="30"/>
        <v>5</v>
      </c>
      <c r="AC69">
        <f t="shared" si="31"/>
        <v>0</v>
      </c>
      <c r="AD69">
        <f t="shared" si="32"/>
        <v>0</v>
      </c>
      <c r="AE69" s="13">
        <f t="shared" si="33"/>
        <v>0</v>
      </c>
      <c r="AH69">
        <f t="shared" si="34"/>
        <v>4.8</v>
      </c>
      <c r="AI69">
        <f t="shared" si="35"/>
        <v>284.13049999999998</v>
      </c>
      <c r="AJ69" s="11">
        <f t="shared" si="36"/>
        <v>2.8000000000000001E-2</v>
      </c>
      <c r="AK69">
        <f t="shared" si="37"/>
        <v>2310.3584639999999</v>
      </c>
      <c r="AL69">
        <f t="shared" si="38"/>
        <v>1363.8263999999999</v>
      </c>
      <c r="AM69">
        <f t="shared" si="39"/>
        <v>946.53206399999999</v>
      </c>
    </row>
    <row r="70" spans="1:39" x14ac:dyDescent="0.25">
      <c r="A70" t="s">
        <v>326</v>
      </c>
      <c r="B70" s="4">
        <v>45099</v>
      </c>
      <c r="C70" s="4">
        <v>45101</v>
      </c>
      <c r="D70" s="13">
        <f t="shared" si="20"/>
        <v>2</v>
      </c>
      <c r="E70" s="6" t="s">
        <v>648</v>
      </c>
      <c r="F70" t="s">
        <v>653</v>
      </c>
      <c r="G70" t="s">
        <v>667</v>
      </c>
      <c r="H70" t="s">
        <v>703</v>
      </c>
      <c r="I70" t="s">
        <v>707</v>
      </c>
      <c r="J70" t="s">
        <v>724</v>
      </c>
      <c r="K70" t="s">
        <v>733</v>
      </c>
      <c r="L70" t="s">
        <v>1046</v>
      </c>
      <c r="M70" s="8">
        <v>471.42</v>
      </c>
      <c r="N70" s="8">
        <v>824.81</v>
      </c>
      <c r="O70" s="8">
        <f t="shared" si="21"/>
        <v>824.81</v>
      </c>
      <c r="P70" s="11">
        <v>8.7999999999999995E-2</v>
      </c>
      <c r="Q70" s="13">
        <v>15</v>
      </c>
      <c r="R70" s="8">
        <f t="shared" si="22"/>
        <v>11283.400799999999</v>
      </c>
      <c r="S70" s="8">
        <f t="shared" si="23"/>
        <v>7071.3</v>
      </c>
      <c r="T70" s="8">
        <f t="shared" si="24"/>
        <v>4212.1007999999993</v>
      </c>
      <c r="U70" s="11">
        <f t="shared" si="25"/>
        <v>0.37330064531608231</v>
      </c>
      <c r="V70" s="17">
        <v>45741</v>
      </c>
      <c r="W70" s="4" t="str">
        <f t="shared" si="26"/>
        <v>Q2-2023</v>
      </c>
      <c r="X70" t="str">
        <f t="shared" si="27"/>
        <v>Americas → Canada → Toronto</v>
      </c>
      <c r="Y70" t="str">
        <f t="shared" si="28"/>
        <v>Medium</v>
      </c>
      <c r="Z70" s="20">
        <f t="shared" si="29"/>
        <v>45078</v>
      </c>
      <c r="AA70" s="4">
        <f t="array" ref="AA70">MIN(IF($F$2:$F$633=F70,$Z$2:$Z$633))</f>
        <v>44927</v>
      </c>
      <c r="AB70">
        <f t="shared" si="30"/>
        <v>5</v>
      </c>
      <c r="AC70">
        <f t="shared" si="31"/>
        <v>1</v>
      </c>
      <c r="AD70">
        <f t="shared" si="32"/>
        <v>0</v>
      </c>
      <c r="AE70" s="13">
        <f t="shared" si="33"/>
        <v>1</v>
      </c>
      <c r="AH70">
        <f t="shared" si="34"/>
        <v>18</v>
      </c>
      <c r="AI70">
        <f t="shared" si="35"/>
        <v>542.13299999999992</v>
      </c>
      <c r="AJ70" s="11">
        <f t="shared" si="36"/>
        <v>8.7999999999999995E-2</v>
      </c>
      <c r="AK70">
        <f t="shared" si="37"/>
        <v>13540.080959999999</v>
      </c>
      <c r="AL70">
        <f t="shared" si="38"/>
        <v>9758.3939999999984</v>
      </c>
      <c r="AM70">
        <f t="shared" si="39"/>
        <v>3781.6869600000009</v>
      </c>
    </row>
    <row r="71" spans="1:39" x14ac:dyDescent="0.25">
      <c r="A71" t="s">
        <v>642</v>
      </c>
      <c r="B71" s="4">
        <v>45100</v>
      </c>
      <c r="C71" s="4">
        <v>45125</v>
      </c>
      <c r="D71" s="13">
        <f t="shared" si="20"/>
        <v>25</v>
      </c>
      <c r="E71" s="6" t="s">
        <v>648</v>
      </c>
      <c r="F71" t="s">
        <v>653</v>
      </c>
      <c r="G71" t="s">
        <v>688</v>
      </c>
      <c r="H71" t="s">
        <v>706</v>
      </c>
      <c r="I71" t="s">
        <v>708</v>
      </c>
      <c r="J71" t="s">
        <v>725</v>
      </c>
      <c r="K71" t="s">
        <v>730</v>
      </c>
      <c r="L71" t="s">
        <v>1360</v>
      </c>
      <c r="M71" s="8">
        <v>807.02</v>
      </c>
      <c r="N71" s="8">
        <v>1435.54</v>
      </c>
      <c r="O71" s="8">
        <f t="shared" si="21"/>
        <v>1435.54</v>
      </c>
      <c r="P71" s="11">
        <v>0</v>
      </c>
      <c r="Q71" s="13">
        <v>23</v>
      </c>
      <c r="R71" s="8">
        <f t="shared" si="22"/>
        <v>33017.42</v>
      </c>
      <c r="S71" s="8">
        <f t="shared" si="23"/>
        <v>18561.46</v>
      </c>
      <c r="T71" s="8">
        <f t="shared" si="24"/>
        <v>14455.96</v>
      </c>
      <c r="U71" s="11">
        <f t="shared" si="25"/>
        <v>0.43782827368098415</v>
      </c>
      <c r="V71" s="17">
        <v>45751</v>
      </c>
      <c r="W71" s="4" t="str">
        <f t="shared" si="26"/>
        <v>Q2-2023</v>
      </c>
      <c r="X71" t="str">
        <f t="shared" si="27"/>
        <v>Americas → Canada → Vancouver</v>
      </c>
      <c r="Y71" t="str">
        <f t="shared" si="28"/>
        <v>Medium</v>
      </c>
      <c r="Z71" s="20">
        <f t="shared" si="29"/>
        <v>45078</v>
      </c>
      <c r="AA71" s="4">
        <f t="array" ref="AA71">MIN(IF($F$2:$F$633=F71,$Z$2:$Z$633))</f>
        <v>44927</v>
      </c>
      <c r="AB71">
        <f t="shared" si="30"/>
        <v>5</v>
      </c>
      <c r="AC71">
        <f t="shared" si="31"/>
        <v>0</v>
      </c>
      <c r="AD71">
        <f t="shared" si="32"/>
        <v>0</v>
      </c>
      <c r="AE71" s="13">
        <f t="shared" si="33"/>
        <v>0</v>
      </c>
      <c r="AH71">
        <f t="shared" si="34"/>
        <v>27.599999999999998</v>
      </c>
      <c r="AI71">
        <f t="shared" si="35"/>
        <v>928.07299999999987</v>
      </c>
      <c r="AJ71" s="11">
        <f t="shared" si="36"/>
        <v>0</v>
      </c>
      <c r="AK71">
        <f t="shared" si="37"/>
        <v>39620.903999999995</v>
      </c>
      <c r="AL71">
        <f t="shared" si="38"/>
        <v>25614.814799999993</v>
      </c>
      <c r="AM71">
        <f t="shared" si="39"/>
        <v>14006.089200000002</v>
      </c>
    </row>
    <row r="72" spans="1:39" x14ac:dyDescent="0.25">
      <c r="A72" t="s">
        <v>287</v>
      </c>
      <c r="B72" s="4">
        <v>45131</v>
      </c>
      <c r="C72" s="4">
        <v>45151</v>
      </c>
      <c r="D72" s="13">
        <f t="shared" si="20"/>
        <v>20</v>
      </c>
      <c r="E72" s="6" t="s">
        <v>648</v>
      </c>
      <c r="F72" t="s">
        <v>653</v>
      </c>
      <c r="G72" t="s">
        <v>681</v>
      </c>
      <c r="H72" t="s">
        <v>702</v>
      </c>
      <c r="I72" t="s">
        <v>711</v>
      </c>
      <c r="J72" t="s">
        <v>712</v>
      </c>
      <c r="K72" t="s">
        <v>732</v>
      </c>
      <c r="L72" t="s">
        <v>1007</v>
      </c>
      <c r="M72" s="8">
        <v>1082.3800000000001</v>
      </c>
      <c r="N72" s="8">
        <v>1766.55</v>
      </c>
      <c r="O72" s="8">
        <f t="shared" si="21"/>
        <v>1766.55</v>
      </c>
      <c r="P72" s="11">
        <v>0.16400000000000001</v>
      </c>
      <c r="Q72" s="13">
        <v>20</v>
      </c>
      <c r="R72" s="8">
        <f t="shared" si="22"/>
        <v>29536.716</v>
      </c>
      <c r="S72" s="8">
        <f t="shared" si="23"/>
        <v>21647.600000000002</v>
      </c>
      <c r="T72" s="8">
        <f t="shared" si="24"/>
        <v>7889.1159999999982</v>
      </c>
      <c r="U72" s="11">
        <f t="shared" si="25"/>
        <v>0.26709523157550752</v>
      </c>
      <c r="V72" s="17">
        <v>45713</v>
      </c>
      <c r="W72" s="4" t="str">
        <f t="shared" si="26"/>
        <v>Q3-2023</v>
      </c>
      <c r="X72" t="str">
        <f t="shared" si="27"/>
        <v>Americas → Canada → Montreal</v>
      </c>
      <c r="Y72" t="str">
        <f t="shared" si="28"/>
        <v>High</v>
      </c>
      <c r="Z72" s="20">
        <f t="shared" si="29"/>
        <v>45108</v>
      </c>
      <c r="AA72" s="4">
        <f t="array" ref="AA72">MIN(IF($F$2:$F$633=F72,$Z$2:$Z$633))</f>
        <v>44927</v>
      </c>
      <c r="AB72">
        <f t="shared" si="30"/>
        <v>6</v>
      </c>
      <c r="AC72">
        <f t="shared" si="31"/>
        <v>0</v>
      </c>
      <c r="AD72">
        <f t="shared" si="32"/>
        <v>0</v>
      </c>
      <c r="AE72" s="13">
        <f t="shared" si="33"/>
        <v>0</v>
      </c>
      <c r="AH72">
        <f t="shared" si="34"/>
        <v>24</v>
      </c>
      <c r="AI72">
        <f t="shared" si="35"/>
        <v>1244.7370000000001</v>
      </c>
      <c r="AJ72" s="11">
        <f t="shared" si="36"/>
        <v>0.16400000000000001</v>
      </c>
      <c r="AK72">
        <f t="shared" si="37"/>
        <v>35444.059199999996</v>
      </c>
      <c r="AL72">
        <f t="shared" si="38"/>
        <v>29873.688000000002</v>
      </c>
      <c r="AM72">
        <f t="shared" si="39"/>
        <v>5570.3711999999941</v>
      </c>
    </row>
    <row r="73" spans="1:39" x14ac:dyDescent="0.25">
      <c r="A73" t="s">
        <v>591</v>
      </c>
      <c r="B73" s="4">
        <v>45140</v>
      </c>
      <c r="C73" s="4">
        <v>45157</v>
      </c>
      <c r="D73" s="13">
        <f t="shared" si="20"/>
        <v>17</v>
      </c>
      <c r="E73" s="6" t="s">
        <v>648</v>
      </c>
      <c r="F73" t="s">
        <v>653</v>
      </c>
      <c r="G73" t="s">
        <v>688</v>
      </c>
      <c r="H73" t="s">
        <v>701</v>
      </c>
      <c r="I73" t="s">
        <v>708</v>
      </c>
      <c r="J73" t="s">
        <v>721</v>
      </c>
      <c r="K73" t="s">
        <v>729</v>
      </c>
      <c r="L73" t="s">
        <v>1309</v>
      </c>
      <c r="M73" s="8">
        <v>175.38</v>
      </c>
      <c r="N73" s="8">
        <v>347.9</v>
      </c>
      <c r="O73" s="8">
        <f t="shared" si="21"/>
        <v>347.9</v>
      </c>
      <c r="P73" s="11">
        <v>7.1999999999999995E-2</v>
      </c>
      <c r="Q73" s="13">
        <v>43</v>
      </c>
      <c r="R73" s="8">
        <f t="shared" si="22"/>
        <v>13882.6016</v>
      </c>
      <c r="S73" s="8">
        <f t="shared" si="23"/>
        <v>7541.34</v>
      </c>
      <c r="T73" s="8">
        <f t="shared" si="24"/>
        <v>6341.2615999999998</v>
      </c>
      <c r="U73" s="11">
        <f t="shared" si="25"/>
        <v>0.45677761148169804</v>
      </c>
      <c r="V73" s="17">
        <v>45690</v>
      </c>
      <c r="W73" s="4" t="str">
        <f t="shared" si="26"/>
        <v>Q3-2023</v>
      </c>
      <c r="X73" t="str">
        <f t="shared" si="27"/>
        <v>Americas → Canada → Vancouver</v>
      </c>
      <c r="Y73" t="str">
        <f t="shared" si="28"/>
        <v>Low</v>
      </c>
      <c r="Z73" s="20">
        <f t="shared" si="29"/>
        <v>45139</v>
      </c>
      <c r="AA73" s="4">
        <f t="array" ref="AA73">MIN(IF($F$2:$F$633=F73,$Z$2:$Z$633))</f>
        <v>44927</v>
      </c>
      <c r="AB73">
        <f t="shared" si="30"/>
        <v>7</v>
      </c>
      <c r="AC73">
        <f t="shared" si="31"/>
        <v>0</v>
      </c>
      <c r="AD73">
        <f t="shared" si="32"/>
        <v>0</v>
      </c>
      <c r="AE73" s="13">
        <f t="shared" si="33"/>
        <v>0</v>
      </c>
      <c r="AH73">
        <f t="shared" si="34"/>
        <v>51.6</v>
      </c>
      <c r="AI73">
        <f t="shared" si="35"/>
        <v>201.68699999999998</v>
      </c>
      <c r="AJ73" s="11">
        <f t="shared" si="36"/>
        <v>7.1999999999999995E-2</v>
      </c>
      <c r="AK73">
        <f t="shared" si="37"/>
        <v>16659.121920000001</v>
      </c>
      <c r="AL73">
        <f t="shared" si="38"/>
        <v>10407.049199999999</v>
      </c>
      <c r="AM73">
        <f t="shared" si="39"/>
        <v>6252.0727200000019</v>
      </c>
    </row>
    <row r="74" spans="1:39" x14ac:dyDescent="0.25">
      <c r="A74" t="s">
        <v>96</v>
      </c>
      <c r="B74" s="4">
        <v>45157</v>
      </c>
      <c r="C74" s="4">
        <v>45181</v>
      </c>
      <c r="D74" s="13">
        <f t="shared" si="20"/>
        <v>24</v>
      </c>
      <c r="E74" s="6" t="s">
        <v>648</v>
      </c>
      <c r="F74" t="s">
        <v>653</v>
      </c>
      <c r="G74" t="s">
        <v>688</v>
      </c>
      <c r="H74" t="s">
        <v>706</v>
      </c>
      <c r="I74" t="s">
        <v>707</v>
      </c>
      <c r="J74" t="s">
        <v>714</v>
      </c>
      <c r="K74" t="s">
        <v>728</v>
      </c>
      <c r="L74" t="s">
        <v>815</v>
      </c>
      <c r="M74" s="8">
        <v>1183.95</v>
      </c>
      <c r="N74" s="8">
        <v>1503.53</v>
      </c>
      <c r="O74" s="8">
        <f t="shared" si="21"/>
        <v>1503.53</v>
      </c>
      <c r="P74" s="11">
        <v>0.24099999999999999</v>
      </c>
      <c r="Q74" s="13">
        <v>16</v>
      </c>
      <c r="R74" s="8">
        <f t="shared" si="22"/>
        <v>18258.868320000001</v>
      </c>
      <c r="S74" s="8">
        <f t="shared" si="23"/>
        <v>18943.2</v>
      </c>
      <c r="T74" s="8">
        <f t="shared" si="24"/>
        <v>-684.33167999999932</v>
      </c>
      <c r="U74" s="11">
        <f t="shared" si="25"/>
        <v>-3.7479413729623705E-2</v>
      </c>
      <c r="V74" s="17">
        <v>45694</v>
      </c>
      <c r="W74" s="4" t="str">
        <f t="shared" si="26"/>
        <v>Q3-2023</v>
      </c>
      <c r="X74" t="str">
        <f t="shared" si="27"/>
        <v>Americas → Canada → Vancouver</v>
      </c>
      <c r="Y74" t="str">
        <f t="shared" si="28"/>
        <v>Medium</v>
      </c>
      <c r="Z74" s="20">
        <f t="shared" si="29"/>
        <v>45139</v>
      </c>
      <c r="AA74" s="4">
        <f t="array" ref="AA74">MIN(IF($F$2:$F$633=F74,$Z$2:$Z$633))</f>
        <v>44927</v>
      </c>
      <c r="AB74">
        <f t="shared" si="30"/>
        <v>7</v>
      </c>
      <c r="AC74">
        <f t="shared" si="31"/>
        <v>0</v>
      </c>
      <c r="AD74">
        <f t="shared" si="32"/>
        <v>1</v>
      </c>
      <c r="AE74" s="13">
        <f t="shared" si="33"/>
        <v>0</v>
      </c>
      <c r="AH74">
        <f t="shared" si="34"/>
        <v>19.2</v>
      </c>
      <c r="AI74">
        <f t="shared" si="35"/>
        <v>1361.5425</v>
      </c>
      <c r="AJ74" s="11">
        <f t="shared" si="36"/>
        <v>0.24099999999999999</v>
      </c>
      <c r="AK74">
        <f t="shared" si="37"/>
        <v>21910.641983999998</v>
      </c>
      <c r="AL74">
        <f t="shared" si="38"/>
        <v>26141.615999999998</v>
      </c>
      <c r="AM74">
        <f t="shared" si="39"/>
        <v>-4230.9740160000001</v>
      </c>
    </row>
    <row r="75" spans="1:39" x14ac:dyDescent="0.25">
      <c r="A75" t="s">
        <v>139</v>
      </c>
      <c r="B75" s="4">
        <v>45159</v>
      </c>
      <c r="C75" s="4">
        <v>45173</v>
      </c>
      <c r="D75" s="13">
        <f t="shared" si="20"/>
        <v>14</v>
      </c>
      <c r="E75" s="6" t="s">
        <v>648</v>
      </c>
      <c r="F75" t="s">
        <v>653</v>
      </c>
      <c r="G75" t="s">
        <v>681</v>
      </c>
      <c r="H75" t="s">
        <v>702</v>
      </c>
      <c r="I75" t="s">
        <v>710</v>
      </c>
      <c r="J75" t="s">
        <v>721</v>
      </c>
      <c r="K75" t="s">
        <v>727</v>
      </c>
      <c r="L75" t="s">
        <v>858</v>
      </c>
      <c r="M75" s="8">
        <v>178.19</v>
      </c>
      <c r="N75" s="8">
        <v>284.43</v>
      </c>
      <c r="O75" s="8">
        <f t="shared" si="21"/>
        <v>284.43</v>
      </c>
      <c r="P75" s="11">
        <v>8.8999999999999996E-2</v>
      </c>
      <c r="Q75" s="13">
        <v>8</v>
      </c>
      <c r="R75" s="8">
        <f t="shared" si="22"/>
        <v>2072.9258400000003</v>
      </c>
      <c r="S75" s="8">
        <f t="shared" si="23"/>
        <v>1425.52</v>
      </c>
      <c r="T75" s="8">
        <f t="shared" si="24"/>
        <v>647.40584000000035</v>
      </c>
      <c r="U75" s="11">
        <f t="shared" si="25"/>
        <v>0.31231500302972742</v>
      </c>
      <c r="V75" s="17">
        <v>45692</v>
      </c>
      <c r="W75" s="4" t="str">
        <f t="shared" si="26"/>
        <v>Q3-2023</v>
      </c>
      <c r="X75" t="str">
        <f t="shared" si="27"/>
        <v>Americas → Canada → Montreal</v>
      </c>
      <c r="Y75" t="str">
        <f t="shared" si="28"/>
        <v>Low</v>
      </c>
      <c r="Z75" s="20">
        <f t="shared" si="29"/>
        <v>45139</v>
      </c>
      <c r="AA75" s="4">
        <f t="array" ref="AA75">MIN(IF($F$2:$F$633=F75,$Z$2:$Z$633))</f>
        <v>44927</v>
      </c>
      <c r="AB75">
        <f t="shared" si="30"/>
        <v>7</v>
      </c>
      <c r="AC75">
        <f t="shared" si="31"/>
        <v>0</v>
      </c>
      <c r="AD75">
        <f t="shared" si="32"/>
        <v>0</v>
      </c>
      <c r="AE75" s="13">
        <f t="shared" si="33"/>
        <v>0</v>
      </c>
      <c r="AH75">
        <f t="shared" si="34"/>
        <v>9.6</v>
      </c>
      <c r="AI75">
        <f t="shared" si="35"/>
        <v>204.91849999999999</v>
      </c>
      <c r="AJ75" s="11">
        <f t="shared" si="36"/>
        <v>8.8999999999999996E-2</v>
      </c>
      <c r="AK75">
        <f t="shared" si="37"/>
        <v>2487.5110079999999</v>
      </c>
      <c r="AL75">
        <f t="shared" si="38"/>
        <v>1967.2175999999999</v>
      </c>
      <c r="AM75">
        <f t="shared" si="39"/>
        <v>520.293408</v>
      </c>
    </row>
    <row r="76" spans="1:39" x14ac:dyDescent="0.25">
      <c r="A76" t="s">
        <v>429</v>
      </c>
      <c r="B76" s="4">
        <v>45167</v>
      </c>
      <c r="C76" s="4">
        <v>45182</v>
      </c>
      <c r="D76" s="13">
        <f t="shared" si="20"/>
        <v>15</v>
      </c>
      <c r="E76" s="6" t="s">
        <v>648</v>
      </c>
      <c r="F76" t="s">
        <v>653</v>
      </c>
      <c r="G76" t="s">
        <v>688</v>
      </c>
      <c r="H76" t="s">
        <v>705</v>
      </c>
      <c r="I76" t="s">
        <v>709</v>
      </c>
      <c r="J76" t="s">
        <v>719</v>
      </c>
      <c r="K76" t="s">
        <v>728</v>
      </c>
      <c r="L76" t="s">
        <v>1148</v>
      </c>
      <c r="M76" s="8">
        <v>1287.6400000000001</v>
      </c>
      <c r="N76" s="8">
        <v>2717.15</v>
      </c>
      <c r="O76" s="8">
        <f t="shared" si="21"/>
        <v>2717.15</v>
      </c>
      <c r="P76" s="11">
        <v>3.2000000000000001E-2</v>
      </c>
      <c r="Q76" s="13">
        <v>7</v>
      </c>
      <c r="R76" s="8">
        <f t="shared" si="22"/>
        <v>18411.4084</v>
      </c>
      <c r="S76" s="8">
        <f t="shared" si="23"/>
        <v>9013.4800000000014</v>
      </c>
      <c r="T76" s="8">
        <f t="shared" si="24"/>
        <v>9397.9283999999989</v>
      </c>
      <c r="U76" s="11">
        <f t="shared" si="25"/>
        <v>0.51044049405802105</v>
      </c>
      <c r="V76" s="17">
        <v>45668</v>
      </c>
      <c r="W76" s="4" t="str">
        <f t="shared" si="26"/>
        <v>Q3-2023</v>
      </c>
      <c r="X76" t="str">
        <f t="shared" si="27"/>
        <v>Americas → Canada → Vancouver</v>
      </c>
      <c r="Y76" t="str">
        <f t="shared" si="28"/>
        <v>High</v>
      </c>
      <c r="Z76" s="20">
        <f t="shared" si="29"/>
        <v>45139</v>
      </c>
      <c r="AA76" s="4">
        <f t="array" ref="AA76">MIN(IF($F$2:$F$633=F76,$Z$2:$Z$633))</f>
        <v>44927</v>
      </c>
      <c r="AB76">
        <f t="shared" si="30"/>
        <v>7</v>
      </c>
      <c r="AC76">
        <f t="shared" si="31"/>
        <v>0</v>
      </c>
      <c r="AD76">
        <f t="shared" si="32"/>
        <v>0</v>
      </c>
      <c r="AE76" s="13">
        <f t="shared" si="33"/>
        <v>0</v>
      </c>
      <c r="AH76">
        <f t="shared" si="34"/>
        <v>8.4</v>
      </c>
      <c r="AI76">
        <f t="shared" si="35"/>
        <v>1480.7860000000001</v>
      </c>
      <c r="AJ76" s="11">
        <f t="shared" si="36"/>
        <v>3.2000000000000001E-2</v>
      </c>
      <c r="AK76">
        <f t="shared" si="37"/>
        <v>22093.69008</v>
      </c>
      <c r="AL76">
        <f t="shared" si="38"/>
        <v>12438.602400000002</v>
      </c>
      <c r="AM76">
        <f t="shared" si="39"/>
        <v>9655.0876799999987</v>
      </c>
    </row>
    <row r="77" spans="1:39" x14ac:dyDescent="0.25">
      <c r="A77" t="s">
        <v>561</v>
      </c>
      <c r="B77" s="4">
        <v>45177</v>
      </c>
      <c r="C77" s="4">
        <v>45201</v>
      </c>
      <c r="D77" s="13">
        <f t="shared" si="20"/>
        <v>24</v>
      </c>
      <c r="E77" s="6" t="s">
        <v>648</v>
      </c>
      <c r="F77" t="s">
        <v>653</v>
      </c>
      <c r="G77" t="s">
        <v>667</v>
      </c>
      <c r="H77" t="s">
        <v>702</v>
      </c>
      <c r="I77" t="s">
        <v>711</v>
      </c>
      <c r="J77" t="s">
        <v>720</v>
      </c>
      <c r="K77" t="s">
        <v>733</v>
      </c>
      <c r="L77" t="s">
        <v>1279</v>
      </c>
      <c r="M77" s="8">
        <v>1299.03</v>
      </c>
      <c r="N77" s="8">
        <v>2451.2199999999998</v>
      </c>
      <c r="O77" s="8">
        <f t="shared" si="21"/>
        <v>2451.2199999999998</v>
      </c>
      <c r="P77" s="11">
        <v>0.20799999999999999</v>
      </c>
      <c r="Q77" s="13">
        <v>8</v>
      </c>
      <c r="R77" s="8">
        <f t="shared" si="22"/>
        <v>15530.929919999999</v>
      </c>
      <c r="S77" s="8">
        <f t="shared" si="23"/>
        <v>10392.24</v>
      </c>
      <c r="T77" s="8">
        <f t="shared" si="24"/>
        <v>5138.6899199999989</v>
      </c>
      <c r="U77" s="11">
        <f t="shared" si="25"/>
        <v>0.3308681416032041</v>
      </c>
      <c r="V77" s="17">
        <v>45664</v>
      </c>
      <c r="W77" s="4" t="str">
        <f t="shared" si="26"/>
        <v>Q3-2023</v>
      </c>
      <c r="X77" t="str">
        <f t="shared" si="27"/>
        <v>Americas → Canada → Toronto</v>
      </c>
      <c r="Y77" t="str">
        <f t="shared" si="28"/>
        <v>High</v>
      </c>
      <c r="Z77" s="20">
        <f t="shared" si="29"/>
        <v>45170</v>
      </c>
      <c r="AA77" s="4">
        <f t="array" ref="AA77">MIN(IF($F$2:$F$633=F77,$Z$2:$Z$633))</f>
        <v>44927</v>
      </c>
      <c r="AB77">
        <f t="shared" si="30"/>
        <v>8</v>
      </c>
      <c r="AC77">
        <f t="shared" si="31"/>
        <v>0</v>
      </c>
      <c r="AD77">
        <f t="shared" si="32"/>
        <v>1</v>
      </c>
      <c r="AE77" s="13">
        <f t="shared" si="33"/>
        <v>0</v>
      </c>
      <c r="AH77">
        <f t="shared" si="34"/>
        <v>9.6</v>
      </c>
      <c r="AI77">
        <f t="shared" si="35"/>
        <v>1493.8844999999999</v>
      </c>
      <c r="AJ77" s="11">
        <f t="shared" si="36"/>
        <v>0.20799999999999999</v>
      </c>
      <c r="AK77">
        <f t="shared" si="37"/>
        <v>18637.115903999998</v>
      </c>
      <c r="AL77">
        <f t="shared" si="38"/>
        <v>14341.291199999998</v>
      </c>
      <c r="AM77">
        <f t="shared" si="39"/>
        <v>4295.8247040000006</v>
      </c>
    </row>
    <row r="78" spans="1:39" x14ac:dyDescent="0.25">
      <c r="A78" t="s">
        <v>343</v>
      </c>
      <c r="B78" s="4">
        <v>45221</v>
      </c>
      <c r="C78" s="4">
        <v>45246</v>
      </c>
      <c r="D78" s="13">
        <f t="shared" si="20"/>
        <v>25</v>
      </c>
      <c r="E78" s="6" t="s">
        <v>648</v>
      </c>
      <c r="F78" t="s">
        <v>653</v>
      </c>
      <c r="G78" t="s">
        <v>667</v>
      </c>
      <c r="H78" t="s">
        <v>705</v>
      </c>
      <c r="I78" t="s">
        <v>709</v>
      </c>
      <c r="J78" t="s">
        <v>714</v>
      </c>
      <c r="K78" t="s">
        <v>731</v>
      </c>
      <c r="L78" t="s">
        <v>1063</v>
      </c>
      <c r="M78" s="8">
        <v>1373.31</v>
      </c>
      <c r="N78" s="8">
        <v>3154.14</v>
      </c>
      <c r="O78" s="8">
        <f t="shared" si="21"/>
        <v>3154.14</v>
      </c>
      <c r="P78" s="11">
        <v>0.2</v>
      </c>
      <c r="Q78" s="13">
        <v>11</v>
      </c>
      <c r="R78" s="8">
        <f t="shared" si="22"/>
        <v>27756.432000000001</v>
      </c>
      <c r="S78" s="8">
        <f t="shared" si="23"/>
        <v>15106.41</v>
      </c>
      <c r="T78" s="8">
        <f t="shared" si="24"/>
        <v>12650.022000000001</v>
      </c>
      <c r="U78" s="11">
        <f t="shared" si="25"/>
        <v>0.45575101295440279</v>
      </c>
      <c r="V78" s="17">
        <v>45626</v>
      </c>
      <c r="W78" s="4" t="str">
        <f t="shared" si="26"/>
        <v>Q4-2023</v>
      </c>
      <c r="X78" t="str">
        <f t="shared" si="27"/>
        <v>Americas → Canada → Toronto</v>
      </c>
      <c r="Y78" t="str">
        <f t="shared" si="28"/>
        <v>High</v>
      </c>
      <c r="Z78" s="20">
        <f t="shared" si="29"/>
        <v>45200</v>
      </c>
      <c r="AA78" s="4">
        <f t="array" ref="AA78">MIN(IF($F$2:$F$633=F78,$Z$2:$Z$633))</f>
        <v>44927</v>
      </c>
      <c r="AB78">
        <f t="shared" si="30"/>
        <v>9</v>
      </c>
      <c r="AC78">
        <f t="shared" si="31"/>
        <v>0</v>
      </c>
      <c r="AD78">
        <f t="shared" si="32"/>
        <v>0</v>
      </c>
      <c r="AE78" s="13">
        <f t="shared" si="33"/>
        <v>0</v>
      </c>
      <c r="AH78">
        <f t="shared" si="34"/>
        <v>13.2</v>
      </c>
      <c r="AI78">
        <f t="shared" si="35"/>
        <v>1579.3064999999999</v>
      </c>
      <c r="AJ78" s="11">
        <f t="shared" si="36"/>
        <v>0.2</v>
      </c>
      <c r="AK78">
        <f t="shared" si="37"/>
        <v>33307.718399999998</v>
      </c>
      <c r="AL78">
        <f t="shared" si="38"/>
        <v>20846.845799999999</v>
      </c>
      <c r="AM78">
        <f t="shared" si="39"/>
        <v>12460.872599999999</v>
      </c>
    </row>
    <row r="79" spans="1:39" x14ac:dyDescent="0.25">
      <c r="A79" t="s">
        <v>588</v>
      </c>
      <c r="B79" s="4">
        <v>45279</v>
      </c>
      <c r="C79" s="4">
        <v>45292</v>
      </c>
      <c r="D79" s="13">
        <f t="shared" si="20"/>
        <v>13</v>
      </c>
      <c r="E79" s="6" t="s">
        <v>648</v>
      </c>
      <c r="F79" t="s">
        <v>653</v>
      </c>
      <c r="G79" t="s">
        <v>667</v>
      </c>
      <c r="H79" t="s">
        <v>706</v>
      </c>
      <c r="I79" t="s">
        <v>707</v>
      </c>
      <c r="J79" t="s">
        <v>723</v>
      </c>
      <c r="K79" t="s">
        <v>732</v>
      </c>
      <c r="L79" t="s">
        <v>1306</v>
      </c>
      <c r="M79" s="8">
        <v>856.1</v>
      </c>
      <c r="N79" s="8">
        <v>901.48</v>
      </c>
      <c r="O79" s="8">
        <f t="shared" si="21"/>
        <v>901.48</v>
      </c>
      <c r="P79" s="11">
        <v>5.6000000000000001E-2</v>
      </c>
      <c r="Q79" s="13">
        <v>17</v>
      </c>
      <c r="R79" s="8">
        <f t="shared" si="22"/>
        <v>14466.95104</v>
      </c>
      <c r="S79" s="8">
        <f t="shared" si="23"/>
        <v>14553.7</v>
      </c>
      <c r="T79" s="8">
        <f t="shared" si="24"/>
        <v>-86.748960000000807</v>
      </c>
      <c r="U79" s="11">
        <f t="shared" si="25"/>
        <v>-5.9963540182134192E-3</v>
      </c>
      <c r="V79" s="17">
        <v>45600</v>
      </c>
      <c r="W79" s="4" t="str">
        <f t="shared" si="26"/>
        <v>Q4-2023</v>
      </c>
      <c r="X79" t="str">
        <f t="shared" si="27"/>
        <v>Americas → Canada → Toronto</v>
      </c>
      <c r="Y79" t="str">
        <f t="shared" si="28"/>
        <v>Medium</v>
      </c>
      <c r="Z79" s="20">
        <f t="shared" si="29"/>
        <v>45261</v>
      </c>
      <c r="AA79" s="4">
        <f t="array" ref="AA79">MIN(IF($F$2:$F$633=F79,$Z$2:$Z$633))</f>
        <v>44927</v>
      </c>
      <c r="AB79">
        <f t="shared" si="30"/>
        <v>11</v>
      </c>
      <c r="AC79">
        <f t="shared" si="31"/>
        <v>0</v>
      </c>
      <c r="AD79">
        <f t="shared" si="32"/>
        <v>0</v>
      </c>
      <c r="AE79" s="13">
        <f t="shared" si="33"/>
        <v>0</v>
      </c>
      <c r="AH79">
        <f t="shared" si="34"/>
        <v>20.399999999999999</v>
      </c>
      <c r="AI79">
        <f t="shared" si="35"/>
        <v>984.51499999999999</v>
      </c>
      <c r="AJ79" s="11">
        <f t="shared" si="36"/>
        <v>5.6000000000000001E-2</v>
      </c>
      <c r="AK79">
        <f t="shared" si="37"/>
        <v>17360.341247999997</v>
      </c>
      <c r="AL79">
        <f t="shared" si="38"/>
        <v>20084.106</v>
      </c>
      <c r="AM79">
        <f t="shared" si="39"/>
        <v>-2723.7647520000028</v>
      </c>
    </row>
    <row r="80" spans="1:39" x14ac:dyDescent="0.25">
      <c r="A80" t="s">
        <v>587</v>
      </c>
      <c r="B80" s="4">
        <v>45293</v>
      </c>
      <c r="C80" s="4">
        <v>45293</v>
      </c>
      <c r="D80" s="13">
        <f t="shared" si="20"/>
        <v>0</v>
      </c>
      <c r="E80" s="6" t="s">
        <v>648</v>
      </c>
      <c r="F80" t="s">
        <v>653</v>
      </c>
      <c r="G80" t="s">
        <v>688</v>
      </c>
      <c r="H80" t="s">
        <v>702</v>
      </c>
      <c r="I80" t="s">
        <v>711</v>
      </c>
      <c r="J80" t="s">
        <v>720</v>
      </c>
      <c r="K80" t="s">
        <v>731</v>
      </c>
      <c r="L80" t="s">
        <v>1305</v>
      </c>
      <c r="M80" s="8">
        <v>444.41</v>
      </c>
      <c r="N80" s="8">
        <v>754.24</v>
      </c>
      <c r="O80" s="8">
        <f t="shared" si="21"/>
        <v>754.24</v>
      </c>
      <c r="P80" s="11">
        <v>0.20699999999999999</v>
      </c>
      <c r="Q80" s="13">
        <v>32</v>
      </c>
      <c r="R80" s="8">
        <f t="shared" si="22"/>
        <v>19139.594240000002</v>
      </c>
      <c r="S80" s="8">
        <f t="shared" si="23"/>
        <v>14221.12</v>
      </c>
      <c r="T80" s="8">
        <f t="shared" si="24"/>
        <v>4918.4742400000014</v>
      </c>
      <c r="U80" s="11">
        <f t="shared" si="25"/>
        <v>0.25697902360546598</v>
      </c>
      <c r="V80" s="17">
        <v>45575</v>
      </c>
      <c r="W80" s="4" t="str">
        <f t="shared" si="26"/>
        <v>Q1-2024</v>
      </c>
      <c r="X80" t="str">
        <f t="shared" si="27"/>
        <v>Americas → Canada → Vancouver</v>
      </c>
      <c r="Y80" t="str">
        <f t="shared" si="28"/>
        <v>Low</v>
      </c>
      <c r="Z80" s="20">
        <f t="shared" si="29"/>
        <v>45292</v>
      </c>
      <c r="AA80" s="4">
        <f t="array" ref="AA80">MIN(IF($F$2:$F$633=F80,$Z$2:$Z$633))</f>
        <v>44927</v>
      </c>
      <c r="AB80">
        <f t="shared" si="30"/>
        <v>12</v>
      </c>
      <c r="AC80">
        <f t="shared" si="31"/>
        <v>1</v>
      </c>
      <c r="AD80">
        <f t="shared" si="32"/>
        <v>1</v>
      </c>
      <c r="AE80" s="13">
        <f t="shared" si="33"/>
        <v>1</v>
      </c>
      <c r="AH80">
        <f t="shared" si="34"/>
        <v>38.4</v>
      </c>
      <c r="AI80">
        <f t="shared" si="35"/>
        <v>511.07150000000001</v>
      </c>
      <c r="AJ80" s="11">
        <f t="shared" si="36"/>
        <v>0.20699999999999999</v>
      </c>
      <c r="AK80">
        <f t="shared" si="37"/>
        <v>22967.513088</v>
      </c>
      <c r="AL80">
        <f t="shared" si="38"/>
        <v>19625.1456</v>
      </c>
      <c r="AM80">
        <f t="shared" si="39"/>
        <v>3342.3674879999999</v>
      </c>
    </row>
    <row r="81" spans="1:39" x14ac:dyDescent="0.25">
      <c r="A81" t="s">
        <v>260</v>
      </c>
      <c r="B81" s="4">
        <v>45338</v>
      </c>
      <c r="C81" s="4">
        <v>45355</v>
      </c>
      <c r="D81" s="13">
        <f t="shared" si="20"/>
        <v>17</v>
      </c>
      <c r="E81" s="6" t="s">
        <v>648</v>
      </c>
      <c r="F81" t="s">
        <v>653</v>
      </c>
      <c r="G81" t="s">
        <v>681</v>
      </c>
      <c r="H81" t="s">
        <v>703</v>
      </c>
      <c r="I81" t="s">
        <v>707</v>
      </c>
      <c r="J81" t="s">
        <v>726</v>
      </c>
      <c r="K81" t="s">
        <v>731</v>
      </c>
      <c r="L81" t="s">
        <v>980</v>
      </c>
      <c r="M81" s="8">
        <v>1350.98</v>
      </c>
      <c r="N81" s="8">
        <v>2210.4</v>
      </c>
      <c r="O81" s="8">
        <f t="shared" si="21"/>
        <v>2210.4</v>
      </c>
      <c r="P81" s="11">
        <v>0.26300000000000001</v>
      </c>
      <c r="Q81" s="13">
        <v>6</v>
      </c>
      <c r="R81" s="8">
        <f t="shared" si="22"/>
        <v>9774.3888000000006</v>
      </c>
      <c r="S81" s="8">
        <f t="shared" si="23"/>
        <v>8105.88</v>
      </c>
      <c r="T81" s="8">
        <f t="shared" si="24"/>
        <v>1668.5088000000005</v>
      </c>
      <c r="U81" s="11">
        <f t="shared" si="25"/>
        <v>0.17070211080615091</v>
      </c>
      <c r="V81" s="17">
        <v>45518</v>
      </c>
      <c r="W81" s="4" t="str">
        <f t="shared" si="26"/>
        <v>Q1-2024</v>
      </c>
      <c r="X81" t="str">
        <f t="shared" si="27"/>
        <v>Americas → Canada → Montreal</v>
      </c>
      <c r="Y81" t="str">
        <f t="shared" si="28"/>
        <v>High</v>
      </c>
      <c r="Z81" s="20">
        <f t="shared" si="29"/>
        <v>45323</v>
      </c>
      <c r="AA81" s="4">
        <f t="array" ref="AA81">MIN(IF($F$2:$F$633=F81,$Z$2:$Z$633))</f>
        <v>44927</v>
      </c>
      <c r="AB81">
        <f t="shared" si="30"/>
        <v>13</v>
      </c>
      <c r="AC81">
        <f t="shared" si="31"/>
        <v>0</v>
      </c>
      <c r="AD81">
        <f t="shared" si="32"/>
        <v>1</v>
      </c>
      <c r="AE81" s="13">
        <f t="shared" si="33"/>
        <v>0</v>
      </c>
      <c r="AH81">
        <f t="shared" si="34"/>
        <v>7.1999999999999993</v>
      </c>
      <c r="AI81">
        <f t="shared" si="35"/>
        <v>1553.627</v>
      </c>
      <c r="AJ81" s="11">
        <f t="shared" si="36"/>
        <v>0.25</v>
      </c>
      <c r="AK81">
        <f t="shared" si="37"/>
        <v>11936.16</v>
      </c>
      <c r="AL81">
        <f t="shared" si="38"/>
        <v>11186.114399999999</v>
      </c>
      <c r="AM81">
        <f t="shared" si="39"/>
        <v>750.04560000000129</v>
      </c>
    </row>
    <row r="82" spans="1:39" x14ac:dyDescent="0.25">
      <c r="A82" t="s">
        <v>310</v>
      </c>
      <c r="B82" s="4">
        <v>45353</v>
      </c>
      <c r="C82" s="4">
        <v>45367</v>
      </c>
      <c r="D82" s="13">
        <f t="shared" si="20"/>
        <v>14</v>
      </c>
      <c r="E82" s="6" t="s">
        <v>648</v>
      </c>
      <c r="F82" t="s">
        <v>653</v>
      </c>
      <c r="G82" t="s">
        <v>688</v>
      </c>
      <c r="H82" t="s">
        <v>703</v>
      </c>
      <c r="I82" t="s">
        <v>711</v>
      </c>
      <c r="J82" t="s">
        <v>719</v>
      </c>
      <c r="K82" t="s">
        <v>728</v>
      </c>
      <c r="L82" t="s">
        <v>1030</v>
      </c>
      <c r="M82" s="8">
        <v>248.24</v>
      </c>
      <c r="N82" s="8">
        <v>464.05</v>
      </c>
      <c r="O82" s="8">
        <f t="shared" si="21"/>
        <v>464.05</v>
      </c>
      <c r="P82" s="11">
        <v>0.16900000000000001</v>
      </c>
      <c r="Q82" s="13">
        <v>11</v>
      </c>
      <c r="R82" s="8">
        <f t="shared" si="22"/>
        <v>4241.88105</v>
      </c>
      <c r="S82" s="8">
        <f t="shared" si="23"/>
        <v>2730.6400000000003</v>
      </c>
      <c r="T82" s="8">
        <f t="shared" si="24"/>
        <v>1511.2410499999996</v>
      </c>
      <c r="U82" s="11">
        <f t="shared" si="25"/>
        <v>0.3562667203975462</v>
      </c>
      <c r="V82" s="17">
        <v>45507</v>
      </c>
      <c r="W82" s="4" t="str">
        <f t="shared" si="26"/>
        <v>Q1-2024</v>
      </c>
      <c r="X82" t="str">
        <f t="shared" si="27"/>
        <v>Americas → Canada → Vancouver</v>
      </c>
      <c r="Y82" t="str">
        <f t="shared" si="28"/>
        <v>Low</v>
      </c>
      <c r="Z82" s="20">
        <f t="shared" si="29"/>
        <v>45352</v>
      </c>
      <c r="AA82" s="4">
        <f t="array" ref="AA82">MIN(IF($F$2:$F$633=F82,$Z$2:$Z$633))</f>
        <v>44927</v>
      </c>
      <c r="AB82">
        <f t="shared" si="30"/>
        <v>14</v>
      </c>
      <c r="AC82">
        <f t="shared" si="31"/>
        <v>0</v>
      </c>
      <c r="AD82">
        <f t="shared" si="32"/>
        <v>0</v>
      </c>
      <c r="AE82" s="13">
        <f t="shared" si="33"/>
        <v>0</v>
      </c>
      <c r="AH82">
        <f t="shared" si="34"/>
        <v>13.2</v>
      </c>
      <c r="AI82">
        <f t="shared" si="35"/>
        <v>285.476</v>
      </c>
      <c r="AJ82" s="11">
        <f t="shared" si="36"/>
        <v>0.16900000000000001</v>
      </c>
      <c r="AK82">
        <f t="shared" si="37"/>
        <v>5090.2572599999994</v>
      </c>
      <c r="AL82">
        <f t="shared" si="38"/>
        <v>3768.2831999999999</v>
      </c>
      <c r="AM82">
        <f t="shared" si="39"/>
        <v>1321.9740599999996</v>
      </c>
    </row>
    <row r="83" spans="1:39" x14ac:dyDescent="0.25">
      <c r="A83" t="s">
        <v>266</v>
      </c>
      <c r="B83" s="4">
        <v>45366</v>
      </c>
      <c r="C83" s="4">
        <v>45391</v>
      </c>
      <c r="D83" s="13">
        <f t="shared" si="20"/>
        <v>25</v>
      </c>
      <c r="E83" s="6" t="s">
        <v>648</v>
      </c>
      <c r="F83" t="s">
        <v>653</v>
      </c>
      <c r="G83" t="s">
        <v>688</v>
      </c>
      <c r="H83" t="s">
        <v>704</v>
      </c>
      <c r="I83" t="s">
        <v>708</v>
      </c>
      <c r="J83" t="s">
        <v>721</v>
      </c>
      <c r="K83" t="s">
        <v>732</v>
      </c>
      <c r="L83" t="s">
        <v>986</v>
      </c>
      <c r="M83" s="8">
        <v>648.64</v>
      </c>
      <c r="N83" s="8">
        <v>815.19</v>
      </c>
      <c r="O83" s="8">
        <f t="shared" si="21"/>
        <v>815.19</v>
      </c>
      <c r="P83" s="11">
        <v>0.22500000000000001</v>
      </c>
      <c r="Q83" s="13">
        <v>28</v>
      </c>
      <c r="R83" s="8">
        <f t="shared" si="22"/>
        <v>17689.623</v>
      </c>
      <c r="S83" s="8">
        <f t="shared" si="23"/>
        <v>18161.919999999998</v>
      </c>
      <c r="T83" s="8">
        <f t="shared" si="24"/>
        <v>-472.29699999999866</v>
      </c>
      <c r="U83" s="11">
        <f t="shared" si="25"/>
        <v>-2.6699099240272032E-2</v>
      </c>
      <c r="V83" s="17">
        <v>45473</v>
      </c>
      <c r="W83" s="4" t="str">
        <f t="shared" si="26"/>
        <v>Q1-2024</v>
      </c>
      <c r="X83" t="str">
        <f t="shared" si="27"/>
        <v>Americas → Canada → Vancouver</v>
      </c>
      <c r="Y83" t="str">
        <f t="shared" si="28"/>
        <v>Low</v>
      </c>
      <c r="Z83" s="20">
        <f t="shared" si="29"/>
        <v>45352</v>
      </c>
      <c r="AA83" s="4">
        <f t="array" ref="AA83">MIN(IF($F$2:$F$633=F83,$Z$2:$Z$633))</f>
        <v>44927</v>
      </c>
      <c r="AB83">
        <f t="shared" si="30"/>
        <v>14</v>
      </c>
      <c r="AC83">
        <f t="shared" si="31"/>
        <v>0</v>
      </c>
      <c r="AD83">
        <f t="shared" si="32"/>
        <v>1</v>
      </c>
      <c r="AE83" s="13">
        <f t="shared" si="33"/>
        <v>0</v>
      </c>
      <c r="AH83">
        <f t="shared" si="34"/>
        <v>33.6</v>
      </c>
      <c r="AI83">
        <f t="shared" si="35"/>
        <v>745.93599999999992</v>
      </c>
      <c r="AJ83" s="11">
        <f t="shared" si="36"/>
        <v>0.22500000000000001</v>
      </c>
      <c r="AK83">
        <f t="shared" si="37"/>
        <v>21227.547600000002</v>
      </c>
      <c r="AL83">
        <f t="shared" si="38"/>
        <v>25063.4496</v>
      </c>
      <c r="AM83">
        <f t="shared" si="39"/>
        <v>-3835.9019999999982</v>
      </c>
    </row>
    <row r="84" spans="1:39" x14ac:dyDescent="0.25">
      <c r="A84" t="s">
        <v>59</v>
      </c>
      <c r="B84" s="4">
        <v>45432</v>
      </c>
      <c r="C84" s="4">
        <v>45445</v>
      </c>
      <c r="D84" s="13">
        <f t="shared" si="20"/>
        <v>13</v>
      </c>
      <c r="E84" s="6" t="s">
        <v>648</v>
      </c>
      <c r="F84" t="s">
        <v>653</v>
      </c>
      <c r="G84" t="s">
        <v>688</v>
      </c>
      <c r="H84" t="s">
        <v>706</v>
      </c>
      <c r="I84" t="s">
        <v>709</v>
      </c>
      <c r="J84" t="s">
        <v>723</v>
      </c>
      <c r="K84" t="s">
        <v>727</v>
      </c>
      <c r="L84" t="s">
        <v>778</v>
      </c>
      <c r="M84" s="8">
        <v>675.43</v>
      </c>
      <c r="N84" s="8">
        <v>996.36</v>
      </c>
      <c r="O84" s="8">
        <f t="shared" si="21"/>
        <v>996.36</v>
      </c>
      <c r="P84" s="11">
        <v>0.182</v>
      </c>
      <c r="Q84" s="13">
        <v>22</v>
      </c>
      <c r="R84" s="8">
        <f t="shared" si="22"/>
        <v>17930.494560000003</v>
      </c>
      <c r="S84" s="8">
        <f t="shared" si="23"/>
        <v>14859.46</v>
      </c>
      <c r="T84" s="8">
        <f t="shared" si="24"/>
        <v>3071.0345600000037</v>
      </c>
      <c r="U84" s="11">
        <f t="shared" si="25"/>
        <v>0.17127439233332575</v>
      </c>
      <c r="V84" s="17">
        <v>45429</v>
      </c>
      <c r="W84" s="4" t="str">
        <f t="shared" si="26"/>
        <v>Q2-2024</v>
      </c>
      <c r="X84" t="str">
        <f t="shared" si="27"/>
        <v>Americas → Canada → Vancouver</v>
      </c>
      <c r="Y84" t="str">
        <f t="shared" si="28"/>
        <v>Medium</v>
      </c>
      <c r="Z84" s="20">
        <f t="shared" si="29"/>
        <v>45413</v>
      </c>
      <c r="AA84" s="4">
        <f t="array" ref="AA84">MIN(IF($F$2:$F$633=F84,$Z$2:$Z$633))</f>
        <v>44927</v>
      </c>
      <c r="AB84">
        <f t="shared" si="30"/>
        <v>16</v>
      </c>
      <c r="AC84">
        <f t="shared" si="31"/>
        <v>0</v>
      </c>
      <c r="AD84">
        <f t="shared" si="32"/>
        <v>0</v>
      </c>
      <c r="AE84" s="13">
        <f t="shared" si="33"/>
        <v>0</v>
      </c>
      <c r="AH84">
        <f t="shared" si="34"/>
        <v>26.4</v>
      </c>
      <c r="AI84">
        <f t="shared" si="35"/>
        <v>776.7444999999999</v>
      </c>
      <c r="AJ84" s="11">
        <f t="shared" si="36"/>
        <v>0.182</v>
      </c>
      <c r="AK84">
        <f t="shared" si="37"/>
        <v>21516.593472</v>
      </c>
      <c r="AL84">
        <f t="shared" si="38"/>
        <v>20506.054799999998</v>
      </c>
      <c r="AM84">
        <f t="shared" si="39"/>
        <v>1010.5386720000024</v>
      </c>
    </row>
    <row r="85" spans="1:39" x14ac:dyDescent="0.25">
      <c r="A85" t="s">
        <v>462</v>
      </c>
      <c r="B85" s="4">
        <v>45446</v>
      </c>
      <c r="C85" s="4">
        <v>45467</v>
      </c>
      <c r="D85" s="13">
        <f t="shared" si="20"/>
        <v>21</v>
      </c>
      <c r="E85" s="6" t="s">
        <v>648</v>
      </c>
      <c r="F85" t="s">
        <v>653</v>
      </c>
      <c r="G85" t="s">
        <v>667</v>
      </c>
      <c r="H85" t="s">
        <v>705</v>
      </c>
      <c r="I85" t="s">
        <v>711</v>
      </c>
      <c r="J85" t="s">
        <v>715</v>
      </c>
      <c r="K85" t="s">
        <v>732</v>
      </c>
      <c r="L85" t="s">
        <v>1181</v>
      </c>
      <c r="M85" s="8">
        <v>1205.5</v>
      </c>
      <c r="N85" s="8">
        <v>2210.17</v>
      </c>
      <c r="O85" s="8">
        <f t="shared" si="21"/>
        <v>2210.17</v>
      </c>
      <c r="P85" s="11">
        <v>0.104</v>
      </c>
      <c r="Q85" s="13">
        <v>23</v>
      </c>
      <c r="R85" s="8">
        <f t="shared" si="22"/>
        <v>45547.183360000003</v>
      </c>
      <c r="S85" s="8">
        <f t="shared" si="23"/>
        <v>27726.5</v>
      </c>
      <c r="T85" s="8">
        <f t="shared" si="24"/>
        <v>17820.683360000003</v>
      </c>
      <c r="U85" s="11">
        <f t="shared" si="25"/>
        <v>0.39125763758314652</v>
      </c>
      <c r="V85" s="17">
        <v>45419</v>
      </c>
      <c r="W85" s="4" t="str">
        <f t="shared" si="26"/>
        <v>Q2-2024</v>
      </c>
      <c r="X85" t="str">
        <f t="shared" si="27"/>
        <v>Americas → Canada → Toronto</v>
      </c>
      <c r="Y85" t="str">
        <f t="shared" si="28"/>
        <v>High</v>
      </c>
      <c r="Z85" s="20">
        <f t="shared" si="29"/>
        <v>45444</v>
      </c>
      <c r="AA85" s="4">
        <f t="array" ref="AA85">MIN(IF($F$2:$F$633=F85,$Z$2:$Z$633))</f>
        <v>44927</v>
      </c>
      <c r="AB85">
        <f t="shared" si="30"/>
        <v>17</v>
      </c>
      <c r="AC85">
        <f t="shared" si="31"/>
        <v>0</v>
      </c>
      <c r="AD85">
        <f t="shared" si="32"/>
        <v>0</v>
      </c>
      <c r="AE85" s="13">
        <f t="shared" si="33"/>
        <v>0</v>
      </c>
      <c r="AH85">
        <f t="shared" si="34"/>
        <v>27.599999999999998</v>
      </c>
      <c r="AI85">
        <f t="shared" si="35"/>
        <v>1386.3249999999998</v>
      </c>
      <c r="AJ85" s="11">
        <f t="shared" si="36"/>
        <v>0.104</v>
      </c>
      <c r="AK85">
        <f t="shared" si="37"/>
        <v>54656.620031999999</v>
      </c>
      <c r="AL85">
        <f t="shared" si="38"/>
        <v>38262.569999999992</v>
      </c>
      <c r="AM85">
        <f t="shared" si="39"/>
        <v>16394.050032000006</v>
      </c>
    </row>
    <row r="86" spans="1:39" x14ac:dyDescent="0.25">
      <c r="A86" t="s">
        <v>158</v>
      </c>
      <c r="B86" s="4">
        <v>45458</v>
      </c>
      <c r="C86" s="4">
        <v>45479</v>
      </c>
      <c r="D86" s="13">
        <f t="shared" si="20"/>
        <v>21</v>
      </c>
      <c r="E86" s="6" t="s">
        <v>648</v>
      </c>
      <c r="F86" t="s">
        <v>653</v>
      </c>
      <c r="G86" t="s">
        <v>667</v>
      </c>
      <c r="H86" t="s">
        <v>706</v>
      </c>
      <c r="I86" t="s">
        <v>710</v>
      </c>
      <c r="J86" t="s">
        <v>716</v>
      </c>
      <c r="K86" t="s">
        <v>728</v>
      </c>
      <c r="L86" t="s">
        <v>877</v>
      </c>
      <c r="M86" s="8">
        <v>817.23</v>
      </c>
      <c r="N86" s="8">
        <v>1467.17</v>
      </c>
      <c r="O86" s="8">
        <f t="shared" si="21"/>
        <v>1467.17</v>
      </c>
      <c r="P86" s="11">
        <v>0.245</v>
      </c>
      <c r="Q86" s="13">
        <v>9</v>
      </c>
      <c r="R86" s="8">
        <f t="shared" si="22"/>
        <v>9969.4201499999999</v>
      </c>
      <c r="S86" s="8">
        <f t="shared" si="23"/>
        <v>7355.07</v>
      </c>
      <c r="T86" s="8">
        <f t="shared" si="24"/>
        <v>2614.3501500000002</v>
      </c>
      <c r="U86" s="11">
        <f t="shared" si="25"/>
        <v>0.26223693160328893</v>
      </c>
      <c r="V86" s="17">
        <v>45385</v>
      </c>
      <c r="W86" s="4" t="str">
        <f t="shared" si="26"/>
        <v>Q2-2024</v>
      </c>
      <c r="X86" t="str">
        <f t="shared" si="27"/>
        <v>Americas → Canada → Toronto</v>
      </c>
      <c r="Y86" t="str">
        <f t="shared" si="28"/>
        <v>Medium</v>
      </c>
      <c r="Z86" s="20">
        <f t="shared" si="29"/>
        <v>45444</v>
      </c>
      <c r="AA86" s="4">
        <f t="array" ref="AA86">MIN(IF($F$2:$F$633=F86,$Z$2:$Z$633))</f>
        <v>44927</v>
      </c>
      <c r="AB86">
        <f t="shared" si="30"/>
        <v>17</v>
      </c>
      <c r="AC86">
        <f t="shared" si="31"/>
        <v>0</v>
      </c>
      <c r="AD86">
        <f t="shared" si="32"/>
        <v>1</v>
      </c>
      <c r="AE86" s="13">
        <f t="shared" si="33"/>
        <v>0</v>
      </c>
      <c r="AH86">
        <f t="shared" si="34"/>
        <v>10.799999999999999</v>
      </c>
      <c r="AI86">
        <f t="shared" si="35"/>
        <v>939.81449999999995</v>
      </c>
      <c r="AJ86" s="11">
        <f t="shared" si="36"/>
        <v>0.245</v>
      </c>
      <c r="AK86">
        <f t="shared" si="37"/>
        <v>11963.304179999999</v>
      </c>
      <c r="AL86">
        <f t="shared" si="38"/>
        <v>10149.996599999999</v>
      </c>
      <c r="AM86">
        <f t="shared" si="39"/>
        <v>1813.3075800000006</v>
      </c>
    </row>
    <row r="87" spans="1:39" x14ac:dyDescent="0.25">
      <c r="A87" t="s">
        <v>360</v>
      </c>
      <c r="B87" s="4">
        <v>45498</v>
      </c>
      <c r="C87" s="4">
        <v>45506</v>
      </c>
      <c r="D87" s="13">
        <f t="shared" si="20"/>
        <v>8</v>
      </c>
      <c r="E87" s="6" t="s">
        <v>648</v>
      </c>
      <c r="F87" t="s">
        <v>653</v>
      </c>
      <c r="G87" t="s">
        <v>681</v>
      </c>
      <c r="H87" t="s">
        <v>704</v>
      </c>
      <c r="I87" t="s">
        <v>711</v>
      </c>
      <c r="J87" t="s">
        <v>713</v>
      </c>
      <c r="K87" t="s">
        <v>733</v>
      </c>
      <c r="L87" t="s">
        <v>1080</v>
      </c>
      <c r="M87" s="8">
        <v>986.81</v>
      </c>
      <c r="N87" s="8">
        <v>2050.31</v>
      </c>
      <c r="O87" s="8">
        <f t="shared" si="21"/>
        <v>2050.31</v>
      </c>
      <c r="P87" s="11">
        <v>0.10299999999999999</v>
      </c>
      <c r="Q87" s="13">
        <v>43</v>
      </c>
      <c r="R87" s="8">
        <f t="shared" si="22"/>
        <v>79082.507010000001</v>
      </c>
      <c r="S87" s="8">
        <f t="shared" si="23"/>
        <v>42432.829999999994</v>
      </c>
      <c r="T87" s="8">
        <f t="shared" si="24"/>
        <v>36649.677010000007</v>
      </c>
      <c r="U87" s="11">
        <f t="shared" si="25"/>
        <v>0.46343595310358138</v>
      </c>
      <c r="V87" s="17">
        <v>45353</v>
      </c>
      <c r="W87" s="4" t="str">
        <f t="shared" si="26"/>
        <v>Q3-2024</v>
      </c>
      <c r="X87" t="str">
        <f t="shared" si="27"/>
        <v>Americas → Canada → Montreal</v>
      </c>
      <c r="Y87" t="str">
        <f t="shared" si="28"/>
        <v>High</v>
      </c>
      <c r="Z87" s="20">
        <f t="shared" si="29"/>
        <v>45474</v>
      </c>
      <c r="AA87" s="4">
        <f t="array" ref="AA87">MIN(IF($F$2:$F$633=F87,$Z$2:$Z$633))</f>
        <v>44927</v>
      </c>
      <c r="AB87">
        <f t="shared" si="30"/>
        <v>18</v>
      </c>
      <c r="AC87">
        <f t="shared" si="31"/>
        <v>0</v>
      </c>
      <c r="AD87">
        <f t="shared" si="32"/>
        <v>0</v>
      </c>
      <c r="AE87" s="13">
        <f t="shared" si="33"/>
        <v>0</v>
      </c>
      <c r="AH87">
        <f t="shared" si="34"/>
        <v>51.6</v>
      </c>
      <c r="AI87">
        <f t="shared" si="35"/>
        <v>1134.8314999999998</v>
      </c>
      <c r="AJ87" s="11">
        <f t="shared" si="36"/>
        <v>0.10299999999999999</v>
      </c>
      <c r="AK87">
        <f t="shared" si="37"/>
        <v>94899.008411999996</v>
      </c>
      <c r="AL87">
        <f t="shared" si="38"/>
        <v>58557.30539999999</v>
      </c>
      <c r="AM87">
        <f t="shared" si="39"/>
        <v>36341.703012000005</v>
      </c>
    </row>
    <row r="88" spans="1:39" x14ac:dyDescent="0.25">
      <c r="A88" t="s">
        <v>615</v>
      </c>
      <c r="B88" s="4">
        <v>45523</v>
      </c>
      <c r="C88" s="4">
        <v>45537</v>
      </c>
      <c r="D88" s="13">
        <f t="shared" si="20"/>
        <v>14</v>
      </c>
      <c r="E88" s="6" t="s">
        <v>648</v>
      </c>
      <c r="F88" t="s">
        <v>653</v>
      </c>
      <c r="G88" t="s">
        <v>667</v>
      </c>
      <c r="H88" t="s">
        <v>704</v>
      </c>
      <c r="I88" t="s">
        <v>710</v>
      </c>
      <c r="J88" t="s">
        <v>712</v>
      </c>
      <c r="K88" t="s">
        <v>728</v>
      </c>
      <c r="L88" t="s">
        <v>1333</v>
      </c>
      <c r="M88" s="8">
        <v>1337.01</v>
      </c>
      <c r="N88" s="8">
        <v>1269.78</v>
      </c>
      <c r="O88" s="8">
        <f t="shared" si="21"/>
        <v>1269.78</v>
      </c>
      <c r="P88" s="11">
        <v>0.16</v>
      </c>
      <c r="Q88" s="13">
        <v>7</v>
      </c>
      <c r="R88" s="8">
        <f t="shared" si="22"/>
        <v>7466.3063999999986</v>
      </c>
      <c r="S88" s="8">
        <f t="shared" si="23"/>
        <v>9359.07</v>
      </c>
      <c r="T88" s="8">
        <f t="shared" si="24"/>
        <v>-1892.7636000000011</v>
      </c>
      <c r="U88" s="11">
        <f t="shared" si="25"/>
        <v>-0.25350735672996244</v>
      </c>
      <c r="V88" s="17">
        <v>45325</v>
      </c>
      <c r="W88" s="4" t="str">
        <f t="shared" si="26"/>
        <v>Q3-2024</v>
      </c>
      <c r="X88" t="str">
        <f t="shared" si="27"/>
        <v>Americas → Canada → Toronto</v>
      </c>
      <c r="Y88" t="str">
        <f t="shared" si="28"/>
        <v>Medium</v>
      </c>
      <c r="Z88" s="20">
        <f t="shared" si="29"/>
        <v>45505</v>
      </c>
      <c r="AA88" s="4">
        <f t="array" ref="AA88">MIN(IF($F$2:$F$633=F88,$Z$2:$Z$633))</f>
        <v>44927</v>
      </c>
      <c r="AB88">
        <f t="shared" si="30"/>
        <v>19</v>
      </c>
      <c r="AC88">
        <f t="shared" si="31"/>
        <v>0</v>
      </c>
      <c r="AD88">
        <f t="shared" si="32"/>
        <v>0</v>
      </c>
      <c r="AE88" s="13">
        <f t="shared" si="33"/>
        <v>0</v>
      </c>
      <c r="AH88">
        <f t="shared" si="34"/>
        <v>8.4</v>
      </c>
      <c r="AI88">
        <f t="shared" si="35"/>
        <v>1537.5614999999998</v>
      </c>
      <c r="AJ88" s="11">
        <f t="shared" si="36"/>
        <v>0.16</v>
      </c>
      <c r="AK88">
        <f t="shared" si="37"/>
        <v>8959.5676800000001</v>
      </c>
      <c r="AL88">
        <f t="shared" si="38"/>
        <v>12915.516599999999</v>
      </c>
      <c r="AM88">
        <f t="shared" si="39"/>
        <v>-3955.9489199999989</v>
      </c>
    </row>
    <row r="89" spans="1:39" x14ac:dyDescent="0.25">
      <c r="A89" t="s">
        <v>164</v>
      </c>
      <c r="B89" s="4">
        <v>45558</v>
      </c>
      <c r="C89" s="4">
        <v>45583</v>
      </c>
      <c r="D89" s="13">
        <f t="shared" si="20"/>
        <v>25</v>
      </c>
      <c r="E89" s="6" t="s">
        <v>648</v>
      </c>
      <c r="F89" t="s">
        <v>653</v>
      </c>
      <c r="G89" t="s">
        <v>688</v>
      </c>
      <c r="H89" t="s">
        <v>705</v>
      </c>
      <c r="I89" t="s">
        <v>708</v>
      </c>
      <c r="J89" t="s">
        <v>725</v>
      </c>
      <c r="K89" t="s">
        <v>730</v>
      </c>
      <c r="L89" t="s">
        <v>883</v>
      </c>
      <c r="M89" s="8">
        <v>1297</v>
      </c>
      <c r="N89" s="8">
        <v>2411.52</v>
      </c>
      <c r="O89" s="8">
        <f t="shared" si="21"/>
        <v>2411.52</v>
      </c>
      <c r="P89" s="11">
        <v>2.1000000000000001E-2</v>
      </c>
      <c r="Q89" s="13">
        <v>18</v>
      </c>
      <c r="R89" s="8">
        <f t="shared" si="22"/>
        <v>42495.805439999996</v>
      </c>
      <c r="S89" s="8">
        <f t="shared" si="23"/>
        <v>23346</v>
      </c>
      <c r="T89" s="8">
        <f t="shared" si="24"/>
        <v>19149.805439999996</v>
      </c>
      <c r="U89" s="11">
        <f t="shared" si="25"/>
        <v>0.45062813239385913</v>
      </c>
      <c r="V89" s="17">
        <v>45304</v>
      </c>
      <c r="W89" s="4" t="str">
        <f t="shared" si="26"/>
        <v>Q3-2024</v>
      </c>
      <c r="X89" t="str">
        <f t="shared" si="27"/>
        <v>Americas → Canada → Vancouver</v>
      </c>
      <c r="Y89" t="str">
        <f t="shared" si="28"/>
        <v>High</v>
      </c>
      <c r="Z89" s="20">
        <f t="shared" si="29"/>
        <v>45536</v>
      </c>
      <c r="AA89" s="4">
        <f t="array" ref="AA89">MIN(IF($F$2:$F$633=F89,$Z$2:$Z$633))</f>
        <v>44927</v>
      </c>
      <c r="AB89">
        <f t="shared" si="30"/>
        <v>20</v>
      </c>
      <c r="AC89">
        <f t="shared" si="31"/>
        <v>0</v>
      </c>
      <c r="AD89">
        <f t="shared" si="32"/>
        <v>0</v>
      </c>
      <c r="AE89" s="13">
        <f t="shared" si="33"/>
        <v>0</v>
      </c>
      <c r="AH89">
        <f t="shared" si="34"/>
        <v>21.599999999999998</v>
      </c>
      <c r="AI89">
        <f t="shared" si="35"/>
        <v>1491.55</v>
      </c>
      <c r="AJ89" s="11">
        <f t="shared" si="36"/>
        <v>2.1000000000000001E-2</v>
      </c>
      <c r="AK89">
        <f t="shared" si="37"/>
        <v>50994.966527999997</v>
      </c>
      <c r="AL89">
        <f t="shared" si="38"/>
        <v>32217.479999999996</v>
      </c>
      <c r="AM89">
        <f t="shared" si="39"/>
        <v>18777.486528000001</v>
      </c>
    </row>
    <row r="90" spans="1:39" x14ac:dyDescent="0.25">
      <c r="A90" t="s">
        <v>458</v>
      </c>
      <c r="B90" s="4">
        <v>45560</v>
      </c>
      <c r="C90" s="4">
        <v>45568</v>
      </c>
      <c r="D90" s="13">
        <f t="shared" si="20"/>
        <v>8</v>
      </c>
      <c r="E90" s="6" t="s">
        <v>648</v>
      </c>
      <c r="F90" t="s">
        <v>653</v>
      </c>
      <c r="G90" t="s">
        <v>667</v>
      </c>
      <c r="H90" t="s">
        <v>704</v>
      </c>
      <c r="I90" t="s">
        <v>708</v>
      </c>
      <c r="J90" t="s">
        <v>718</v>
      </c>
      <c r="K90" t="s">
        <v>728</v>
      </c>
      <c r="L90" t="s">
        <v>1177</v>
      </c>
      <c r="M90" s="8">
        <v>558.19000000000005</v>
      </c>
      <c r="N90" s="8">
        <v>1031.6400000000001</v>
      </c>
      <c r="O90" s="8">
        <f t="shared" si="21"/>
        <v>1031.6400000000001</v>
      </c>
      <c r="P90" s="11">
        <v>0</v>
      </c>
      <c r="Q90" s="13">
        <v>21</v>
      </c>
      <c r="R90" s="8">
        <f t="shared" si="22"/>
        <v>21664.440000000002</v>
      </c>
      <c r="S90" s="8">
        <f t="shared" si="23"/>
        <v>11721.990000000002</v>
      </c>
      <c r="T90" s="8">
        <f t="shared" si="24"/>
        <v>9942.4500000000007</v>
      </c>
      <c r="U90" s="11">
        <f t="shared" si="25"/>
        <v>0.45892947152107322</v>
      </c>
      <c r="V90" s="17">
        <v>45289</v>
      </c>
      <c r="W90" s="4" t="str">
        <f t="shared" si="26"/>
        <v>Q3-2024</v>
      </c>
      <c r="X90" t="str">
        <f t="shared" si="27"/>
        <v>Americas → Canada → Toronto</v>
      </c>
      <c r="Y90" t="str">
        <f t="shared" si="28"/>
        <v>Medium</v>
      </c>
      <c r="Z90" s="20">
        <f t="shared" si="29"/>
        <v>45536</v>
      </c>
      <c r="AA90" s="4">
        <f t="array" ref="AA90">MIN(IF($F$2:$F$633=F90,$Z$2:$Z$633))</f>
        <v>44927</v>
      </c>
      <c r="AB90">
        <f t="shared" si="30"/>
        <v>20</v>
      </c>
      <c r="AC90">
        <f t="shared" si="31"/>
        <v>0</v>
      </c>
      <c r="AD90">
        <f t="shared" si="32"/>
        <v>0</v>
      </c>
      <c r="AE90" s="13">
        <f t="shared" si="33"/>
        <v>0</v>
      </c>
      <c r="AH90">
        <f t="shared" si="34"/>
        <v>25.2</v>
      </c>
      <c r="AI90">
        <f t="shared" si="35"/>
        <v>641.91849999999999</v>
      </c>
      <c r="AJ90" s="11">
        <f t="shared" si="36"/>
        <v>0</v>
      </c>
      <c r="AK90">
        <f t="shared" si="37"/>
        <v>25997.328000000001</v>
      </c>
      <c r="AL90">
        <f t="shared" si="38"/>
        <v>16176.3462</v>
      </c>
      <c r="AM90">
        <f t="shared" si="39"/>
        <v>9820.9818000000014</v>
      </c>
    </row>
    <row r="91" spans="1:39" x14ac:dyDescent="0.25">
      <c r="A91" t="s">
        <v>416</v>
      </c>
      <c r="B91" s="4">
        <v>45601</v>
      </c>
      <c r="C91" s="4">
        <v>45604</v>
      </c>
      <c r="D91" s="13">
        <f t="shared" si="20"/>
        <v>3</v>
      </c>
      <c r="E91" s="6" t="s">
        <v>648</v>
      </c>
      <c r="F91" t="s">
        <v>653</v>
      </c>
      <c r="G91" t="s">
        <v>667</v>
      </c>
      <c r="H91" t="s">
        <v>702</v>
      </c>
      <c r="I91" t="s">
        <v>709</v>
      </c>
      <c r="J91" t="s">
        <v>719</v>
      </c>
      <c r="K91" t="s">
        <v>727</v>
      </c>
      <c r="L91" t="s">
        <v>1135</v>
      </c>
      <c r="M91" s="8">
        <v>1020.4</v>
      </c>
      <c r="N91" s="8">
        <v>1184.71</v>
      </c>
      <c r="O91" s="8">
        <f t="shared" si="21"/>
        <v>1184.71</v>
      </c>
      <c r="P91" s="11">
        <v>0.106</v>
      </c>
      <c r="Q91" s="13">
        <v>16</v>
      </c>
      <c r="R91" s="8">
        <f t="shared" si="22"/>
        <v>16946.091840000001</v>
      </c>
      <c r="S91" s="8">
        <f t="shared" si="23"/>
        <v>16326.4</v>
      </c>
      <c r="T91" s="8">
        <f t="shared" si="24"/>
        <v>619.69184000000132</v>
      </c>
      <c r="U91" s="11">
        <f t="shared" si="25"/>
        <v>3.6568422138328345E-2</v>
      </c>
      <c r="V91" s="17">
        <v>45249</v>
      </c>
      <c r="W91" s="4" t="str">
        <f t="shared" si="26"/>
        <v>Q4-2024</v>
      </c>
      <c r="X91" t="str">
        <f t="shared" si="27"/>
        <v>Americas → Canada → Toronto</v>
      </c>
      <c r="Y91" t="str">
        <f t="shared" si="28"/>
        <v>Medium</v>
      </c>
      <c r="Z91" s="20">
        <f t="shared" si="29"/>
        <v>45597</v>
      </c>
      <c r="AA91" s="4">
        <f t="array" ref="AA91">MIN(IF($F$2:$F$633=F91,$Z$2:$Z$633))</f>
        <v>44927</v>
      </c>
      <c r="AB91">
        <f t="shared" si="30"/>
        <v>22</v>
      </c>
      <c r="AC91">
        <f t="shared" si="31"/>
        <v>1</v>
      </c>
      <c r="AD91">
        <f t="shared" si="32"/>
        <v>0</v>
      </c>
      <c r="AE91" s="13">
        <f t="shared" si="33"/>
        <v>1</v>
      </c>
      <c r="AH91">
        <f t="shared" si="34"/>
        <v>19.2</v>
      </c>
      <c r="AI91">
        <f t="shared" si="35"/>
        <v>1173.4599999999998</v>
      </c>
      <c r="AJ91" s="11">
        <f t="shared" si="36"/>
        <v>0.106</v>
      </c>
      <c r="AK91">
        <f t="shared" si="37"/>
        <v>20335.310208000003</v>
      </c>
      <c r="AL91">
        <f t="shared" si="38"/>
        <v>22530.431999999997</v>
      </c>
      <c r="AM91">
        <f t="shared" si="39"/>
        <v>-2195.1217919999945</v>
      </c>
    </row>
    <row r="92" spans="1:39" x14ac:dyDescent="0.25">
      <c r="A92" t="s">
        <v>65</v>
      </c>
      <c r="B92" s="4">
        <v>45602</v>
      </c>
      <c r="C92" s="4">
        <v>45618</v>
      </c>
      <c r="D92" s="13">
        <f t="shared" si="20"/>
        <v>16</v>
      </c>
      <c r="E92" s="6" t="s">
        <v>648</v>
      </c>
      <c r="F92" t="s">
        <v>653</v>
      </c>
      <c r="G92" t="s">
        <v>667</v>
      </c>
      <c r="H92" t="s">
        <v>703</v>
      </c>
      <c r="I92" t="s">
        <v>710</v>
      </c>
      <c r="J92" t="s">
        <v>726</v>
      </c>
      <c r="K92" t="s">
        <v>733</v>
      </c>
      <c r="L92" t="s">
        <v>784</v>
      </c>
      <c r="M92" s="8">
        <v>1454.11</v>
      </c>
      <c r="N92" s="8">
        <v>2629.75</v>
      </c>
      <c r="O92" s="8">
        <f t="shared" si="21"/>
        <v>2629.75</v>
      </c>
      <c r="P92" s="11">
        <v>0.29199999999999998</v>
      </c>
      <c r="Q92" s="13">
        <v>8</v>
      </c>
      <c r="R92" s="8">
        <f t="shared" si="22"/>
        <v>14894.903999999999</v>
      </c>
      <c r="S92" s="8">
        <f t="shared" si="23"/>
        <v>11632.88</v>
      </c>
      <c r="T92" s="8">
        <f t="shared" si="24"/>
        <v>3262.0239999999994</v>
      </c>
      <c r="U92" s="11">
        <f t="shared" si="25"/>
        <v>0.21900268709351867</v>
      </c>
      <c r="V92" s="17">
        <v>45260</v>
      </c>
      <c r="W92" s="4" t="str">
        <f t="shared" si="26"/>
        <v>Q4-2024</v>
      </c>
      <c r="X92" t="str">
        <f t="shared" si="27"/>
        <v>Americas → Canada → Toronto</v>
      </c>
      <c r="Y92" t="str">
        <f t="shared" si="28"/>
        <v>High</v>
      </c>
      <c r="Z92" s="20">
        <f t="shared" si="29"/>
        <v>45597</v>
      </c>
      <c r="AA92" s="4">
        <f t="array" ref="AA92">MIN(IF($F$2:$F$633=F92,$Z$2:$Z$633))</f>
        <v>44927</v>
      </c>
      <c r="AB92">
        <f t="shared" si="30"/>
        <v>22</v>
      </c>
      <c r="AC92">
        <f t="shared" si="31"/>
        <v>0</v>
      </c>
      <c r="AD92">
        <f t="shared" si="32"/>
        <v>1</v>
      </c>
      <c r="AE92" s="13">
        <f t="shared" si="33"/>
        <v>0</v>
      </c>
      <c r="AH92">
        <f t="shared" si="34"/>
        <v>9.6</v>
      </c>
      <c r="AI92">
        <f t="shared" si="35"/>
        <v>1672.2264999999998</v>
      </c>
      <c r="AJ92" s="11">
        <f t="shared" si="36"/>
        <v>0.25</v>
      </c>
      <c r="AK92">
        <f t="shared" si="37"/>
        <v>18934.199999999997</v>
      </c>
      <c r="AL92">
        <f t="shared" si="38"/>
        <v>16053.374399999997</v>
      </c>
      <c r="AM92">
        <f t="shared" si="39"/>
        <v>2880.8256000000001</v>
      </c>
    </row>
    <row r="93" spans="1:39" x14ac:dyDescent="0.25">
      <c r="A93" t="s">
        <v>501</v>
      </c>
      <c r="B93" s="4">
        <v>45613</v>
      </c>
      <c r="C93" s="4">
        <v>45624</v>
      </c>
      <c r="D93" s="13">
        <f t="shared" si="20"/>
        <v>11</v>
      </c>
      <c r="E93" s="6" t="s">
        <v>648</v>
      </c>
      <c r="F93" t="s">
        <v>653</v>
      </c>
      <c r="G93" t="s">
        <v>688</v>
      </c>
      <c r="H93" t="s">
        <v>704</v>
      </c>
      <c r="I93" t="s">
        <v>710</v>
      </c>
      <c r="J93" t="s">
        <v>720</v>
      </c>
      <c r="K93" t="s">
        <v>728</v>
      </c>
      <c r="L93" t="s">
        <v>1220</v>
      </c>
      <c r="M93" s="8">
        <v>1008.16</v>
      </c>
      <c r="N93" s="8">
        <v>2077.5</v>
      </c>
      <c r="O93" s="8">
        <f t="shared" si="21"/>
        <v>2077.5</v>
      </c>
      <c r="P93" s="11">
        <v>7.3999999999999996E-2</v>
      </c>
      <c r="Q93" s="13">
        <v>15</v>
      </c>
      <c r="R93" s="8">
        <f t="shared" si="22"/>
        <v>28856.475000000002</v>
      </c>
      <c r="S93" s="8">
        <f t="shared" si="23"/>
        <v>15122.4</v>
      </c>
      <c r="T93" s="8">
        <f t="shared" si="24"/>
        <v>13734.075000000003</v>
      </c>
      <c r="U93" s="11">
        <f t="shared" si="25"/>
        <v>0.47594430712691005</v>
      </c>
      <c r="V93" s="17">
        <v>45244</v>
      </c>
      <c r="W93" s="4" t="str">
        <f t="shared" si="26"/>
        <v>Q4-2024</v>
      </c>
      <c r="X93" t="str">
        <f t="shared" si="27"/>
        <v>Americas → Canada → Vancouver</v>
      </c>
      <c r="Y93" t="str">
        <f t="shared" si="28"/>
        <v>High</v>
      </c>
      <c r="Z93" s="20">
        <f t="shared" si="29"/>
        <v>45597</v>
      </c>
      <c r="AA93" s="4">
        <f t="array" ref="AA93">MIN(IF($F$2:$F$633=F93,$Z$2:$Z$633))</f>
        <v>44927</v>
      </c>
      <c r="AB93">
        <f t="shared" si="30"/>
        <v>22</v>
      </c>
      <c r="AC93">
        <f t="shared" si="31"/>
        <v>0</v>
      </c>
      <c r="AD93">
        <f t="shared" si="32"/>
        <v>0</v>
      </c>
      <c r="AE93" s="13">
        <f t="shared" si="33"/>
        <v>0</v>
      </c>
      <c r="AH93">
        <f t="shared" si="34"/>
        <v>18</v>
      </c>
      <c r="AI93">
        <f t="shared" si="35"/>
        <v>1159.3839999999998</v>
      </c>
      <c r="AJ93" s="11">
        <f t="shared" si="36"/>
        <v>7.3999999999999996E-2</v>
      </c>
      <c r="AK93">
        <f t="shared" si="37"/>
        <v>34627.770000000004</v>
      </c>
      <c r="AL93">
        <f t="shared" si="38"/>
        <v>20868.911999999997</v>
      </c>
      <c r="AM93">
        <f t="shared" si="39"/>
        <v>13758.858000000007</v>
      </c>
    </row>
    <row r="94" spans="1:39" x14ac:dyDescent="0.25">
      <c r="A94" t="s">
        <v>118</v>
      </c>
      <c r="B94" s="4">
        <v>45631</v>
      </c>
      <c r="C94" s="4">
        <v>45654</v>
      </c>
      <c r="D94" s="13">
        <f t="shared" si="20"/>
        <v>23</v>
      </c>
      <c r="E94" s="6" t="s">
        <v>648</v>
      </c>
      <c r="F94" t="s">
        <v>653</v>
      </c>
      <c r="G94" t="s">
        <v>688</v>
      </c>
      <c r="H94" t="s">
        <v>701</v>
      </c>
      <c r="I94" t="s">
        <v>711</v>
      </c>
      <c r="J94" t="s">
        <v>721</v>
      </c>
      <c r="K94" t="s">
        <v>733</v>
      </c>
      <c r="L94" t="s">
        <v>837</v>
      </c>
      <c r="M94" s="8">
        <v>107.03</v>
      </c>
      <c r="N94" s="8">
        <v>242.29</v>
      </c>
      <c r="O94" s="8">
        <f t="shared" si="21"/>
        <v>242.29</v>
      </c>
      <c r="P94" s="11">
        <v>0.18</v>
      </c>
      <c r="Q94" s="13">
        <v>30</v>
      </c>
      <c r="R94" s="8">
        <f t="shared" si="22"/>
        <v>5960.3340000000007</v>
      </c>
      <c r="S94" s="8">
        <f t="shared" si="23"/>
        <v>3210.9</v>
      </c>
      <c r="T94" s="8">
        <f t="shared" si="24"/>
        <v>2749.4340000000007</v>
      </c>
      <c r="U94" s="11">
        <f t="shared" si="25"/>
        <v>0.46128857879440988</v>
      </c>
      <c r="V94" s="17">
        <v>45204</v>
      </c>
      <c r="W94" s="4" t="str">
        <f t="shared" si="26"/>
        <v>Q4-2024</v>
      </c>
      <c r="X94" t="str">
        <f t="shared" si="27"/>
        <v>Americas → Canada → Vancouver</v>
      </c>
      <c r="Y94" t="str">
        <f t="shared" si="28"/>
        <v>Low</v>
      </c>
      <c r="Z94" s="20">
        <f t="shared" si="29"/>
        <v>45627</v>
      </c>
      <c r="AA94" s="4">
        <f t="array" ref="AA94">MIN(IF($F$2:$F$633=F94,$Z$2:$Z$633))</f>
        <v>44927</v>
      </c>
      <c r="AB94">
        <f t="shared" si="30"/>
        <v>23</v>
      </c>
      <c r="AC94">
        <f t="shared" si="31"/>
        <v>0</v>
      </c>
      <c r="AD94">
        <f t="shared" si="32"/>
        <v>0</v>
      </c>
      <c r="AE94" s="13">
        <f t="shared" si="33"/>
        <v>0</v>
      </c>
      <c r="AH94">
        <f t="shared" si="34"/>
        <v>36</v>
      </c>
      <c r="AI94">
        <f t="shared" si="35"/>
        <v>123.08449999999999</v>
      </c>
      <c r="AJ94" s="11">
        <f t="shared" si="36"/>
        <v>0.18</v>
      </c>
      <c r="AK94">
        <f t="shared" si="37"/>
        <v>7152.4008000000013</v>
      </c>
      <c r="AL94">
        <f t="shared" si="38"/>
        <v>4431.0419999999995</v>
      </c>
      <c r="AM94">
        <f t="shared" si="39"/>
        <v>2721.3588000000018</v>
      </c>
    </row>
    <row r="95" spans="1:39" x14ac:dyDescent="0.25">
      <c r="A95" t="s">
        <v>469</v>
      </c>
      <c r="B95" s="4">
        <v>45653</v>
      </c>
      <c r="C95" s="4">
        <v>45655</v>
      </c>
      <c r="D95" s="13">
        <f t="shared" si="20"/>
        <v>2</v>
      </c>
      <c r="E95" s="6" t="s">
        <v>648</v>
      </c>
      <c r="F95" t="s">
        <v>653</v>
      </c>
      <c r="G95" t="s">
        <v>688</v>
      </c>
      <c r="H95" t="s">
        <v>706</v>
      </c>
      <c r="I95" t="s">
        <v>709</v>
      </c>
      <c r="J95" t="s">
        <v>712</v>
      </c>
      <c r="K95" t="s">
        <v>733</v>
      </c>
      <c r="L95" t="s">
        <v>1188</v>
      </c>
      <c r="M95" s="8">
        <v>1146.72</v>
      </c>
      <c r="N95" s="8">
        <v>2074.34</v>
      </c>
      <c r="O95" s="8">
        <f t="shared" si="21"/>
        <v>2074.34</v>
      </c>
      <c r="P95" s="11">
        <v>0.111</v>
      </c>
      <c r="Q95" s="13">
        <v>8</v>
      </c>
      <c r="R95" s="8">
        <f t="shared" si="22"/>
        <v>14752.706080000002</v>
      </c>
      <c r="S95" s="8">
        <f t="shared" si="23"/>
        <v>9173.76</v>
      </c>
      <c r="T95" s="8">
        <f t="shared" si="24"/>
        <v>5578.9460800000015</v>
      </c>
      <c r="U95" s="11">
        <f t="shared" si="25"/>
        <v>0.37816425337472737</v>
      </c>
      <c r="V95" s="17">
        <v>45194</v>
      </c>
      <c r="W95" s="4" t="str">
        <f t="shared" si="26"/>
        <v>Q4-2024</v>
      </c>
      <c r="X95" t="str">
        <f t="shared" si="27"/>
        <v>Americas → Canada → Vancouver</v>
      </c>
      <c r="Y95" t="str">
        <f t="shared" si="28"/>
        <v>High</v>
      </c>
      <c r="Z95" s="20">
        <f t="shared" si="29"/>
        <v>45627</v>
      </c>
      <c r="AA95" s="4">
        <f t="array" ref="AA95">MIN(IF($F$2:$F$633=F95,$Z$2:$Z$633))</f>
        <v>44927</v>
      </c>
      <c r="AB95">
        <f t="shared" si="30"/>
        <v>23</v>
      </c>
      <c r="AC95">
        <f t="shared" si="31"/>
        <v>1</v>
      </c>
      <c r="AD95">
        <f t="shared" si="32"/>
        <v>0</v>
      </c>
      <c r="AE95" s="13">
        <f t="shared" si="33"/>
        <v>1</v>
      </c>
      <c r="AH95">
        <f t="shared" si="34"/>
        <v>9.6</v>
      </c>
      <c r="AI95">
        <f t="shared" si="35"/>
        <v>1318.7279999999998</v>
      </c>
      <c r="AJ95" s="11">
        <f t="shared" si="36"/>
        <v>0.111</v>
      </c>
      <c r="AK95">
        <f t="shared" si="37"/>
        <v>17703.247296000001</v>
      </c>
      <c r="AL95">
        <f t="shared" si="38"/>
        <v>12659.788799999998</v>
      </c>
      <c r="AM95">
        <f t="shared" si="39"/>
        <v>5043.4584960000029</v>
      </c>
    </row>
    <row r="96" spans="1:39" x14ac:dyDescent="0.25">
      <c r="A96" t="s">
        <v>610</v>
      </c>
      <c r="B96" s="4">
        <v>45703</v>
      </c>
      <c r="C96" s="4">
        <v>45705</v>
      </c>
      <c r="D96" s="13">
        <f t="shared" si="20"/>
        <v>2</v>
      </c>
      <c r="E96" s="6" t="s">
        <v>648</v>
      </c>
      <c r="F96" t="s">
        <v>653</v>
      </c>
      <c r="G96" t="s">
        <v>667</v>
      </c>
      <c r="H96" t="s">
        <v>705</v>
      </c>
      <c r="I96" t="s">
        <v>707</v>
      </c>
      <c r="J96" t="s">
        <v>726</v>
      </c>
      <c r="K96" t="s">
        <v>727</v>
      </c>
      <c r="L96" t="s">
        <v>1328</v>
      </c>
      <c r="M96" s="8">
        <v>1133.47</v>
      </c>
      <c r="N96" s="8">
        <v>1698.75</v>
      </c>
      <c r="O96" s="8">
        <f t="shared" si="21"/>
        <v>1698.75</v>
      </c>
      <c r="P96" s="11">
        <v>4.2999999999999997E-2</v>
      </c>
      <c r="Q96" s="13">
        <v>5</v>
      </c>
      <c r="R96" s="8">
        <f t="shared" si="22"/>
        <v>8128.5187499999993</v>
      </c>
      <c r="S96" s="8">
        <f t="shared" si="23"/>
        <v>5667.35</v>
      </c>
      <c r="T96" s="8">
        <f t="shared" si="24"/>
        <v>2461.1687499999989</v>
      </c>
      <c r="U96" s="11">
        <f t="shared" si="25"/>
        <v>0.30278194904821976</v>
      </c>
      <c r="V96" s="17">
        <v>45137</v>
      </c>
      <c r="W96" s="4" t="str">
        <f t="shared" si="26"/>
        <v>Q1-2025</v>
      </c>
      <c r="X96" t="str">
        <f t="shared" si="27"/>
        <v>Americas → Canada → Toronto</v>
      </c>
      <c r="Y96" t="str">
        <f t="shared" si="28"/>
        <v>High</v>
      </c>
      <c r="Z96" s="20">
        <f t="shared" si="29"/>
        <v>45689</v>
      </c>
      <c r="AA96" s="4">
        <f t="array" ref="AA96">MIN(IF($F$2:$F$633=F96,$Z$2:$Z$633))</f>
        <v>44927</v>
      </c>
      <c r="AB96">
        <f t="shared" si="30"/>
        <v>25</v>
      </c>
      <c r="AC96">
        <f t="shared" si="31"/>
        <v>1</v>
      </c>
      <c r="AD96">
        <f t="shared" si="32"/>
        <v>0</v>
      </c>
      <c r="AE96" s="13">
        <f t="shared" si="33"/>
        <v>1</v>
      </c>
      <c r="AH96">
        <f t="shared" si="34"/>
        <v>6</v>
      </c>
      <c r="AI96">
        <f t="shared" si="35"/>
        <v>1303.4904999999999</v>
      </c>
      <c r="AJ96" s="11">
        <f t="shared" si="36"/>
        <v>4.2999999999999997E-2</v>
      </c>
      <c r="AK96">
        <f t="shared" si="37"/>
        <v>9754.2224999999999</v>
      </c>
      <c r="AL96">
        <f t="shared" si="38"/>
        <v>7820.9429999999993</v>
      </c>
      <c r="AM96">
        <f t="shared" si="39"/>
        <v>1933.2795000000006</v>
      </c>
    </row>
    <row r="97" spans="1:39" x14ac:dyDescent="0.25">
      <c r="A97" t="s">
        <v>165</v>
      </c>
      <c r="B97" s="4">
        <v>45763</v>
      </c>
      <c r="C97" s="4">
        <v>45793</v>
      </c>
      <c r="D97" s="13">
        <f t="shared" si="20"/>
        <v>30</v>
      </c>
      <c r="E97" s="6" t="s">
        <v>648</v>
      </c>
      <c r="F97" t="s">
        <v>653</v>
      </c>
      <c r="G97" t="s">
        <v>681</v>
      </c>
      <c r="H97" t="s">
        <v>706</v>
      </c>
      <c r="I97" t="s">
        <v>710</v>
      </c>
      <c r="J97" t="s">
        <v>723</v>
      </c>
      <c r="K97" t="s">
        <v>728</v>
      </c>
      <c r="L97" t="s">
        <v>884</v>
      </c>
      <c r="M97" s="8">
        <v>763.32</v>
      </c>
      <c r="N97" s="8">
        <v>568.29</v>
      </c>
      <c r="O97" s="8">
        <f t="shared" si="21"/>
        <v>568.29</v>
      </c>
      <c r="P97" s="11">
        <v>0.13100000000000001</v>
      </c>
      <c r="Q97" s="13">
        <v>16</v>
      </c>
      <c r="R97" s="8">
        <f t="shared" si="22"/>
        <v>7901.5041599999995</v>
      </c>
      <c r="S97" s="8">
        <f t="shared" si="23"/>
        <v>12213.12</v>
      </c>
      <c r="T97" s="8">
        <f t="shared" si="24"/>
        <v>-4311.6158400000013</v>
      </c>
      <c r="U97" s="11">
        <f t="shared" si="25"/>
        <v>-0.54567026134426555</v>
      </c>
      <c r="V97" s="17">
        <v>45092</v>
      </c>
      <c r="W97" s="4" t="str">
        <f t="shared" si="26"/>
        <v>Q2-2025</v>
      </c>
      <c r="X97" t="str">
        <f t="shared" si="27"/>
        <v>Americas → Canada → Montreal</v>
      </c>
      <c r="Y97" t="str">
        <f t="shared" si="28"/>
        <v>Low</v>
      </c>
      <c r="Z97" s="20">
        <f t="shared" si="29"/>
        <v>45748</v>
      </c>
      <c r="AA97" s="4">
        <f t="array" ref="AA97">MIN(IF($F$2:$F$633=F97,$Z$2:$Z$633))</f>
        <v>44927</v>
      </c>
      <c r="AB97">
        <f t="shared" si="30"/>
        <v>27</v>
      </c>
      <c r="AC97">
        <f t="shared" si="31"/>
        <v>0</v>
      </c>
      <c r="AD97">
        <f t="shared" si="32"/>
        <v>0</v>
      </c>
      <c r="AE97" s="13">
        <f t="shared" si="33"/>
        <v>0</v>
      </c>
      <c r="AH97">
        <f t="shared" si="34"/>
        <v>19.2</v>
      </c>
      <c r="AI97">
        <f t="shared" si="35"/>
        <v>877.81799999999998</v>
      </c>
      <c r="AJ97" s="11">
        <f t="shared" si="36"/>
        <v>0.13100000000000001</v>
      </c>
      <c r="AK97">
        <f t="shared" si="37"/>
        <v>9481.8049919999994</v>
      </c>
      <c r="AL97">
        <f t="shared" si="38"/>
        <v>16854.105599999999</v>
      </c>
      <c r="AM97">
        <f t="shared" si="39"/>
        <v>-7372.3006079999996</v>
      </c>
    </row>
    <row r="98" spans="1:39" x14ac:dyDescent="0.25">
      <c r="A98" t="s">
        <v>314</v>
      </c>
      <c r="B98" s="4">
        <v>45787</v>
      </c>
      <c r="C98" s="4">
        <v>45804</v>
      </c>
      <c r="D98" s="13">
        <f t="shared" si="20"/>
        <v>17</v>
      </c>
      <c r="E98" s="6" t="s">
        <v>648</v>
      </c>
      <c r="F98" t="s">
        <v>653</v>
      </c>
      <c r="G98" t="s">
        <v>688</v>
      </c>
      <c r="H98" t="s">
        <v>702</v>
      </c>
      <c r="I98" t="s">
        <v>711</v>
      </c>
      <c r="J98" t="s">
        <v>712</v>
      </c>
      <c r="K98" t="s">
        <v>727</v>
      </c>
      <c r="L98" t="s">
        <v>1034</v>
      </c>
      <c r="M98" s="8">
        <v>862.89</v>
      </c>
      <c r="N98" s="8">
        <v>1426.03</v>
      </c>
      <c r="O98" s="8">
        <f t="shared" si="21"/>
        <v>1426.03</v>
      </c>
      <c r="P98" s="11">
        <v>5.6000000000000001E-2</v>
      </c>
      <c r="Q98" s="13">
        <v>19</v>
      </c>
      <c r="R98" s="8">
        <f t="shared" si="22"/>
        <v>25577.274079999999</v>
      </c>
      <c r="S98" s="8">
        <f t="shared" si="23"/>
        <v>16394.91</v>
      </c>
      <c r="T98" s="8">
        <f t="shared" si="24"/>
        <v>9182.3640799999994</v>
      </c>
      <c r="U98" s="11">
        <f t="shared" si="25"/>
        <v>0.35900479665188778</v>
      </c>
      <c r="V98" s="17">
        <v>45078</v>
      </c>
      <c r="W98" s="4" t="str">
        <f t="shared" si="26"/>
        <v>Q2-2025</v>
      </c>
      <c r="X98" t="str">
        <f t="shared" si="27"/>
        <v>Americas → Canada → Vancouver</v>
      </c>
      <c r="Y98" t="str">
        <f t="shared" si="28"/>
        <v>Medium</v>
      </c>
      <c r="Z98" s="20">
        <f t="shared" si="29"/>
        <v>45778</v>
      </c>
      <c r="AA98" s="4">
        <f t="array" ref="AA98">MIN(IF($F$2:$F$633=F98,$Z$2:$Z$633))</f>
        <v>44927</v>
      </c>
      <c r="AB98">
        <f t="shared" si="30"/>
        <v>28</v>
      </c>
      <c r="AC98">
        <f t="shared" si="31"/>
        <v>0</v>
      </c>
      <c r="AD98">
        <f t="shared" si="32"/>
        <v>0</v>
      </c>
      <c r="AE98" s="13">
        <f t="shared" si="33"/>
        <v>0</v>
      </c>
      <c r="AH98">
        <f t="shared" si="34"/>
        <v>22.8</v>
      </c>
      <c r="AI98">
        <f t="shared" si="35"/>
        <v>992.32349999999985</v>
      </c>
      <c r="AJ98" s="11">
        <f t="shared" si="36"/>
        <v>5.6000000000000001E-2</v>
      </c>
      <c r="AK98">
        <f t="shared" si="37"/>
        <v>30692.728896000001</v>
      </c>
      <c r="AL98">
        <f t="shared" si="38"/>
        <v>22624.975799999997</v>
      </c>
      <c r="AM98">
        <f t="shared" si="39"/>
        <v>8067.753096000004</v>
      </c>
    </row>
    <row r="99" spans="1:39" x14ac:dyDescent="0.25">
      <c r="A99" t="s">
        <v>571</v>
      </c>
      <c r="B99" s="4">
        <v>45789</v>
      </c>
      <c r="C99" s="4">
        <v>45791</v>
      </c>
      <c r="D99" s="13">
        <f t="shared" si="20"/>
        <v>2</v>
      </c>
      <c r="E99" s="6" t="s">
        <v>648</v>
      </c>
      <c r="F99" t="s">
        <v>653</v>
      </c>
      <c r="G99" t="s">
        <v>688</v>
      </c>
      <c r="H99" t="s">
        <v>703</v>
      </c>
      <c r="I99" t="s">
        <v>710</v>
      </c>
      <c r="J99" t="s">
        <v>721</v>
      </c>
      <c r="K99" t="s">
        <v>728</v>
      </c>
      <c r="L99" t="s">
        <v>1289</v>
      </c>
      <c r="M99" s="8">
        <v>883.5</v>
      </c>
      <c r="N99" s="8">
        <v>1978.91</v>
      </c>
      <c r="O99" s="8">
        <f t="shared" si="21"/>
        <v>1978.91</v>
      </c>
      <c r="P99" s="11">
        <v>5.3999999999999999E-2</v>
      </c>
      <c r="Q99" s="13">
        <v>27</v>
      </c>
      <c r="R99" s="8">
        <f t="shared" si="22"/>
        <v>50545.319219999998</v>
      </c>
      <c r="S99" s="8">
        <f t="shared" si="23"/>
        <v>23854.5</v>
      </c>
      <c r="T99" s="8">
        <f t="shared" si="24"/>
        <v>26690.819219999998</v>
      </c>
      <c r="U99" s="11">
        <f t="shared" si="25"/>
        <v>0.52805718970390547</v>
      </c>
      <c r="V99" s="17">
        <v>45057</v>
      </c>
      <c r="W99" s="4" t="str">
        <f t="shared" si="26"/>
        <v>Q2-2025</v>
      </c>
      <c r="X99" t="str">
        <f t="shared" si="27"/>
        <v>Americas → Canada → Vancouver</v>
      </c>
      <c r="Y99" t="str">
        <f t="shared" si="28"/>
        <v>High</v>
      </c>
      <c r="Z99" s="20">
        <f t="shared" si="29"/>
        <v>45778</v>
      </c>
      <c r="AA99" s="4">
        <f t="array" ref="AA99">MIN(IF($F$2:$F$633=F99,$Z$2:$Z$633))</f>
        <v>44927</v>
      </c>
      <c r="AB99">
        <f t="shared" si="30"/>
        <v>28</v>
      </c>
      <c r="AC99">
        <f t="shared" si="31"/>
        <v>1</v>
      </c>
      <c r="AD99">
        <f t="shared" si="32"/>
        <v>0</v>
      </c>
      <c r="AE99" s="13">
        <f t="shared" si="33"/>
        <v>1</v>
      </c>
      <c r="AH99">
        <f t="shared" si="34"/>
        <v>32.4</v>
      </c>
      <c r="AI99">
        <f t="shared" si="35"/>
        <v>1016.025</v>
      </c>
      <c r="AJ99" s="11">
        <f t="shared" si="36"/>
        <v>5.3999999999999999E-2</v>
      </c>
      <c r="AK99">
        <f t="shared" si="37"/>
        <v>60654.383064000001</v>
      </c>
      <c r="AL99">
        <f t="shared" si="38"/>
        <v>32919.21</v>
      </c>
      <c r="AM99">
        <f t="shared" si="39"/>
        <v>27735.173064000002</v>
      </c>
    </row>
    <row r="100" spans="1:39" x14ac:dyDescent="0.25">
      <c r="A100" t="s">
        <v>131</v>
      </c>
      <c r="B100" s="4">
        <v>45811</v>
      </c>
      <c r="C100" s="4">
        <v>45818</v>
      </c>
      <c r="D100" s="13">
        <f t="shared" si="20"/>
        <v>7</v>
      </c>
      <c r="E100" s="6" t="s">
        <v>648</v>
      </c>
      <c r="F100" t="s">
        <v>653</v>
      </c>
      <c r="G100" t="s">
        <v>667</v>
      </c>
      <c r="H100" t="s">
        <v>704</v>
      </c>
      <c r="I100" t="s">
        <v>710</v>
      </c>
      <c r="J100" t="s">
        <v>719</v>
      </c>
      <c r="K100" t="s">
        <v>728</v>
      </c>
      <c r="L100" t="s">
        <v>850</v>
      </c>
      <c r="M100" s="8">
        <v>75.180000000000007</v>
      </c>
      <c r="N100" s="8">
        <v>53.45</v>
      </c>
      <c r="O100" s="8">
        <f t="shared" si="21"/>
        <v>53.45</v>
      </c>
      <c r="P100" s="11">
        <v>0.157</v>
      </c>
      <c r="Q100" s="13">
        <v>17</v>
      </c>
      <c r="R100" s="8">
        <f t="shared" si="22"/>
        <v>765.99195000000009</v>
      </c>
      <c r="S100" s="8">
        <f t="shared" si="23"/>
        <v>1278.0600000000002</v>
      </c>
      <c r="T100" s="8">
        <f t="shared" si="24"/>
        <v>-512.06805000000008</v>
      </c>
      <c r="U100" s="11">
        <f t="shared" si="25"/>
        <v>-0.66850317421743144</v>
      </c>
      <c r="V100" s="17">
        <v>45030</v>
      </c>
      <c r="W100" s="4" t="str">
        <f t="shared" si="26"/>
        <v>Q2-2025</v>
      </c>
      <c r="X100" t="str">
        <f t="shared" si="27"/>
        <v>Americas → Canada → Toronto</v>
      </c>
      <c r="Y100" t="str">
        <f t="shared" si="28"/>
        <v>Low</v>
      </c>
      <c r="Z100" s="20">
        <f t="shared" si="29"/>
        <v>45809</v>
      </c>
      <c r="AA100" s="4">
        <f t="array" ref="AA100">MIN(IF($F$2:$F$633=F100,$Z$2:$Z$633))</f>
        <v>44927</v>
      </c>
      <c r="AB100">
        <f t="shared" si="30"/>
        <v>29</v>
      </c>
      <c r="AC100">
        <f t="shared" si="31"/>
        <v>1</v>
      </c>
      <c r="AD100">
        <f t="shared" si="32"/>
        <v>0</v>
      </c>
      <c r="AE100" s="13">
        <f t="shared" si="33"/>
        <v>1</v>
      </c>
      <c r="AH100">
        <f t="shared" si="34"/>
        <v>20.399999999999999</v>
      </c>
      <c r="AI100">
        <f t="shared" si="35"/>
        <v>86.457000000000008</v>
      </c>
      <c r="AJ100" s="11">
        <f t="shared" si="36"/>
        <v>0.157</v>
      </c>
      <c r="AK100">
        <f t="shared" si="37"/>
        <v>919.19033999999988</v>
      </c>
      <c r="AL100">
        <f t="shared" si="38"/>
        <v>1763.7228</v>
      </c>
      <c r="AM100">
        <f t="shared" si="39"/>
        <v>-844.53246000000013</v>
      </c>
    </row>
    <row r="101" spans="1:39" x14ac:dyDescent="0.25">
      <c r="A101" t="s">
        <v>383</v>
      </c>
      <c r="B101" s="4">
        <v>45832</v>
      </c>
      <c r="C101" s="4">
        <v>45861</v>
      </c>
      <c r="D101" s="13">
        <f t="shared" si="20"/>
        <v>29</v>
      </c>
      <c r="E101" s="6" t="s">
        <v>648</v>
      </c>
      <c r="F101" t="s">
        <v>653</v>
      </c>
      <c r="G101" t="s">
        <v>688</v>
      </c>
      <c r="H101" t="s">
        <v>703</v>
      </c>
      <c r="I101" t="s">
        <v>709</v>
      </c>
      <c r="J101" t="s">
        <v>714</v>
      </c>
      <c r="K101" t="s">
        <v>728</v>
      </c>
      <c r="L101" t="s">
        <v>1103</v>
      </c>
      <c r="M101" s="8">
        <v>255.4</v>
      </c>
      <c r="N101" s="8">
        <v>322.70999999999998</v>
      </c>
      <c r="O101" s="8">
        <f t="shared" si="21"/>
        <v>322.70999999999998</v>
      </c>
      <c r="P101" s="11">
        <v>0.115</v>
      </c>
      <c r="Q101" s="13">
        <v>16</v>
      </c>
      <c r="R101" s="8">
        <f t="shared" si="22"/>
        <v>4569.5735999999997</v>
      </c>
      <c r="S101" s="8">
        <f t="shared" si="23"/>
        <v>4086.4</v>
      </c>
      <c r="T101" s="8">
        <f t="shared" si="24"/>
        <v>483.17359999999962</v>
      </c>
      <c r="U101" s="11">
        <f t="shared" si="25"/>
        <v>0.10573713048412212</v>
      </c>
      <c r="V101" s="17">
        <v>45032</v>
      </c>
      <c r="W101" s="4" t="str">
        <f t="shared" si="26"/>
        <v>Q2-2025</v>
      </c>
      <c r="X101" t="str">
        <f t="shared" si="27"/>
        <v>Americas → Canada → Vancouver</v>
      </c>
      <c r="Y101" t="str">
        <f t="shared" si="28"/>
        <v>Low</v>
      </c>
      <c r="Z101" s="20">
        <f t="shared" si="29"/>
        <v>45809</v>
      </c>
      <c r="AA101" s="4">
        <f t="array" ref="AA101">MIN(IF($F$2:$F$633=F101,$Z$2:$Z$633))</f>
        <v>44927</v>
      </c>
      <c r="AB101">
        <f t="shared" si="30"/>
        <v>29</v>
      </c>
      <c r="AC101">
        <f t="shared" si="31"/>
        <v>0</v>
      </c>
      <c r="AD101">
        <f t="shared" si="32"/>
        <v>0</v>
      </c>
      <c r="AE101" s="13">
        <f t="shared" si="33"/>
        <v>0</v>
      </c>
      <c r="AH101">
        <f t="shared" si="34"/>
        <v>19.2</v>
      </c>
      <c r="AI101">
        <f t="shared" si="35"/>
        <v>293.70999999999998</v>
      </c>
      <c r="AJ101" s="11">
        <f t="shared" si="36"/>
        <v>0.115</v>
      </c>
      <c r="AK101">
        <f t="shared" si="37"/>
        <v>5483.4883199999995</v>
      </c>
      <c r="AL101">
        <f t="shared" si="38"/>
        <v>5639.2319999999991</v>
      </c>
      <c r="AM101">
        <f t="shared" si="39"/>
        <v>-155.74367999999959</v>
      </c>
    </row>
    <row r="102" spans="1:39" x14ac:dyDescent="0.25">
      <c r="A102" t="s">
        <v>134</v>
      </c>
      <c r="B102" s="4">
        <v>45847</v>
      </c>
      <c r="C102" s="4">
        <v>45856</v>
      </c>
      <c r="D102" s="13">
        <f t="shared" si="20"/>
        <v>9</v>
      </c>
      <c r="E102" s="6" t="s">
        <v>648</v>
      </c>
      <c r="F102" t="s">
        <v>653</v>
      </c>
      <c r="G102" t="s">
        <v>688</v>
      </c>
      <c r="H102" t="s">
        <v>702</v>
      </c>
      <c r="I102" t="s">
        <v>710</v>
      </c>
      <c r="J102" t="s">
        <v>714</v>
      </c>
      <c r="K102" t="s">
        <v>731</v>
      </c>
      <c r="L102" t="s">
        <v>853</v>
      </c>
      <c r="M102" s="8">
        <v>57.96</v>
      </c>
      <c r="N102" s="8">
        <v>88.51</v>
      </c>
      <c r="O102" s="8">
        <f t="shared" si="21"/>
        <v>88.51</v>
      </c>
      <c r="P102" s="11">
        <v>4.2999999999999997E-2</v>
      </c>
      <c r="Q102" s="13">
        <v>7</v>
      </c>
      <c r="R102" s="8">
        <f t="shared" si="22"/>
        <v>592.92849000000001</v>
      </c>
      <c r="S102" s="8">
        <f t="shared" si="23"/>
        <v>405.72</v>
      </c>
      <c r="T102" s="8">
        <f t="shared" si="24"/>
        <v>187.20848999999998</v>
      </c>
      <c r="U102" s="11">
        <f t="shared" si="25"/>
        <v>0.3157353595877978</v>
      </c>
      <c r="V102" s="17">
        <v>45016</v>
      </c>
      <c r="W102" s="4" t="str">
        <f t="shared" si="26"/>
        <v>Q3-2025</v>
      </c>
      <c r="X102" t="str">
        <f t="shared" si="27"/>
        <v>Americas → Canada → Vancouver</v>
      </c>
      <c r="Y102" t="str">
        <f t="shared" si="28"/>
        <v>Low</v>
      </c>
      <c r="Z102" s="20">
        <f t="shared" si="29"/>
        <v>45839</v>
      </c>
      <c r="AA102" s="4">
        <f t="array" ref="AA102">MIN(IF($F$2:$F$633=F102,$Z$2:$Z$633))</f>
        <v>44927</v>
      </c>
      <c r="AB102">
        <f t="shared" si="30"/>
        <v>30</v>
      </c>
      <c r="AC102">
        <f t="shared" si="31"/>
        <v>0</v>
      </c>
      <c r="AD102">
        <f t="shared" si="32"/>
        <v>0</v>
      </c>
      <c r="AE102" s="13">
        <f t="shared" si="33"/>
        <v>0</v>
      </c>
      <c r="AH102">
        <f t="shared" si="34"/>
        <v>8.4</v>
      </c>
      <c r="AI102">
        <f t="shared" si="35"/>
        <v>66.653999999999996</v>
      </c>
      <c r="AJ102" s="11">
        <f t="shared" si="36"/>
        <v>4.2999999999999997E-2</v>
      </c>
      <c r="AK102">
        <f t="shared" si="37"/>
        <v>711.51418799999999</v>
      </c>
      <c r="AL102">
        <f t="shared" si="38"/>
        <v>559.89359999999999</v>
      </c>
      <c r="AM102">
        <f t="shared" si="39"/>
        <v>151.620588</v>
      </c>
    </row>
    <row r="103" spans="1:39" x14ac:dyDescent="0.25">
      <c r="A103" t="s">
        <v>225</v>
      </c>
      <c r="B103" s="4">
        <v>45852</v>
      </c>
      <c r="C103" s="4">
        <v>45873</v>
      </c>
      <c r="D103" s="13">
        <f t="shared" si="20"/>
        <v>21</v>
      </c>
      <c r="E103" s="6" t="s">
        <v>648</v>
      </c>
      <c r="F103" t="s">
        <v>653</v>
      </c>
      <c r="G103" t="s">
        <v>681</v>
      </c>
      <c r="H103" t="s">
        <v>704</v>
      </c>
      <c r="I103" t="s">
        <v>708</v>
      </c>
      <c r="J103" t="s">
        <v>722</v>
      </c>
      <c r="K103" t="s">
        <v>732</v>
      </c>
      <c r="L103" t="s">
        <v>945</v>
      </c>
      <c r="M103" s="8">
        <v>90.3</v>
      </c>
      <c r="N103" s="8">
        <v>131.76</v>
      </c>
      <c r="O103" s="8">
        <f t="shared" si="21"/>
        <v>131.76</v>
      </c>
      <c r="P103" s="11">
        <v>0.10199999999999999</v>
      </c>
      <c r="Q103" s="13">
        <v>15</v>
      </c>
      <c r="R103" s="8">
        <f t="shared" si="22"/>
        <v>1774.8072</v>
      </c>
      <c r="S103" s="8">
        <f t="shared" si="23"/>
        <v>1354.5</v>
      </c>
      <c r="T103" s="8">
        <f t="shared" si="24"/>
        <v>420.30719999999997</v>
      </c>
      <c r="U103" s="11">
        <f t="shared" si="25"/>
        <v>0.23681851189244668</v>
      </c>
      <c r="V103" s="17">
        <v>45022</v>
      </c>
      <c r="W103" s="4" t="str">
        <f t="shared" si="26"/>
        <v>Q3-2025</v>
      </c>
      <c r="X103" t="str">
        <f t="shared" si="27"/>
        <v>Americas → Canada → Montreal</v>
      </c>
      <c r="Y103" t="str">
        <f t="shared" si="28"/>
        <v>Low</v>
      </c>
      <c r="Z103" s="20">
        <f t="shared" si="29"/>
        <v>45839</v>
      </c>
      <c r="AA103" s="4">
        <f t="array" ref="AA103">MIN(IF($F$2:$F$633=F103,$Z$2:$Z$633))</f>
        <v>44927</v>
      </c>
      <c r="AB103">
        <f t="shared" si="30"/>
        <v>30</v>
      </c>
      <c r="AC103">
        <f t="shared" si="31"/>
        <v>0</v>
      </c>
      <c r="AD103">
        <f t="shared" si="32"/>
        <v>0</v>
      </c>
      <c r="AE103" s="13">
        <f t="shared" si="33"/>
        <v>0</v>
      </c>
      <c r="AH103">
        <f t="shared" si="34"/>
        <v>18</v>
      </c>
      <c r="AI103">
        <f t="shared" si="35"/>
        <v>103.84499999999998</v>
      </c>
      <c r="AJ103" s="11">
        <f t="shared" si="36"/>
        <v>0.10199999999999999</v>
      </c>
      <c r="AK103">
        <f t="shared" si="37"/>
        <v>2129.7686399999998</v>
      </c>
      <c r="AL103">
        <f t="shared" si="38"/>
        <v>1869.2099999999998</v>
      </c>
      <c r="AM103">
        <f t="shared" si="39"/>
        <v>260.55863999999997</v>
      </c>
    </row>
    <row r="104" spans="1:39" x14ac:dyDescent="0.25">
      <c r="A104" t="s">
        <v>251</v>
      </c>
      <c r="B104" s="4">
        <v>45855</v>
      </c>
      <c r="C104" s="4">
        <v>45861</v>
      </c>
      <c r="D104" s="13">
        <f t="shared" si="20"/>
        <v>6</v>
      </c>
      <c r="E104" s="6" t="s">
        <v>648</v>
      </c>
      <c r="F104" t="s">
        <v>653</v>
      </c>
      <c r="G104" t="s">
        <v>688</v>
      </c>
      <c r="H104" t="s">
        <v>704</v>
      </c>
      <c r="I104" t="s">
        <v>708</v>
      </c>
      <c r="J104" t="s">
        <v>722</v>
      </c>
      <c r="K104" t="s">
        <v>727</v>
      </c>
      <c r="L104" t="s">
        <v>971</v>
      </c>
      <c r="M104" s="8">
        <v>1364.89</v>
      </c>
      <c r="N104" s="8">
        <v>2757.54</v>
      </c>
      <c r="O104" s="8">
        <f t="shared" si="21"/>
        <v>2757.54</v>
      </c>
      <c r="P104" s="11">
        <v>0.17199999999999999</v>
      </c>
      <c r="Q104" s="13">
        <v>61</v>
      </c>
      <c r="R104" s="8">
        <f t="shared" si="22"/>
        <v>139277.83032000001</v>
      </c>
      <c r="S104" s="8">
        <f t="shared" si="23"/>
        <v>83258.290000000008</v>
      </c>
      <c r="T104" s="8">
        <f t="shared" si="24"/>
        <v>56019.54032</v>
      </c>
      <c r="U104" s="11">
        <f t="shared" si="25"/>
        <v>0.4022143379983118</v>
      </c>
      <c r="V104" s="17">
        <v>45016</v>
      </c>
      <c r="W104" s="4" t="str">
        <f t="shared" si="26"/>
        <v>Q3-2025</v>
      </c>
      <c r="X104" t="str">
        <f t="shared" si="27"/>
        <v>Americas → Canada → Vancouver</v>
      </c>
      <c r="Y104" t="str">
        <f t="shared" si="28"/>
        <v>High</v>
      </c>
      <c r="Z104" s="20">
        <f t="shared" si="29"/>
        <v>45839</v>
      </c>
      <c r="AA104" s="4">
        <f t="array" ref="AA104">MIN(IF($F$2:$F$633=F104,$Z$2:$Z$633))</f>
        <v>44927</v>
      </c>
      <c r="AB104">
        <f t="shared" si="30"/>
        <v>30</v>
      </c>
      <c r="AC104">
        <f t="shared" si="31"/>
        <v>1</v>
      </c>
      <c r="AD104">
        <f t="shared" si="32"/>
        <v>0</v>
      </c>
      <c r="AE104" s="13">
        <f t="shared" si="33"/>
        <v>1</v>
      </c>
      <c r="AH104">
        <f t="shared" si="34"/>
        <v>73.2</v>
      </c>
      <c r="AI104">
        <f t="shared" si="35"/>
        <v>1569.6234999999999</v>
      </c>
      <c r="AJ104" s="11">
        <f t="shared" si="36"/>
        <v>0.17199999999999999</v>
      </c>
      <c r="AK104">
        <f t="shared" si="37"/>
        <v>167133.39638400002</v>
      </c>
      <c r="AL104">
        <f t="shared" si="38"/>
        <v>114896.4402</v>
      </c>
      <c r="AM104">
        <f t="shared" si="39"/>
        <v>52236.956184000024</v>
      </c>
    </row>
    <row r="105" spans="1:39" x14ac:dyDescent="0.25">
      <c r="A105" t="s">
        <v>590</v>
      </c>
      <c r="B105" s="4">
        <v>45872</v>
      </c>
      <c r="C105" s="4">
        <v>45885</v>
      </c>
      <c r="D105" s="13">
        <f t="shared" si="20"/>
        <v>13</v>
      </c>
      <c r="E105" s="6" t="s">
        <v>648</v>
      </c>
      <c r="F105" t="s">
        <v>653</v>
      </c>
      <c r="G105" t="s">
        <v>681</v>
      </c>
      <c r="H105" t="s">
        <v>706</v>
      </c>
      <c r="I105" t="s">
        <v>710</v>
      </c>
      <c r="J105" t="s">
        <v>719</v>
      </c>
      <c r="K105" t="s">
        <v>729</v>
      </c>
      <c r="L105" t="s">
        <v>1308</v>
      </c>
      <c r="M105" s="8">
        <v>698.66</v>
      </c>
      <c r="N105" s="8">
        <v>868.62</v>
      </c>
      <c r="O105" s="8">
        <f t="shared" si="21"/>
        <v>868.62</v>
      </c>
      <c r="P105" s="11">
        <v>7.1999999999999995E-2</v>
      </c>
      <c r="Q105" s="13">
        <v>15</v>
      </c>
      <c r="R105" s="8">
        <f t="shared" si="22"/>
        <v>12091.190399999999</v>
      </c>
      <c r="S105" s="8">
        <f t="shared" si="23"/>
        <v>10479.9</v>
      </c>
      <c r="T105" s="8">
        <f t="shared" si="24"/>
        <v>1611.2903999999999</v>
      </c>
      <c r="U105" s="11">
        <f t="shared" si="25"/>
        <v>0.13326151906432637</v>
      </c>
      <c r="V105" s="17">
        <v>44980</v>
      </c>
      <c r="W105" s="4" t="str">
        <f t="shared" si="26"/>
        <v>Q3-2025</v>
      </c>
      <c r="X105" t="str">
        <f t="shared" si="27"/>
        <v>Americas → Canada → Montreal</v>
      </c>
      <c r="Y105" t="str">
        <f t="shared" si="28"/>
        <v>Medium</v>
      </c>
      <c r="Z105" s="20">
        <f t="shared" si="29"/>
        <v>45870</v>
      </c>
      <c r="AA105" s="4">
        <f t="array" ref="AA105">MIN(IF($F$2:$F$633=F105,$Z$2:$Z$633))</f>
        <v>44927</v>
      </c>
      <c r="AB105">
        <f t="shared" si="30"/>
        <v>31</v>
      </c>
      <c r="AC105">
        <f t="shared" si="31"/>
        <v>0</v>
      </c>
      <c r="AD105">
        <f t="shared" si="32"/>
        <v>0</v>
      </c>
      <c r="AE105" s="13">
        <f t="shared" si="33"/>
        <v>0</v>
      </c>
      <c r="AH105">
        <f t="shared" si="34"/>
        <v>18</v>
      </c>
      <c r="AI105">
        <f t="shared" si="35"/>
        <v>803.45899999999995</v>
      </c>
      <c r="AJ105" s="11">
        <f t="shared" si="36"/>
        <v>7.1999999999999995E-2</v>
      </c>
      <c r="AK105">
        <f t="shared" si="37"/>
        <v>14509.42848</v>
      </c>
      <c r="AL105">
        <f t="shared" si="38"/>
        <v>14462.261999999999</v>
      </c>
      <c r="AM105">
        <f t="shared" si="39"/>
        <v>47.166480000001684</v>
      </c>
    </row>
    <row r="106" spans="1:39" x14ac:dyDescent="0.25">
      <c r="A106" t="s">
        <v>395</v>
      </c>
      <c r="B106" s="4">
        <v>45876</v>
      </c>
      <c r="C106" s="4">
        <v>45906</v>
      </c>
      <c r="D106" s="13">
        <f t="shared" si="20"/>
        <v>30</v>
      </c>
      <c r="E106" s="6" t="s">
        <v>648</v>
      </c>
      <c r="F106" t="s">
        <v>653</v>
      </c>
      <c r="G106" t="s">
        <v>681</v>
      </c>
      <c r="H106" t="s">
        <v>702</v>
      </c>
      <c r="I106" t="s">
        <v>711</v>
      </c>
      <c r="J106" t="s">
        <v>724</v>
      </c>
      <c r="K106" t="s">
        <v>729</v>
      </c>
      <c r="L106" t="s">
        <v>1114</v>
      </c>
      <c r="M106" s="8">
        <v>833.73</v>
      </c>
      <c r="N106" s="8">
        <v>1116.5999999999999</v>
      </c>
      <c r="O106" s="8">
        <f t="shared" si="21"/>
        <v>1116.5999999999999</v>
      </c>
      <c r="P106" s="11">
        <v>0.17599999999999999</v>
      </c>
      <c r="Q106" s="13">
        <v>14</v>
      </c>
      <c r="R106" s="8">
        <f t="shared" si="22"/>
        <v>12881.097599999999</v>
      </c>
      <c r="S106" s="8">
        <f t="shared" si="23"/>
        <v>11672.220000000001</v>
      </c>
      <c r="T106" s="8">
        <f t="shared" si="24"/>
        <v>1208.877599999998</v>
      </c>
      <c r="U106" s="11">
        <f t="shared" si="25"/>
        <v>9.3848958958279924E-2</v>
      </c>
      <c r="V106" s="17">
        <v>44980</v>
      </c>
      <c r="W106" s="4" t="str">
        <f t="shared" si="26"/>
        <v>Q3-2025</v>
      </c>
      <c r="X106" t="str">
        <f t="shared" si="27"/>
        <v>Americas → Canada → Montreal</v>
      </c>
      <c r="Y106" t="str">
        <f t="shared" si="28"/>
        <v>Medium</v>
      </c>
      <c r="Z106" s="20">
        <f t="shared" si="29"/>
        <v>45870</v>
      </c>
      <c r="AA106" s="4">
        <f t="array" ref="AA106">MIN(IF($F$2:$F$633=F106,$Z$2:$Z$633))</f>
        <v>44927</v>
      </c>
      <c r="AB106">
        <f t="shared" si="30"/>
        <v>31</v>
      </c>
      <c r="AC106">
        <f t="shared" si="31"/>
        <v>0</v>
      </c>
      <c r="AD106">
        <f t="shared" si="32"/>
        <v>0</v>
      </c>
      <c r="AE106" s="13">
        <f t="shared" si="33"/>
        <v>0</v>
      </c>
      <c r="AH106">
        <f t="shared" si="34"/>
        <v>16.8</v>
      </c>
      <c r="AI106">
        <f t="shared" si="35"/>
        <v>958.78949999999998</v>
      </c>
      <c r="AJ106" s="11">
        <f t="shared" si="36"/>
        <v>0.17599999999999999</v>
      </c>
      <c r="AK106">
        <f t="shared" si="37"/>
        <v>15457.317120000002</v>
      </c>
      <c r="AL106">
        <f t="shared" si="38"/>
        <v>16107.6636</v>
      </c>
      <c r="AM106">
        <f t="shared" si="39"/>
        <v>-650.34647999999834</v>
      </c>
    </row>
    <row r="107" spans="1:39" x14ac:dyDescent="0.25">
      <c r="A107" t="s">
        <v>279</v>
      </c>
      <c r="B107" s="4">
        <v>45902</v>
      </c>
      <c r="C107" s="4">
        <v>45911</v>
      </c>
      <c r="D107" s="13">
        <f t="shared" si="20"/>
        <v>9</v>
      </c>
      <c r="E107" s="6" t="s">
        <v>648</v>
      </c>
      <c r="F107" t="s">
        <v>653</v>
      </c>
      <c r="G107" t="s">
        <v>667</v>
      </c>
      <c r="H107" t="s">
        <v>701</v>
      </c>
      <c r="I107" t="s">
        <v>710</v>
      </c>
      <c r="J107" t="s">
        <v>724</v>
      </c>
      <c r="K107" t="s">
        <v>728</v>
      </c>
      <c r="L107" t="s">
        <v>999</v>
      </c>
      <c r="M107" s="8">
        <v>1207.6300000000001</v>
      </c>
      <c r="N107" s="8">
        <v>921.68</v>
      </c>
      <c r="O107" s="8">
        <f t="shared" si="21"/>
        <v>921.68</v>
      </c>
      <c r="P107" s="11">
        <v>0.19600000000000001</v>
      </c>
      <c r="Q107" s="13">
        <v>17</v>
      </c>
      <c r="R107" s="8">
        <f t="shared" si="22"/>
        <v>12597.52224</v>
      </c>
      <c r="S107" s="8">
        <f t="shared" si="23"/>
        <v>20529.710000000003</v>
      </c>
      <c r="T107" s="8">
        <f t="shared" si="24"/>
        <v>-7932.1877600000025</v>
      </c>
      <c r="U107" s="11">
        <f t="shared" si="25"/>
        <v>-0.62966253274897988</v>
      </c>
      <c r="V107" s="17">
        <v>44946</v>
      </c>
      <c r="W107" s="4" t="str">
        <f t="shared" si="26"/>
        <v>Q3-2025</v>
      </c>
      <c r="X107" t="str">
        <f t="shared" si="27"/>
        <v>Americas → Canada → Toronto</v>
      </c>
      <c r="Y107" t="str">
        <f t="shared" si="28"/>
        <v>Medium</v>
      </c>
      <c r="Z107" s="20">
        <f t="shared" si="29"/>
        <v>45901</v>
      </c>
      <c r="AA107" s="4">
        <f t="array" ref="AA107">MIN(IF($F$2:$F$633=F107,$Z$2:$Z$633))</f>
        <v>44927</v>
      </c>
      <c r="AB107">
        <f t="shared" si="30"/>
        <v>32</v>
      </c>
      <c r="AC107">
        <f t="shared" si="31"/>
        <v>0</v>
      </c>
      <c r="AD107">
        <f t="shared" si="32"/>
        <v>0</v>
      </c>
      <c r="AE107" s="13">
        <f t="shared" si="33"/>
        <v>0</v>
      </c>
      <c r="AH107">
        <f t="shared" si="34"/>
        <v>20.399999999999999</v>
      </c>
      <c r="AI107">
        <f t="shared" si="35"/>
        <v>1388.7745</v>
      </c>
      <c r="AJ107" s="11">
        <f t="shared" si="36"/>
        <v>0.19600000000000001</v>
      </c>
      <c r="AK107">
        <f t="shared" si="37"/>
        <v>15117.026687999998</v>
      </c>
      <c r="AL107">
        <f t="shared" si="38"/>
        <v>28330.999799999998</v>
      </c>
      <c r="AM107">
        <f t="shared" si="39"/>
        <v>-13213.973112</v>
      </c>
    </row>
    <row r="108" spans="1:39" x14ac:dyDescent="0.25">
      <c r="A108" t="s">
        <v>541</v>
      </c>
      <c r="B108" s="4">
        <v>44938</v>
      </c>
      <c r="C108" s="4">
        <v>44952</v>
      </c>
      <c r="D108" s="13">
        <f t="shared" si="20"/>
        <v>14</v>
      </c>
      <c r="E108" s="6" t="s">
        <v>647</v>
      </c>
      <c r="F108" t="s">
        <v>659</v>
      </c>
      <c r="G108" t="s">
        <v>676</v>
      </c>
      <c r="H108" t="s">
        <v>703</v>
      </c>
      <c r="I108" t="s">
        <v>707</v>
      </c>
      <c r="J108" t="s">
        <v>724</v>
      </c>
      <c r="K108" t="s">
        <v>728</v>
      </c>
      <c r="L108" t="s">
        <v>1260</v>
      </c>
      <c r="M108" s="8">
        <v>1083.0899999999999</v>
      </c>
      <c r="N108" s="8">
        <v>1425.87</v>
      </c>
      <c r="O108" s="8">
        <f t="shared" si="21"/>
        <v>1425.87</v>
      </c>
      <c r="P108" s="11">
        <v>0</v>
      </c>
      <c r="Q108" s="13">
        <v>8</v>
      </c>
      <c r="R108" s="8">
        <f t="shared" si="22"/>
        <v>11406.96</v>
      </c>
      <c r="S108" s="8">
        <f t="shared" si="23"/>
        <v>8664.7199999999993</v>
      </c>
      <c r="T108" s="8">
        <f t="shared" si="24"/>
        <v>2742.24</v>
      </c>
      <c r="U108" s="11">
        <f t="shared" si="25"/>
        <v>0.24040059752992909</v>
      </c>
      <c r="V108" s="17">
        <v>45901</v>
      </c>
      <c r="W108" s="4" t="str">
        <f t="shared" si="26"/>
        <v>Q1-2023</v>
      </c>
      <c r="X108" t="str">
        <f t="shared" si="27"/>
        <v>Asia → China → Shenzhen</v>
      </c>
      <c r="Y108" t="str">
        <f t="shared" si="28"/>
        <v>Medium</v>
      </c>
      <c r="Z108" s="20">
        <f t="shared" si="29"/>
        <v>44927</v>
      </c>
      <c r="AA108" s="4">
        <f t="array" ref="AA108">MIN(IF($F$2:$F$633=F108,$Z$2:$Z$633))</f>
        <v>44927</v>
      </c>
      <c r="AB108">
        <f t="shared" si="30"/>
        <v>0</v>
      </c>
      <c r="AC108">
        <f t="shared" si="31"/>
        <v>0</v>
      </c>
      <c r="AD108">
        <f t="shared" si="32"/>
        <v>0</v>
      </c>
      <c r="AE108" s="13">
        <f t="shared" si="33"/>
        <v>0</v>
      </c>
      <c r="AH108">
        <f t="shared" si="34"/>
        <v>9.6</v>
      </c>
      <c r="AI108">
        <f t="shared" si="35"/>
        <v>1245.5534999999998</v>
      </c>
      <c r="AJ108" s="11">
        <f t="shared" si="36"/>
        <v>0</v>
      </c>
      <c r="AK108">
        <f t="shared" si="37"/>
        <v>13688.351999999999</v>
      </c>
      <c r="AL108">
        <f t="shared" si="38"/>
        <v>11957.313599999998</v>
      </c>
      <c r="AM108">
        <f t="shared" si="39"/>
        <v>1731.0384000000013</v>
      </c>
    </row>
    <row r="109" spans="1:39" x14ac:dyDescent="0.25">
      <c r="A109" t="s">
        <v>516</v>
      </c>
      <c r="B109" s="4">
        <v>44980</v>
      </c>
      <c r="C109" s="4">
        <v>45003</v>
      </c>
      <c r="D109" s="13">
        <f t="shared" si="20"/>
        <v>23</v>
      </c>
      <c r="E109" s="6" t="s">
        <v>647</v>
      </c>
      <c r="F109" t="s">
        <v>659</v>
      </c>
      <c r="G109" t="s">
        <v>699</v>
      </c>
      <c r="H109" t="s">
        <v>702</v>
      </c>
      <c r="I109" t="s">
        <v>710</v>
      </c>
      <c r="J109" t="s">
        <v>723</v>
      </c>
      <c r="K109" t="s">
        <v>728</v>
      </c>
      <c r="L109" t="s">
        <v>1235</v>
      </c>
      <c r="M109" s="8">
        <v>770.11</v>
      </c>
      <c r="N109" s="8">
        <v>1667.82</v>
      </c>
      <c r="O109" s="8">
        <f t="shared" si="21"/>
        <v>1667.82</v>
      </c>
      <c r="P109" s="11">
        <v>6.9000000000000006E-2</v>
      </c>
      <c r="Q109" s="13">
        <v>7</v>
      </c>
      <c r="R109" s="8">
        <f t="shared" si="22"/>
        <v>10869.182940000001</v>
      </c>
      <c r="S109" s="8">
        <f t="shared" si="23"/>
        <v>5390.77</v>
      </c>
      <c r="T109" s="8">
        <f t="shared" si="24"/>
        <v>5478.4129400000002</v>
      </c>
      <c r="U109" s="11">
        <f t="shared" si="25"/>
        <v>0.50403171703355287</v>
      </c>
      <c r="V109" s="17">
        <v>45895</v>
      </c>
      <c r="W109" s="4" t="str">
        <f t="shared" si="26"/>
        <v>Q1-2023</v>
      </c>
      <c r="X109" t="str">
        <f t="shared" si="27"/>
        <v>Asia → China → Beijing</v>
      </c>
      <c r="Y109" t="str">
        <f t="shared" si="28"/>
        <v>High</v>
      </c>
      <c r="Z109" s="20">
        <f t="shared" si="29"/>
        <v>44958</v>
      </c>
      <c r="AA109" s="4">
        <f t="array" ref="AA109">MIN(IF($F$2:$F$633=F109,$Z$2:$Z$633))</f>
        <v>44927</v>
      </c>
      <c r="AB109">
        <f t="shared" si="30"/>
        <v>1</v>
      </c>
      <c r="AC109">
        <f t="shared" si="31"/>
        <v>0</v>
      </c>
      <c r="AD109">
        <f t="shared" si="32"/>
        <v>0</v>
      </c>
      <c r="AE109" s="13">
        <f t="shared" si="33"/>
        <v>0</v>
      </c>
      <c r="AH109">
        <f t="shared" si="34"/>
        <v>8.4</v>
      </c>
      <c r="AI109">
        <f t="shared" si="35"/>
        <v>885.62649999999996</v>
      </c>
      <c r="AJ109" s="11">
        <f t="shared" si="36"/>
        <v>6.9000000000000006E-2</v>
      </c>
      <c r="AK109">
        <f t="shared" si="37"/>
        <v>13043.019528000001</v>
      </c>
      <c r="AL109">
        <f t="shared" si="38"/>
        <v>7439.2626</v>
      </c>
      <c r="AM109">
        <f t="shared" si="39"/>
        <v>5603.7569280000007</v>
      </c>
    </row>
    <row r="110" spans="1:39" x14ac:dyDescent="0.25">
      <c r="A110" t="s">
        <v>419</v>
      </c>
      <c r="B110" s="4">
        <v>44991</v>
      </c>
      <c r="C110" s="4">
        <v>45020</v>
      </c>
      <c r="D110" s="13">
        <f t="shared" si="20"/>
        <v>29</v>
      </c>
      <c r="E110" s="6" t="s">
        <v>647</v>
      </c>
      <c r="F110" t="s">
        <v>659</v>
      </c>
      <c r="G110" t="s">
        <v>699</v>
      </c>
      <c r="H110" t="s">
        <v>705</v>
      </c>
      <c r="I110" t="s">
        <v>711</v>
      </c>
      <c r="J110" t="s">
        <v>712</v>
      </c>
      <c r="K110" t="s">
        <v>732</v>
      </c>
      <c r="L110" t="s">
        <v>1138</v>
      </c>
      <c r="M110" s="8">
        <v>1126.29</v>
      </c>
      <c r="N110" s="8">
        <v>2050.87</v>
      </c>
      <c r="O110" s="8">
        <f t="shared" si="21"/>
        <v>2050.87</v>
      </c>
      <c r="P110" s="11">
        <v>6.4000000000000001E-2</v>
      </c>
      <c r="Q110" s="13">
        <v>7</v>
      </c>
      <c r="R110" s="8">
        <f t="shared" si="22"/>
        <v>13437.300239999999</v>
      </c>
      <c r="S110" s="8">
        <f t="shared" si="23"/>
        <v>7884.03</v>
      </c>
      <c r="T110" s="8">
        <f t="shared" si="24"/>
        <v>5553.2702399999989</v>
      </c>
      <c r="U110" s="11">
        <f t="shared" si="25"/>
        <v>0.41327276616690373</v>
      </c>
      <c r="V110" s="17">
        <v>45874</v>
      </c>
      <c r="W110" s="4" t="str">
        <f t="shared" si="26"/>
        <v>Q1-2023</v>
      </c>
      <c r="X110" t="str">
        <f t="shared" si="27"/>
        <v>Asia → China → Beijing</v>
      </c>
      <c r="Y110" t="str">
        <f t="shared" si="28"/>
        <v>High</v>
      </c>
      <c r="Z110" s="20">
        <f t="shared" si="29"/>
        <v>44986</v>
      </c>
      <c r="AA110" s="4">
        <f t="array" ref="AA110">MIN(IF($F$2:$F$633=F110,$Z$2:$Z$633))</f>
        <v>44927</v>
      </c>
      <c r="AB110">
        <f t="shared" si="30"/>
        <v>2</v>
      </c>
      <c r="AC110">
        <f t="shared" si="31"/>
        <v>0</v>
      </c>
      <c r="AD110">
        <f t="shared" si="32"/>
        <v>0</v>
      </c>
      <c r="AE110" s="13">
        <f t="shared" si="33"/>
        <v>0</v>
      </c>
      <c r="AH110">
        <f t="shared" si="34"/>
        <v>8.4</v>
      </c>
      <c r="AI110">
        <f t="shared" si="35"/>
        <v>1295.2334999999998</v>
      </c>
      <c r="AJ110" s="11">
        <f t="shared" si="36"/>
        <v>6.4000000000000001E-2</v>
      </c>
      <c r="AK110">
        <f t="shared" si="37"/>
        <v>16124.760287999999</v>
      </c>
      <c r="AL110">
        <f t="shared" si="38"/>
        <v>10879.961399999998</v>
      </c>
      <c r="AM110">
        <f t="shared" si="39"/>
        <v>5244.7988880000012</v>
      </c>
    </row>
    <row r="111" spans="1:39" x14ac:dyDescent="0.25">
      <c r="A111" t="s">
        <v>181</v>
      </c>
      <c r="B111" s="4">
        <v>45034</v>
      </c>
      <c r="C111" s="4">
        <v>45064</v>
      </c>
      <c r="D111" s="13">
        <f t="shared" si="20"/>
        <v>30</v>
      </c>
      <c r="E111" s="6" t="s">
        <v>647</v>
      </c>
      <c r="F111" t="s">
        <v>659</v>
      </c>
      <c r="G111" t="s">
        <v>676</v>
      </c>
      <c r="H111" t="s">
        <v>703</v>
      </c>
      <c r="I111" t="s">
        <v>707</v>
      </c>
      <c r="J111" t="s">
        <v>722</v>
      </c>
      <c r="K111" t="s">
        <v>731</v>
      </c>
      <c r="L111" t="s">
        <v>900</v>
      </c>
      <c r="M111" s="8">
        <v>329.03</v>
      </c>
      <c r="N111" s="8">
        <v>391.15</v>
      </c>
      <c r="O111" s="8">
        <f t="shared" si="21"/>
        <v>391.15</v>
      </c>
      <c r="P111" s="11">
        <v>0.19700000000000001</v>
      </c>
      <c r="Q111" s="13">
        <v>46</v>
      </c>
      <c r="R111" s="8">
        <f t="shared" si="22"/>
        <v>14448.298699999998</v>
      </c>
      <c r="S111" s="8">
        <f t="shared" si="23"/>
        <v>15135.38</v>
      </c>
      <c r="T111" s="8">
        <f t="shared" si="24"/>
        <v>-687.08130000000165</v>
      </c>
      <c r="U111" s="11">
        <f t="shared" si="25"/>
        <v>-4.7554477815440081E-2</v>
      </c>
      <c r="V111" s="17">
        <v>45825</v>
      </c>
      <c r="W111" s="4" t="str">
        <f t="shared" si="26"/>
        <v>Q2-2023</v>
      </c>
      <c r="X111" t="str">
        <f t="shared" si="27"/>
        <v>Asia → China → Shenzhen</v>
      </c>
      <c r="Y111" t="str">
        <f t="shared" si="28"/>
        <v>Low</v>
      </c>
      <c r="Z111" s="20">
        <f t="shared" si="29"/>
        <v>45017</v>
      </c>
      <c r="AA111" s="4">
        <f t="array" ref="AA111">MIN(IF($F$2:$F$633=F111,$Z$2:$Z$633))</f>
        <v>44927</v>
      </c>
      <c r="AB111">
        <f t="shared" si="30"/>
        <v>3</v>
      </c>
      <c r="AC111">
        <f t="shared" si="31"/>
        <v>0</v>
      </c>
      <c r="AD111">
        <f t="shared" si="32"/>
        <v>0</v>
      </c>
      <c r="AE111" s="13">
        <f t="shared" si="33"/>
        <v>0</v>
      </c>
      <c r="AH111">
        <f t="shared" si="34"/>
        <v>55.199999999999996</v>
      </c>
      <c r="AI111">
        <f t="shared" si="35"/>
        <v>378.38449999999995</v>
      </c>
      <c r="AJ111" s="11">
        <f t="shared" si="36"/>
        <v>0.19700000000000001</v>
      </c>
      <c r="AK111">
        <f t="shared" si="37"/>
        <v>17337.958439999995</v>
      </c>
      <c r="AL111">
        <f t="shared" si="38"/>
        <v>20886.824399999994</v>
      </c>
      <c r="AM111">
        <f t="shared" si="39"/>
        <v>-3548.8659599999992</v>
      </c>
    </row>
    <row r="112" spans="1:39" x14ac:dyDescent="0.25">
      <c r="A112" t="s">
        <v>84</v>
      </c>
      <c r="B112" s="4">
        <v>45037</v>
      </c>
      <c r="C112" s="4">
        <v>45056</v>
      </c>
      <c r="D112" s="13">
        <f t="shared" si="20"/>
        <v>19</v>
      </c>
      <c r="E112" s="6" t="s">
        <v>647</v>
      </c>
      <c r="F112" t="s">
        <v>659</v>
      </c>
      <c r="G112" t="s">
        <v>685</v>
      </c>
      <c r="H112" t="s">
        <v>701</v>
      </c>
      <c r="I112" t="s">
        <v>707</v>
      </c>
      <c r="J112" t="s">
        <v>720</v>
      </c>
      <c r="K112" t="s">
        <v>727</v>
      </c>
      <c r="L112" t="s">
        <v>803</v>
      </c>
      <c r="M112" s="8">
        <v>882.33</v>
      </c>
      <c r="N112" s="8">
        <v>1880.15</v>
      </c>
      <c r="O112" s="8">
        <f t="shared" si="21"/>
        <v>1880.15</v>
      </c>
      <c r="P112" s="11">
        <v>0.05</v>
      </c>
      <c r="Q112" s="13">
        <v>5</v>
      </c>
      <c r="R112" s="8">
        <f t="shared" si="22"/>
        <v>8930.7124999999996</v>
      </c>
      <c r="S112" s="8">
        <f t="shared" si="23"/>
        <v>4411.6500000000005</v>
      </c>
      <c r="T112" s="8">
        <f t="shared" si="24"/>
        <v>4519.0624999999991</v>
      </c>
      <c r="U112" s="11">
        <f t="shared" si="25"/>
        <v>0.50601365792482955</v>
      </c>
      <c r="V112" s="17">
        <v>45827</v>
      </c>
      <c r="W112" s="4" t="str">
        <f t="shared" si="26"/>
        <v>Q2-2023</v>
      </c>
      <c r="X112" t="str">
        <f t="shared" si="27"/>
        <v>Asia → China → Shanghai</v>
      </c>
      <c r="Y112" t="str">
        <f t="shared" si="28"/>
        <v>High</v>
      </c>
      <c r="Z112" s="20">
        <f t="shared" si="29"/>
        <v>45017</v>
      </c>
      <c r="AA112" s="4">
        <f t="array" ref="AA112">MIN(IF($F$2:$F$633=F112,$Z$2:$Z$633))</f>
        <v>44927</v>
      </c>
      <c r="AB112">
        <f t="shared" si="30"/>
        <v>3</v>
      </c>
      <c r="AC112">
        <f t="shared" si="31"/>
        <v>0</v>
      </c>
      <c r="AD112">
        <f t="shared" si="32"/>
        <v>0</v>
      </c>
      <c r="AE112" s="13">
        <f t="shared" si="33"/>
        <v>0</v>
      </c>
      <c r="AH112">
        <f t="shared" si="34"/>
        <v>6</v>
      </c>
      <c r="AI112">
        <f t="shared" si="35"/>
        <v>1014.6795</v>
      </c>
      <c r="AJ112" s="11">
        <f t="shared" si="36"/>
        <v>0.05</v>
      </c>
      <c r="AK112">
        <f t="shared" si="37"/>
        <v>10716.855000000001</v>
      </c>
      <c r="AL112">
        <f t="shared" si="38"/>
        <v>6088.0769999999993</v>
      </c>
      <c r="AM112">
        <f t="shared" si="39"/>
        <v>4628.7780000000021</v>
      </c>
    </row>
    <row r="113" spans="1:39" x14ac:dyDescent="0.25">
      <c r="A113" t="s">
        <v>471</v>
      </c>
      <c r="B113" s="4">
        <v>45048</v>
      </c>
      <c r="C113" s="4">
        <v>45065</v>
      </c>
      <c r="D113" s="13">
        <f t="shared" si="20"/>
        <v>17</v>
      </c>
      <c r="E113" s="6" t="s">
        <v>647</v>
      </c>
      <c r="F113" t="s">
        <v>659</v>
      </c>
      <c r="G113" t="s">
        <v>685</v>
      </c>
      <c r="H113" t="s">
        <v>703</v>
      </c>
      <c r="I113" t="s">
        <v>711</v>
      </c>
      <c r="J113" t="s">
        <v>713</v>
      </c>
      <c r="K113" t="s">
        <v>732</v>
      </c>
      <c r="L113" t="s">
        <v>1190</v>
      </c>
      <c r="M113" s="8">
        <v>714.28</v>
      </c>
      <c r="N113" s="8">
        <v>757.59</v>
      </c>
      <c r="O113" s="8">
        <f t="shared" si="21"/>
        <v>757.59</v>
      </c>
      <c r="P113" s="11">
        <v>0.13600000000000001</v>
      </c>
      <c r="Q113" s="13">
        <v>12</v>
      </c>
      <c r="R113" s="8">
        <f t="shared" si="22"/>
        <v>7854.6931199999999</v>
      </c>
      <c r="S113" s="8">
        <f t="shared" si="23"/>
        <v>8571.36</v>
      </c>
      <c r="T113" s="8">
        <f t="shared" si="24"/>
        <v>-716.66688000000067</v>
      </c>
      <c r="U113" s="11">
        <f t="shared" si="25"/>
        <v>-9.1240595787910383E-2</v>
      </c>
      <c r="V113" s="17">
        <v>45798</v>
      </c>
      <c r="W113" s="4" t="str">
        <f t="shared" si="26"/>
        <v>Q2-2023</v>
      </c>
      <c r="X113" t="str">
        <f t="shared" si="27"/>
        <v>Asia → China → Shanghai</v>
      </c>
      <c r="Y113" t="str">
        <f t="shared" si="28"/>
        <v>Low</v>
      </c>
      <c r="Z113" s="20">
        <f t="shared" si="29"/>
        <v>45047</v>
      </c>
      <c r="AA113" s="4">
        <f t="array" ref="AA113">MIN(IF($F$2:$F$633=F113,$Z$2:$Z$633))</f>
        <v>44927</v>
      </c>
      <c r="AB113">
        <f t="shared" si="30"/>
        <v>4</v>
      </c>
      <c r="AC113">
        <f t="shared" si="31"/>
        <v>0</v>
      </c>
      <c r="AD113">
        <f t="shared" si="32"/>
        <v>0</v>
      </c>
      <c r="AE113" s="13">
        <f t="shared" si="33"/>
        <v>0</v>
      </c>
      <c r="AH113">
        <f t="shared" si="34"/>
        <v>14.399999999999999</v>
      </c>
      <c r="AI113">
        <f t="shared" si="35"/>
        <v>821.42199999999991</v>
      </c>
      <c r="AJ113" s="11">
        <f t="shared" si="36"/>
        <v>0.13600000000000001</v>
      </c>
      <c r="AK113">
        <f t="shared" si="37"/>
        <v>9425.6317440000003</v>
      </c>
      <c r="AL113">
        <f t="shared" si="38"/>
        <v>11828.476799999997</v>
      </c>
      <c r="AM113">
        <f t="shared" si="39"/>
        <v>-2402.8450559999965</v>
      </c>
    </row>
    <row r="114" spans="1:39" x14ac:dyDescent="0.25">
      <c r="A114" t="s">
        <v>36</v>
      </c>
      <c r="B114" s="4">
        <v>45057</v>
      </c>
      <c r="C114" s="4">
        <v>45074</v>
      </c>
      <c r="D114" s="13">
        <f t="shared" si="20"/>
        <v>17</v>
      </c>
      <c r="E114" s="6" t="s">
        <v>647</v>
      </c>
      <c r="F114" t="s">
        <v>659</v>
      </c>
      <c r="G114" t="s">
        <v>676</v>
      </c>
      <c r="H114" t="s">
        <v>706</v>
      </c>
      <c r="I114" t="s">
        <v>709</v>
      </c>
      <c r="J114" t="s">
        <v>718</v>
      </c>
      <c r="K114" t="s">
        <v>729</v>
      </c>
      <c r="L114" t="s">
        <v>755</v>
      </c>
      <c r="M114" s="8">
        <v>1331.19</v>
      </c>
      <c r="N114" s="8">
        <v>2903.09</v>
      </c>
      <c r="O114" s="8">
        <f t="shared" si="21"/>
        <v>2903.09</v>
      </c>
      <c r="P114" s="11">
        <v>0.14299999999999999</v>
      </c>
      <c r="Q114" s="13">
        <v>8</v>
      </c>
      <c r="R114" s="8">
        <f t="shared" si="22"/>
        <v>19903.585040000002</v>
      </c>
      <c r="S114" s="8">
        <f t="shared" si="23"/>
        <v>10649.52</v>
      </c>
      <c r="T114" s="8">
        <f t="shared" si="24"/>
        <v>9254.0650400000013</v>
      </c>
      <c r="U114" s="11">
        <f t="shared" si="25"/>
        <v>0.46494463290920784</v>
      </c>
      <c r="V114" s="17">
        <v>45791</v>
      </c>
      <c r="W114" s="4" t="str">
        <f t="shared" si="26"/>
        <v>Q2-2023</v>
      </c>
      <c r="X114" t="str">
        <f t="shared" si="27"/>
        <v>Asia → China → Shenzhen</v>
      </c>
      <c r="Y114" t="str">
        <f t="shared" si="28"/>
        <v>High</v>
      </c>
      <c r="Z114" s="20">
        <f t="shared" si="29"/>
        <v>45047</v>
      </c>
      <c r="AA114" s="4">
        <f t="array" ref="AA114">MIN(IF($F$2:$F$633=F114,$Z$2:$Z$633))</f>
        <v>44927</v>
      </c>
      <c r="AB114">
        <f t="shared" si="30"/>
        <v>4</v>
      </c>
      <c r="AC114">
        <f t="shared" si="31"/>
        <v>0</v>
      </c>
      <c r="AD114">
        <f t="shared" si="32"/>
        <v>0</v>
      </c>
      <c r="AE114" s="13">
        <f t="shared" si="33"/>
        <v>0</v>
      </c>
      <c r="AH114">
        <f t="shared" si="34"/>
        <v>9.6</v>
      </c>
      <c r="AI114">
        <f t="shared" si="35"/>
        <v>1530.8685</v>
      </c>
      <c r="AJ114" s="11">
        <f t="shared" si="36"/>
        <v>0.14299999999999999</v>
      </c>
      <c r="AK114">
        <f t="shared" si="37"/>
        <v>23884.302048000001</v>
      </c>
      <c r="AL114">
        <f t="shared" si="38"/>
        <v>14696.337600000001</v>
      </c>
      <c r="AM114">
        <f t="shared" si="39"/>
        <v>9187.9644480000006</v>
      </c>
    </row>
    <row r="115" spans="1:39" x14ac:dyDescent="0.25">
      <c r="A115" t="s">
        <v>454</v>
      </c>
      <c r="B115" s="4">
        <v>45063</v>
      </c>
      <c r="C115" s="4">
        <v>45080</v>
      </c>
      <c r="D115" s="13">
        <f t="shared" si="20"/>
        <v>17</v>
      </c>
      <c r="E115" s="6" t="s">
        <v>647</v>
      </c>
      <c r="F115" t="s">
        <v>659</v>
      </c>
      <c r="G115" t="s">
        <v>699</v>
      </c>
      <c r="H115" t="s">
        <v>703</v>
      </c>
      <c r="I115" t="s">
        <v>710</v>
      </c>
      <c r="J115" t="s">
        <v>724</v>
      </c>
      <c r="K115" t="s">
        <v>728</v>
      </c>
      <c r="L115" t="s">
        <v>1173</v>
      </c>
      <c r="M115" s="8">
        <v>979.59</v>
      </c>
      <c r="N115" s="8">
        <v>2210.94</v>
      </c>
      <c r="O115" s="8">
        <f t="shared" si="21"/>
        <v>2210.94</v>
      </c>
      <c r="P115" s="11">
        <v>0.15</v>
      </c>
      <c r="Q115" s="13">
        <v>11</v>
      </c>
      <c r="R115" s="8">
        <f t="shared" si="22"/>
        <v>20672.289000000001</v>
      </c>
      <c r="S115" s="8">
        <f t="shared" si="23"/>
        <v>10775.49</v>
      </c>
      <c r="T115" s="8">
        <f t="shared" si="24"/>
        <v>9896.7990000000009</v>
      </c>
      <c r="U115" s="11">
        <f t="shared" si="25"/>
        <v>0.47874712858358359</v>
      </c>
      <c r="V115" s="17">
        <v>45775</v>
      </c>
      <c r="W115" s="4" t="str">
        <f t="shared" si="26"/>
        <v>Q2-2023</v>
      </c>
      <c r="X115" t="str">
        <f t="shared" si="27"/>
        <v>Asia → China → Beijing</v>
      </c>
      <c r="Y115" t="str">
        <f t="shared" si="28"/>
        <v>High</v>
      </c>
      <c r="Z115" s="20">
        <f t="shared" si="29"/>
        <v>45047</v>
      </c>
      <c r="AA115" s="4">
        <f t="array" ref="AA115">MIN(IF($F$2:$F$633=F115,$Z$2:$Z$633))</f>
        <v>44927</v>
      </c>
      <c r="AB115">
        <f t="shared" si="30"/>
        <v>4</v>
      </c>
      <c r="AC115">
        <f t="shared" si="31"/>
        <v>0</v>
      </c>
      <c r="AD115">
        <f t="shared" si="32"/>
        <v>0</v>
      </c>
      <c r="AE115" s="13">
        <f t="shared" si="33"/>
        <v>0</v>
      </c>
      <c r="AH115">
        <f t="shared" si="34"/>
        <v>13.2</v>
      </c>
      <c r="AI115">
        <f t="shared" si="35"/>
        <v>1126.5284999999999</v>
      </c>
      <c r="AJ115" s="11">
        <f t="shared" si="36"/>
        <v>0.15</v>
      </c>
      <c r="AK115">
        <f t="shared" si="37"/>
        <v>24806.746799999997</v>
      </c>
      <c r="AL115">
        <f t="shared" si="38"/>
        <v>14870.176199999998</v>
      </c>
      <c r="AM115">
        <f t="shared" si="39"/>
        <v>9936.5705999999991</v>
      </c>
    </row>
    <row r="116" spans="1:39" x14ac:dyDescent="0.25">
      <c r="A116" t="s">
        <v>244</v>
      </c>
      <c r="B116" s="4">
        <v>45069</v>
      </c>
      <c r="C116" s="4">
        <v>45087</v>
      </c>
      <c r="D116" s="13">
        <f t="shared" si="20"/>
        <v>18</v>
      </c>
      <c r="E116" s="6" t="s">
        <v>647</v>
      </c>
      <c r="F116" t="s">
        <v>659</v>
      </c>
      <c r="G116" t="s">
        <v>685</v>
      </c>
      <c r="H116" t="s">
        <v>701</v>
      </c>
      <c r="I116" t="s">
        <v>710</v>
      </c>
      <c r="J116" t="s">
        <v>718</v>
      </c>
      <c r="K116" t="s">
        <v>727</v>
      </c>
      <c r="L116" t="s">
        <v>964</v>
      </c>
      <c r="M116" s="8">
        <v>54.62</v>
      </c>
      <c r="N116" s="8">
        <v>48.94</v>
      </c>
      <c r="O116" s="8">
        <f t="shared" si="21"/>
        <v>48.94</v>
      </c>
      <c r="P116" s="11">
        <v>0.14799999999999999</v>
      </c>
      <c r="Q116" s="13">
        <v>16</v>
      </c>
      <c r="R116" s="8">
        <f t="shared" si="22"/>
        <v>667.15008</v>
      </c>
      <c r="S116" s="8">
        <f t="shared" si="23"/>
        <v>873.92</v>
      </c>
      <c r="T116" s="8">
        <f t="shared" si="24"/>
        <v>-206.76991999999996</v>
      </c>
      <c r="U116" s="11">
        <f t="shared" si="25"/>
        <v>-0.3099301434543783</v>
      </c>
      <c r="V116" s="17">
        <v>45775</v>
      </c>
      <c r="W116" s="4" t="str">
        <f t="shared" si="26"/>
        <v>Q2-2023</v>
      </c>
      <c r="X116" t="str">
        <f t="shared" si="27"/>
        <v>Asia → China → Shanghai</v>
      </c>
      <c r="Y116" t="str">
        <f t="shared" si="28"/>
        <v>Low</v>
      </c>
      <c r="Z116" s="20">
        <f t="shared" si="29"/>
        <v>45047</v>
      </c>
      <c r="AA116" s="4">
        <f t="array" ref="AA116">MIN(IF($F$2:$F$633=F116,$Z$2:$Z$633))</f>
        <v>44927</v>
      </c>
      <c r="AB116">
        <f t="shared" si="30"/>
        <v>4</v>
      </c>
      <c r="AC116">
        <f t="shared" si="31"/>
        <v>0</v>
      </c>
      <c r="AD116">
        <f t="shared" si="32"/>
        <v>0</v>
      </c>
      <c r="AE116" s="13">
        <f t="shared" si="33"/>
        <v>0</v>
      </c>
      <c r="AH116">
        <f t="shared" si="34"/>
        <v>19.2</v>
      </c>
      <c r="AI116">
        <f t="shared" si="35"/>
        <v>62.812999999999995</v>
      </c>
      <c r="AJ116" s="11">
        <f t="shared" si="36"/>
        <v>0.14799999999999999</v>
      </c>
      <c r="AK116">
        <f t="shared" si="37"/>
        <v>800.58009599999991</v>
      </c>
      <c r="AL116">
        <f t="shared" si="38"/>
        <v>1206.0095999999999</v>
      </c>
      <c r="AM116">
        <f t="shared" si="39"/>
        <v>-405.42950399999995</v>
      </c>
    </row>
    <row r="117" spans="1:39" x14ac:dyDescent="0.25">
      <c r="A117" t="s">
        <v>133</v>
      </c>
      <c r="B117" s="4">
        <v>45086</v>
      </c>
      <c r="C117" s="4">
        <v>45096</v>
      </c>
      <c r="D117" s="13">
        <f t="shared" si="20"/>
        <v>10</v>
      </c>
      <c r="E117" s="6" t="s">
        <v>647</v>
      </c>
      <c r="F117" t="s">
        <v>659</v>
      </c>
      <c r="G117" t="s">
        <v>699</v>
      </c>
      <c r="H117" t="s">
        <v>706</v>
      </c>
      <c r="I117" t="s">
        <v>707</v>
      </c>
      <c r="J117" t="s">
        <v>721</v>
      </c>
      <c r="K117" t="s">
        <v>732</v>
      </c>
      <c r="L117" t="s">
        <v>852</v>
      </c>
      <c r="M117" s="8">
        <v>339.61</v>
      </c>
      <c r="N117" s="8">
        <v>621.02</v>
      </c>
      <c r="O117" s="8">
        <f t="shared" si="21"/>
        <v>621.02</v>
      </c>
      <c r="P117" s="11">
        <v>7.0999999999999994E-2</v>
      </c>
      <c r="Q117" s="13">
        <v>10</v>
      </c>
      <c r="R117" s="8">
        <f t="shared" si="22"/>
        <v>5769.2758000000003</v>
      </c>
      <c r="S117" s="8">
        <f t="shared" si="23"/>
        <v>3396.1000000000004</v>
      </c>
      <c r="T117" s="8">
        <f t="shared" si="24"/>
        <v>2373.1758</v>
      </c>
      <c r="U117" s="11">
        <f t="shared" si="25"/>
        <v>0.41134726129750981</v>
      </c>
      <c r="V117" s="17">
        <v>45758</v>
      </c>
      <c r="W117" s="4" t="str">
        <f t="shared" si="26"/>
        <v>Q2-2023</v>
      </c>
      <c r="X117" t="str">
        <f t="shared" si="27"/>
        <v>Asia → China → Beijing</v>
      </c>
      <c r="Y117" t="str">
        <f t="shared" si="28"/>
        <v>Low</v>
      </c>
      <c r="Z117" s="20">
        <f t="shared" si="29"/>
        <v>45078</v>
      </c>
      <c r="AA117" s="4">
        <f t="array" ref="AA117">MIN(IF($F$2:$F$633=F117,$Z$2:$Z$633))</f>
        <v>44927</v>
      </c>
      <c r="AB117">
        <f t="shared" si="30"/>
        <v>5</v>
      </c>
      <c r="AC117">
        <f t="shared" si="31"/>
        <v>0</v>
      </c>
      <c r="AD117">
        <f t="shared" si="32"/>
        <v>0</v>
      </c>
      <c r="AE117" s="13">
        <f t="shared" si="33"/>
        <v>0</v>
      </c>
      <c r="AH117">
        <f t="shared" si="34"/>
        <v>12</v>
      </c>
      <c r="AI117">
        <f t="shared" si="35"/>
        <v>390.55149999999998</v>
      </c>
      <c r="AJ117" s="11">
        <f t="shared" si="36"/>
        <v>7.0999999999999994E-2</v>
      </c>
      <c r="AK117">
        <f t="shared" si="37"/>
        <v>6923.1309600000004</v>
      </c>
      <c r="AL117">
        <f t="shared" si="38"/>
        <v>4686.6179999999995</v>
      </c>
      <c r="AM117">
        <f t="shared" si="39"/>
        <v>2236.5129600000009</v>
      </c>
    </row>
    <row r="118" spans="1:39" x14ac:dyDescent="0.25">
      <c r="A118" t="s">
        <v>638</v>
      </c>
      <c r="B118" s="4">
        <v>45140</v>
      </c>
      <c r="C118" s="4">
        <v>45141</v>
      </c>
      <c r="D118" s="13">
        <f t="shared" si="20"/>
        <v>1</v>
      </c>
      <c r="E118" s="6" t="s">
        <v>647</v>
      </c>
      <c r="F118" t="s">
        <v>659</v>
      </c>
      <c r="G118" t="s">
        <v>685</v>
      </c>
      <c r="H118" t="s">
        <v>703</v>
      </c>
      <c r="I118" t="s">
        <v>711</v>
      </c>
      <c r="J118" t="s">
        <v>713</v>
      </c>
      <c r="K118" t="s">
        <v>729</v>
      </c>
      <c r="L118" t="s">
        <v>1356</v>
      </c>
      <c r="M118" s="8">
        <v>1021.97</v>
      </c>
      <c r="N118" s="8">
        <v>2296.25</v>
      </c>
      <c r="O118" s="8">
        <f t="shared" si="21"/>
        <v>2296.25</v>
      </c>
      <c r="P118" s="11">
        <v>0.161</v>
      </c>
      <c r="Q118" s="13">
        <v>26</v>
      </c>
      <c r="R118" s="8">
        <f t="shared" si="22"/>
        <v>50090.397499999999</v>
      </c>
      <c r="S118" s="8">
        <f t="shared" si="23"/>
        <v>26571.22</v>
      </c>
      <c r="T118" s="8">
        <f t="shared" si="24"/>
        <v>23519.177499999998</v>
      </c>
      <c r="U118" s="11">
        <f t="shared" si="25"/>
        <v>0.46953465482081669</v>
      </c>
      <c r="V118" s="17">
        <v>45703</v>
      </c>
      <c r="W118" s="4" t="str">
        <f t="shared" si="26"/>
        <v>Q3-2023</v>
      </c>
      <c r="X118" t="str">
        <f t="shared" si="27"/>
        <v>Asia → China → Shanghai</v>
      </c>
      <c r="Y118" t="str">
        <f t="shared" si="28"/>
        <v>High</v>
      </c>
      <c r="Z118" s="20">
        <f t="shared" si="29"/>
        <v>45139</v>
      </c>
      <c r="AA118" s="4">
        <f t="array" ref="AA118">MIN(IF($F$2:$F$633=F118,$Z$2:$Z$633))</f>
        <v>44927</v>
      </c>
      <c r="AB118">
        <f t="shared" si="30"/>
        <v>7</v>
      </c>
      <c r="AC118">
        <f t="shared" si="31"/>
        <v>1</v>
      </c>
      <c r="AD118">
        <f t="shared" si="32"/>
        <v>0</v>
      </c>
      <c r="AE118" s="13">
        <f t="shared" si="33"/>
        <v>1</v>
      </c>
      <c r="AH118">
        <f t="shared" si="34"/>
        <v>31.2</v>
      </c>
      <c r="AI118">
        <f t="shared" si="35"/>
        <v>1175.2655</v>
      </c>
      <c r="AJ118" s="11">
        <f t="shared" si="36"/>
        <v>0.161</v>
      </c>
      <c r="AK118">
        <f t="shared" si="37"/>
        <v>60108.476999999999</v>
      </c>
      <c r="AL118">
        <f t="shared" si="38"/>
        <v>36668.283599999995</v>
      </c>
      <c r="AM118">
        <f t="shared" si="39"/>
        <v>23440.193400000004</v>
      </c>
    </row>
    <row r="119" spans="1:39" x14ac:dyDescent="0.25">
      <c r="A119" t="s">
        <v>641</v>
      </c>
      <c r="B119" s="4">
        <v>45141</v>
      </c>
      <c r="C119" s="4">
        <v>45168</v>
      </c>
      <c r="D119" s="13">
        <f t="shared" si="20"/>
        <v>27</v>
      </c>
      <c r="E119" s="6" t="s">
        <v>647</v>
      </c>
      <c r="F119" t="s">
        <v>659</v>
      </c>
      <c r="G119" t="s">
        <v>685</v>
      </c>
      <c r="H119" t="s">
        <v>704</v>
      </c>
      <c r="I119" t="s">
        <v>710</v>
      </c>
      <c r="J119" t="s">
        <v>725</v>
      </c>
      <c r="K119" t="s">
        <v>732</v>
      </c>
      <c r="L119" t="s">
        <v>1359</v>
      </c>
      <c r="M119" s="8">
        <v>226.04</v>
      </c>
      <c r="N119" s="8">
        <v>545.72</v>
      </c>
      <c r="O119" s="8">
        <f t="shared" si="21"/>
        <v>545.72</v>
      </c>
      <c r="P119" s="11">
        <v>0.151</v>
      </c>
      <c r="Q119" s="13">
        <v>11</v>
      </c>
      <c r="R119" s="8">
        <f t="shared" si="22"/>
        <v>5096.4790800000001</v>
      </c>
      <c r="S119" s="8">
        <f t="shared" si="23"/>
        <v>2486.44</v>
      </c>
      <c r="T119" s="8">
        <f t="shared" si="24"/>
        <v>2610.03908</v>
      </c>
      <c r="U119" s="11">
        <f t="shared" si="25"/>
        <v>0.51212592831834014</v>
      </c>
      <c r="V119" s="17">
        <v>45700</v>
      </c>
      <c r="W119" s="4" t="str">
        <f t="shared" si="26"/>
        <v>Q3-2023</v>
      </c>
      <c r="X119" t="str">
        <f t="shared" si="27"/>
        <v>Asia → China → Shanghai</v>
      </c>
      <c r="Y119" t="str">
        <f t="shared" si="28"/>
        <v>Low</v>
      </c>
      <c r="Z119" s="20">
        <f t="shared" si="29"/>
        <v>45139</v>
      </c>
      <c r="AA119" s="4">
        <f t="array" ref="AA119">MIN(IF($F$2:$F$633=F119,$Z$2:$Z$633))</f>
        <v>44927</v>
      </c>
      <c r="AB119">
        <f t="shared" si="30"/>
        <v>7</v>
      </c>
      <c r="AC119">
        <f t="shared" si="31"/>
        <v>0</v>
      </c>
      <c r="AD119">
        <f t="shared" si="32"/>
        <v>0</v>
      </c>
      <c r="AE119" s="13">
        <f t="shared" si="33"/>
        <v>0</v>
      </c>
      <c r="AH119">
        <f t="shared" si="34"/>
        <v>13.2</v>
      </c>
      <c r="AI119">
        <f t="shared" si="35"/>
        <v>259.94599999999997</v>
      </c>
      <c r="AJ119" s="11">
        <f t="shared" si="36"/>
        <v>0.151</v>
      </c>
      <c r="AK119">
        <f t="shared" si="37"/>
        <v>6115.7748959999999</v>
      </c>
      <c r="AL119">
        <f t="shared" si="38"/>
        <v>3431.2871999999993</v>
      </c>
      <c r="AM119">
        <f t="shared" si="39"/>
        <v>2684.4876960000006</v>
      </c>
    </row>
    <row r="120" spans="1:39" x14ac:dyDescent="0.25">
      <c r="A120" t="s">
        <v>140</v>
      </c>
      <c r="B120" s="4">
        <v>45150</v>
      </c>
      <c r="C120" s="4">
        <v>45175</v>
      </c>
      <c r="D120" s="13">
        <f t="shared" si="20"/>
        <v>25</v>
      </c>
      <c r="E120" s="6" t="s">
        <v>647</v>
      </c>
      <c r="F120" t="s">
        <v>659</v>
      </c>
      <c r="G120" t="s">
        <v>685</v>
      </c>
      <c r="H120" t="s">
        <v>705</v>
      </c>
      <c r="I120" t="s">
        <v>707</v>
      </c>
      <c r="J120" t="s">
        <v>717</v>
      </c>
      <c r="K120" t="s">
        <v>727</v>
      </c>
      <c r="L120" t="s">
        <v>859</v>
      </c>
      <c r="M120" s="8">
        <v>950.77</v>
      </c>
      <c r="N120" s="8">
        <v>694.78</v>
      </c>
      <c r="O120" s="8">
        <f t="shared" si="21"/>
        <v>694.78</v>
      </c>
      <c r="P120" s="11">
        <v>8.4000000000000005E-2</v>
      </c>
      <c r="Q120" s="13">
        <v>14</v>
      </c>
      <c r="R120" s="8">
        <f t="shared" si="22"/>
        <v>8909.8587200000002</v>
      </c>
      <c r="S120" s="8">
        <f t="shared" si="23"/>
        <v>13310.779999999999</v>
      </c>
      <c r="T120" s="8">
        <f t="shared" si="24"/>
        <v>-4400.9212799999987</v>
      </c>
      <c r="U120" s="11">
        <f t="shared" si="25"/>
        <v>-0.49393839097821279</v>
      </c>
      <c r="V120" s="17">
        <v>45695</v>
      </c>
      <c r="W120" s="4" t="str">
        <f t="shared" si="26"/>
        <v>Q3-2023</v>
      </c>
      <c r="X120" t="str">
        <f t="shared" si="27"/>
        <v>Asia → China → Shanghai</v>
      </c>
      <c r="Y120" t="str">
        <f t="shared" si="28"/>
        <v>Low</v>
      </c>
      <c r="Z120" s="20">
        <f t="shared" si="29"/>
        <v>45139</v>
      </c>
      <c r="AA120" s="4">
        <f t="array" ref="AA120">MIN(IF($F$2:$F$633=F120,$Z$2:$Z$633))</f>
        <v>44927</v>
      </c>
      <c r="AB120">
        <f t="shared" si="30"/>
        <v>7</v>
      </c>
      <c r="AC120">
        <f t="shared" si="31"/>
        <v>0</v>
      </c>
      <c r="AD120">
        <f t="shared" si="32"/>
        <v>0</v>
      </c>
      <c r="AE120" s="13">
        <f t="shared" si="33"/>
        <v>0</v>
      </c>
      <c r="AH120">
        <f t="shared" si="34"/>
        <v>16.8</v>
      </c>
      <c r="AI120">
        <f t="shared" si="35"/>
        <v>1093.3854999999999</v>
      </c>
      <c r="AJ120" s="11">
        <f t="shared" si="36"/>
        <v>8.4000000000000005E-2</v>
      </c>
      <c r="AK120">
        <f t="shared" si="37"/>
        <v>10691.830464000001</v>
      </c>
      <c r="AL120">
        <f t="shared" si="38"/>
        <v>18368.876399999997</v>
      </c>
      <c r="AM120">
        <f t="shared" si="39"/>
        <v>-7677.0459359999968</v>
      </c>
    </row>
    <row r="121" spans="1:39" x14ac:dyDescent="0.25">
      <c r="A121" t="s">
        <v>402</v>
      </c>
      <c r="B121" s="4">
        <v>45199</v>
      </c>
      <c r="C121" s="4">
        <v>45202</v>
      </c>
      <c r="D121" s="13">
        <f t="shared" si="20"/>
        <v>3</v>
      </c>
      <c r="E121" s="6" t="s">
        <v>647</v>
      </c>
      <c r="F121" t="s">
        <v>659</v>
      </c>
      <c r="G121" t="s">
        <v>699</v>
      </c>
      <c r="H121" t="s">
        <v>703</v>
      </c>
      <c r="I121" t="s">
        <v>707</v>
      </c>
      <c r="J121" t="s">
        <v>713</v>
      </c>
      <c r="K121" t="s">
        <v>731</v>
      </c>
      <c r="L121" t="s">
        <v>1121</v>
      </c>
      <c r="M121" s="8">
        <v>1019.36</v>
      </c>
      <c r="N121" s="8">
        <v>972.91</v>
      </c>
      <c r="O121" s="8">
        <f t="shared" si="21"/>
        <v>972.91</v>
      </c>
      <c r="P121" s="11">
        <v>0.14699999999999999</v>
      </c>
      <c r="Q121" s="13">
        <v>17</v>
      </c>
      <c r="R121" s="8">
        <f t="shared" si="22"/>
        <v>14108.16791</v>
      </c>
      <c r="S121" s="8">
        <f t="shared" si="23"/>
        <v>17329.12</v>
      </c>
      <c r="T121" s="8">
        <f t="shared" si="24"/>
        <v>-3220.9520899999989</v>
      </c>
      <c r="U121" s="11">
        <f t="shared" si="25"/>
        <v>-0.22830406545678819</v>
      </c>
      <c r="V121" s="17">
        <v>45636</v>
      </c>
      <c r="W121" s="4" t="str">
        <f t="shared" si="26"/>
        <v>Q3-2023</v>
      </c>
      <c r="X121" t="str">
        <f t="shared" si="27"/>
        <v>Asia → China → Beijing</v>
      </c>
      <c r="Y121" t="str">
        <f t="shared" si="28"/>
        <v>Medium</v>
      </c>
      <c r="Z121" s="20">
        <f t="shared" si="29"/>
        <v>45170</v>
      </c>
      <c r="AA121" s="4">
        <f t="array" ref="AA121">MIN(IF($F$2:$F$633=F121,$Z$2:$Z$633))</f>
        <v>44927</v>
      </c>
      <c r="AB121">
        <f t="shared" si="30"/>
        <v>8</v>
      </c>
      <c r="AC121">
        <f t="shared" si="31"/>
        <v>1</v>
      </c>
      <c r="AD121">
        <f t="shared" si="32"/>
        <v>0</v>
      </c>
      <c r="AE121" s="13">
        <f t="shared" si="33"/>
        <v>1</v>
      </c>
      <c r="AH121">
        <f t="shared" si="34"/>
        <v>20.399999999999999</v>
      </c>
      <c r="AI121">
        <f t="shared" si="35"/>
        <v>1172.2639999999999</v>
      </c>
      <c r="AJ121" s="11">
        <f t="shared" si="36"/>
        <v>0.14699999999999999</v>
      </c>
      <c r="AK121">
        <f t="shared" si="37"/>
        <v>16929.801491999999</v>
      </c>
      <c r="AL121">
        <f t="shared" si="38"/>
        <v>23914.185599999997</v>
      </c>
      <c r="AM121">
        <f t="shared" si="39"/>
        <v>-6984.3841079999984</v>
      </c>
    </row>
    <row r="122" spans="1:39" x14ac:dyDescent="0.25">
      <c r="A122" t="s">
        <v>315</v>
      </c>
      <c r="B122" s="4">
        <v>45204</v>
      </c>
      <c r="C122" s="4">
        <v>45230</v>
      </c>
      <c r="D122" s="13">
        <f t="shared" si="20"/>
        <v>26</v>
      </c>
      <c r="E122" s="6" t="s">
        <v>647</v>
      </c>
      <c r="F122" t="s">
        <v>659</v>
      </c>
      <c r="G122" t="s">
        <v>685</v>
      </c>
      <c r="H122" t="s">
        <v>704</v>
      </c>
      <c r="J122" t="s">
        <v>713</v>
      </c>
      <c r="K122" t="s">
        <v>728</v>
      </c>
      <c r="L122" t="s">
        <v>1035</v>
      </c>
      <c r="M122" s="8">
        <v>649.91</v>
      </c>
      <c r="N122" s="8">
        <v>1360.12</v>
      </c>
      <c r="O122" s="8">
        <f t="shared" si="21"/>
        <v>1360.12</v>
      </c>
      <c r="P122" s="11">
        <v>0.19400000000000001</v>
      </c>
      <c r="Q122" s="13">
        <v>9</v>
      </c>
      <c r="R122" s="8">
        <f t="shared" si="22"/>
        <v>9866.3104799999983</v>
      </c>
      <c r="S122" s="8">
        <f t="shared" si="23"/>
        <v>5849.19</v>
      </c>
      <c r="T122" s="8">
        <f t="shared" si="24"/>
        <v>4017.1204799999987</v>
      </c>
      <c r="U122" s="11">
        <f t="shared" si="25"/>
        <v>0.40715528749506769</v>
      </c>
      <c r="V122" s="17">
        <v>45653</v>
      </c>
      <c r="W122" s="4" t="str">
        <f t="shared" si="26"/>
        <v>Q4-2023</v>
      </c>
      <c r="X122" t="str">
        <f t="shared" si="27"/>
        <v>Asia → China → Shanghai</v>
      </c>
      <c r="Y122" t="str">
        <f t="shared" si="28"/>
        <v>Medium</v>
      </c>
      <c r="Z122" s="20">
        <f t="shared" si="29"/>
        <v>45200</v>
      </c>
      <c r="AA122" s="4">
        <f t="array" ref="AA122">MIN(IF($F$2:$F$633=F122,$Z$2:$Z$633))</f>
        <v>44927</v>
      </c>
      <c r="AB122">
        <f t="shared" si="30"/>
        <v>9</v>
      </c>
      <c r="AC122">
        <f t="shared" si="31"/>
        <v>0</v>
      </c>
      <c r="AD122">
        <f t="shared" si="32"/>
        <v>0</v>
      </c>
      <c r="AE122" s="13">
        <f t="shared" si="33"/>
        <v>0</v>
      </c>
      <c r="AH122">
        <f t="shared" si="34"/>
        <v>10.799999999999999</v>
      </c>
      <c r="AI122">
        <f t="shared" si="35"/>
        <v>747.39649999999995</v>
      </c>
      <c r="AJ122" s="11">
        <f t="shared" si="36"/>
        <v>0.19400000000000001</v>
      </c>
      <c r="AK122">
        <f t="shared" si="37"/>
        <v>11839.572575999999</v>
      </c>
      <c r="AL122">
        <f t="shared" si="38"/>
        <v>8071.8821999999982</v>
      </c>
      <c r="AM122">
        <f t="shared" si="39"/>
        <v>3767.6903760000005</v>
      </c>
    </row>
    <row r="123" spans="1:39" x14ac:dyDescent="0.25">
      <c r="A123" t="s">
        <v>406</v>
      </c>
      <c r="B123" s="4">
        <v>45208</v>
      </c>
      <c r="C123" s="4">
        <v>45225</v>
      </c>
      <c r="D123" s="13">
        <f t="shared" si="20"/>
        <v>17</v>
      </c>
      <c r="E123" s="6" t="s">
        <v>647</v>
      </c>
      <c r="F123" t="s">
        <v>659</v>
      </c>
      <c r="G123" t="s">
        <v>685</v>
      </c>
      <c r="H123" t="s">
        <v>704</v>
      </c>
      <c r="I123" t="s">
        <v>709</v>
      </c>
      <c r="J123" t="s">
        <v>712</v>
      </c>
      <c r="K123" t="s">
        <v>727</v>
      </c>
      <c r="L123" t="s">
        <v>1125</v>
      </c>
      <c r="M123" s="8">
        <v>1132.03</v>
      </c>
      <c r="N123" s="8">
        <v>2137.21</v>
      </c>
      <c r="O123" s="8">
        <f t="shared" si="21"/>
        <v>2137.21</v>
      </c>
      <c r="P123" s="11">
        <v>0.35699999999999998</v>
      </c>
      <c r="Q123" s="13">
        <v>35</v>
      </c>
      <c r="R123" s="8">
        <f t="shared" si="22"/>
        <v>48097.911050000002</v>
      </c>
      <c r="S123" s="8">
        <f t="shared" si="23"/>
        <v>39621.049999999996</v>
      </c>
      <c r="T123" s="8">
        <f t="shared" si="24"/>
        <v>8476.8610500000068</v>
      </c>
      <c r="U123" s="11">
        <f t="shared" si="25"/>
        <v>0.17624177152284051</v>
      </c>
      <c r="V123" s="17">
        <v>45631</v>
      </c>
      <c r="W123" s="4" t="str">
        <f t="shared" si="26"/>
        <v>Q4-2023</v>
      </c>
      <c r="X123" t="str">
        <f t="shared" si="27"/>
        <v>Asia → China → Shanghai</v>
      </c>
      <c r="Y123" t="str">
        <f t="shared" si="28"/>
        <v>High</v>
      </c>
      <c r="Z123" s="20">
        <f t="shared" si="29"/>
        <v>45200</v>
      </c>
      <c r="AA123" s="4">
        <f t="array" ref="AA123">MIN(IF($F$2:$F$633=F123,$Z$2:$Z$633))</f>
        <v>44927</v>
      </c>
      <c r="AB123">
        <f t="shared" si="30"/>
        <v>9</v>
      </c>
      <c r="AC123">
        <f t="shared" si="31"/>
        <v>0</v>
      </c>
      <c r="AD123">
        <f t="shared" si="32"/>
        <v>1</v>
      </c>
      <c r="AE123" s="13">
        <f t="shared" si="33"/>
        <v>0</v>
      </c>
      <c r="AH123">
        <f t="shared" si="34"/>
        <v>42</v>
      </c>
      <c r="AI123">
        <f t="shared" si="35"/>
        <v>1301.8344999999999</v>
      </c>
      <c r="AJ123" s="11">
        <f t="shared" si="36"/>
        <v>0.25</v>
      </c>
      <c r="AK123">
        <f t="shared" si="37"/>
        <v>67322.115000000005</v>
      </c>
      <c r="AL123">
        <f t="shared" si="38"/>
        <v>54677.048999999999</v>
      </c>
      <c r="AM123">
        <f t="shared" si="39"/>
        <v>12645.066000000006</v>
      </c>
    </row>
    <row r="124" spans="1:39" x14ac:dyDescent="0.25">
      <c r="A124" t="s">
        <v>207</v>
      </c>
      <c r="B124" s="4">
        <v>45214</v>
      </c>
      <c r="C124" s="4">
        <v>45243</v>
      </c>
      <c r="D124" s="13">
        <f t="shared" si="20"/>
        <v>29</v>
      </c>
      <c r="E124" s="6" t="s">
        <v>647</v>
      </c>
      <c r="F124" t="s">
        <v>659</v>
      </c>
      <c r="G124" t="s">
        <v>676</v>
      </c>
      <c r="H124" t="s">
        <v>703</v>
      </c>
      <c r="I124" t="s">
        <v>710</v>
      </c>
      <c r="J124" t="s">
        <v>713</v>
      </c>
      <c r="K124" t="s">
        <v>728</v>
      </c>
      <c r="L124" t="s">
        <v>927</v>
      </c>
      <c r="M124" s="8">
        <v>986.44</v>
      </c>
      <c r="N124" s="8">
        <v>790.61</v>
      </c>
      <c r="O124" s="8">
        <f t="shared" si="21"/>
        <v>790.61</v>
      </c>
      <c r="P124" s="11">
        <v>7.1999999999999995E-2</v>
      </c>
      <c r="Q124" s="13">
        <v>6</v>
      </c>
      <c r="R124" s="8">
        <f t="shared" si="22"/>
        <v>4402.1164799999997</v>
      </c>
      <c r="S124" s="8">
        <f t="shared" si="23"/>
        <v>5918.64</v>
      </c>
      <c r="T124" s="8">
        <f t="shared" si="24"/>
        <v>-1516.5235200000006</v>
      </c>
      <c r="U124" s="11">
        <f t="shared" si="25"/>
        <v>-0.34449872621271499</v>
      </c>
      <c r="V124" s="17">
        <v>45617</v>
      </c>
      <c r="W124" s="4" t="str">
        <f t="shared" si="26"/>
        <v>Q4-2023</v>
      </c>
      <c r="X124" t="str">
        <f t="shared" si="27"/>
        <v>Asia → China → Shenzhen</v>
      </c>
      <c r="Y124" t="str">
        <f t="shared" si="28"/>
        <v>Low</v>
      </c>
      <c r="Z124" s="20">
        <f t="shared" si="29"/>
        <v>45200</v>
      </c>
      <c r="AA124" s="4">
        <f t="array" ref="AA124">MIN(IF($F$2:$F$633=F124,$Z$2:$Z$633))</f>
        <v>44927</v>
      </c>
      <c r="AB124">
        <f t="shared" si="30"/>
        <v>9</v>
      </c>
      <c r="AC124">
        <f t="shared" si="31"/>
        <v>0</v>
      </c>
      <c r="AD124">
        <f t="shared" si="32"/>
        <v>0</v>
      </c>
      <c r="AE124" s="13">
        <f t="shared" si="33"/>
        <v>0</v>
      </c>
      <c r="AH124">
        <f t="shared" si="34"/>
        <v>7.1999999999999993</v>
      </c>
      <c r="AI124">
        <f t="shared" si="35"/>
        <v>1134.4059999999999</v>
      </c>
      <c r="AJ124" s="11">
        <f t="shared" si="36"/>
        <v>7.1999999999999995E-2</v>
      </c>
      <c r="AK124">
        <f t="shared" si="37"/>
        <v>5282.5397760000005</v>
      </c>
      <c r="AL124">
        <f t="shared" si="38"/>
        <v>8167.7231999999985</v>
      </c>
      <c r="AM124">
        <f t="shared" si="39"/>
        <v>-2885.183423999998</v>
      </c>
    </row>
    <row r="125" spans="1:39" x14ac:dyDescent="0.25">
      <c r="A125" t="s">
        <v>423</v>
      </c>
      <c r="B125" s="4">
        <v>45276</v>
      </c>
      <c r="C125" s="4">
        <v>45279</v>
      </c>
      <c r="D125" s="13">
        <f t="shared" si="20"/>
        <v>3</v>
      </c>
      <c r="E125" s="6" t="s">
        <v>647</v>
      </c>
      <c r="F125" t="s">
        <v>659</v>
      </c>
      <c r="G125" t="s">
        <v>699</v>
      </c>
      <c r="H125" t="s">
        <v>702</v>
      </c>
      <c r="I125" t="s">
        <v>707</v>
      </c>
      <c r="J125" t="s">
        <v>720</v>
      </c>
      <c r="K125" t="s">
        <v>733</v>
      </c>
      <c r="L125" t="s">
        <v>1142</v>
      </c>
      <c r="M125" s="8">
        <v>1415.05</v>
      </c>
      <c r="N125" s="8">
        <v>1972.38</v>
      </c>
      <c r="O125" s="8">
        <f t="shared" si="21"/>
        <v>1972.38</v>
      </c>
      <c r="P125" s="11">
        <v>0</v>
      </c>
      <c r="Q125" s="13">
        <v>12</v>
      </c>
      <c r="R125" s="8">
        <f t="shared" si="22"/>
        <v>23668.560000000001</v>
      </c>
      <c r="S125" s="8">
        <f t="shared" si="23"/>
        <v>16980.599999999999</v>
      </c>
      <c r="T125" s="8">
        <f t="shared" si="24"/>
        <v>6687.9600000000028</v>
      </c>
      <c r="U125" s="11">
        <f t="shared" si="25"/>
        <v>0.28256725377462771</v>
      </c>
      <c r="V125" s="17">
        <v>45581</v>
      </c>
      <c r="W125" s="4" t="str">
        <f t="shared" si="26"/>
        <v>Q4-2023</v>
      </c>
      <c r="X125" t="str">
        <f t="shared" si="27"/>
        <v>Asia → China → Beijing</v>
      </c>
      <c r="Y125" t="str">
        <f t="shared" si="28"/>
        <v>High</v>
      </c>
      <c r="Z125" s="20">
        <f t="shared" si="29"/>
        <v>45261</v>
      </c>
      <c r="AA125" s="4">
        <f t="array" ref="AA125">MIN(IF($F$2:$F$633=F125,$Z$2:$Z$633))</f>
        <v>44927</v>
      </c>
      <c r="AB125">
        <f t="shared" si="30"/>
        <v>11</v>
      </c>
      <c r="AC125">
        <f t="shared" si="31"/>
        <v>1</v>
      </c>
      <c r="AD125">
        <f t="shared" si="32"/>
        <v>0</v>
      </c>
      <c r="AE125" s="13">
        <f t="shared" si="33"/>
        <v>1</v>
      </c>
      <c r="AH125">
        <f t="shared" si="34"/>
        <v>14.399999999999999</v>
      </c>
      <c r="AI125">
        <f t="shared" si="35"/>
        <v>1627.3074999999999</v>
      </c>
      <c r="AJ125" s="11">
        <f t="shared" si="36"/>
        <v>0</v>
      </c>
      <c r="AK125">
        <f t="shared" si="37"/>
        <v>28402.271999999997</v>
      </c>
      <c r="AL125">
        <f t="shared" si="38"/>
        <v>23433.227999999996</v>
      </c>
      <c r="AM125">
        <f t="shared" si="39"/>
        <v>4969.0440000000017</v>
      </c>
    </row>
    <row r="126" spans="1:39" x14ac:dyDescent="0.25">
      <c r="A126" t="s">
        <v>204</v>
      </c>
      <c r="B126" s="4">
        <v>45325</v>
      </c>
      <c r="C126" s="4">
        <v>45341</v>
      </c>
      <c r="D126" s="13">
        <f t="shared" si="20"/>
        <v>16</v>
      </c>
      <c r="E126" s="6" t="s">
        <v>647</v>
      </c>
      <c r="F126" t="s">
        <v>659</v>
      </c>
      <c r="G126" t="s">
        <v>676</v>
      </c>
      <c r="H126" t="s">
        <v>705</v>
      </c>
      <c r="I126" t="s">
        <v>708</v>
      </c>
      <c r="J126" t="s">
        <v>722</v>
      </c>
      <c r="K126" t="s">
        <v>731</v>
      </c>
      <c r="L126" t="s">
        <v>924</v>
      </c>
      <c r="M126" s="8">
        <v>993.75</v>
      </c>
      <c r="N126" s="8">
        <v>1310.29</v>
      </c>
      <c r="O126" s="8">
        <f t="shared" si="21"/>
        <v>1310.29</v>
      </c>
      <c r="P126" s="11">
        <v>0.215</v>
      </c>
      <c r="Q126" s="13">
        <v>19</v>
      </c>
      <c r="R126" s="8">
        <f t="shared" si="22"/>
        <v>19542.975350000001</v>
      </c>
      <c r="S126" s="8">
        <f t="shared" si="23"/>
        <v>18881.25</v>
      </c>
      <c r="T126" s="8">
        <f t="shared" si="24"/>
        <v>661.72535000000062</v>
      </c>
      <c r="U126" s="11">
        <f t="shared" si="25"/>
        <v>3.3860010471742245E-2</v>
      </c>
      <c r="V126" s="17">
        <v>45523</v>
      </c>
      <c r="W126" s="4" t="str">
        <f t="shared" si="26"/>
        <v>Q1-2024</v>
      </c>
      <c r="X126" t="str">
        <f t="shared" si="27"/>
        <v>Asia → China → Shenzhen</v>
      </c>
      <c r="Y126" t="str">
        <f t="shared" si="28"/>
        <v>Medium</v>
      </c>
      <c r="Z126" s="20">
        <f t="shared" si="29"/>
        <v>45323</v>
      </c>
      <c r="AA126" s="4">
        <f t="array" ref="AA126">MIN(IF($F$2:$F$633=F126,$Z$2:$Z$633))</f>
        <v>44927</v>
      </c>
      <c r="AB126">
        <f t="shared" si="30"/>
        <v>13</v>
      </c>
      <c r="AC126">
        <f t="shared" si="31"/>
        <v>0</v>
      </c>
      <c r="AD126">
        <f t="shared" si="32"/>
        <v>1</v>
      </c>
      <c r="AE126" s="13">
        <f t="shared" si="33"/>
        <v>0</v>
      </c>
      <c r="AH126">
        <f t="shared" si="34"/>
        <v>22.8</v>
      </c>
      <c r="AI126">
        <f t="shared" si="35"/>
        <v>1142.8125</v>
      </c>
      <c r="AJ126" s="11">
        <f t="shared" si="36"/>
        <v>0.215</v>
      </c>
      <c r="AK126">
        <f t="shared" si="37"/>
        <v>23451.57042</v>
      </c>
      <c r="AL126">
        <f t="shared" si="38"/>
        <v>26056.125</v>
      </c>
      <c r="AM126">
        <f t="shared" si="39"/>
        <v>-2604.55458</v>
      </c>
    </row>
    <row r="127" spans="1:39" x14ac:dyDescent="0.25">
      <c r="A127" t="s">
        <v>154</v>
      </c>
      <c r="B127" s="4">
        <v>45336</v>
      </c>
      <c r="C127" s="4">
        <v>45336</v>
      </c>
      <c r="D127" s="13">
        <f t="shared" si="20"/>
        <v>0</v>
      </c>
      <c r="E127" s="6" t="s">
        <v>647</v>
      </c>
      <c r="F127" t="s">
        <v>659</v>
      </c>
      <c r="G127" t="s">
        <v>699</v>
      </c>
      <c r="H127" t="s">
        <v>701</v>
      </c>
      <c r="I127" t="s">
        <v>710</v>
      </c>
      <c r="J127" t="s">
        <v>716</v>
      </c>
      <c r="K127" t="s">
        <v>733</v>
      </c>
      <c r="L127" t="s">
        <v>873</v>
      </c>
      <c r="M127" s="8">
        <v>65.930000000000007</v>
      </c>
      <c r="N127" s="8">
        <v>84.9</v>
      </c>
      <c r="O127" s="8">
        <f t="shared" si="21"/>
        <v>84.9</v>
      </c>
      <c r="P127" s="11">
        <v>0.25900000000000001</v>
      </c>
      <c r="Q127" s="13">
        <v>23</v>
      </c>
      <c r="R127" s="8">
        <f t="shared" si="22"/>
        <v>1446.9507000000001</v>
      </c>
      <c r="S127" s="8">
        <f t="shared" si="23"/>
        <v>1516.39</v>
      </c>
      <c r="T127" s="8">
        <f t="shared" si="24"/>
        <v>-69.439300000000003</v>
      </c>
      <c r="U127" s="11">
        <f t="shared" si="25"/>
        <v>-4.7990093926489688E-2</v>
      </c>
      <c r="V127" s="17">
        <v>45526</v>
      </c>
      <c r="W127" s="4" t="str">
        <f t="shared" si="26"/>
        <v>Q1-2024</v>
      </c>
      <c r="X127" t="str">
        <f t="shared" si="27"/>
        <v>Asia → China → Beijing</v>
      </c>
      <c r="Y127" t="str">
        <f t="shared" si="28"/>
        <v>Low</v>
      </c>
      <c r="Z127" s="20">
        <f t="shared" si="29"/>
        <v>45323</v>
      </c>
      <c r="AA127" s="4">
        <f t="array" ref="AA127">MIN(IF($F$2:$F$633=F127,$Z$2:$Z$633))</f>
        <v>44927</v>
      </c>
      <c r="AB127">
        <f t="shared" si="30"/>
        <v>13</v>
      </c>
      <c r="AC127">
        <f t="shared" si="31"/>
        <v>1</v>
      </c>
      <c r="AD127">
        <f t="shared" si="32"/>
        <v>1</v>
      </c>
      <c r="AE127" s="13">
        <f t="shared" si="33"/>
        <v>1</v>
      </c>
      <c r="AH127">
        <f t="shared" si="34"/>
        <v>27.599999999999998</v>
      </c>
      <c r="AI127">
        <f t="shared" si="35"/>
        <v>75.819500000000005</v>
      </c>
      <c r="AJ127" s="11">
        <f t="shared" si="36"/>
        <v>0.25</v>
      </c>
      <c r="AK127">
        <f t="shared" si="37"/>
        <v>1757.4299999999998</v>
      </c>
      <c r="AL127">
        <f t="shared" si="38"/>
        <v>2092.6181999999999</v>
      </c>
      <c r="AM127">
        <f t="shared" si="39"/>
        <v>-335.18820000000005</v>
      </c>
    </row>
    <row r="128" spans="1:39" x14ac:dyDescent="0.25">
      <c r="A128" t="s">
        <v>438</v>
      </c>
      <c r="B128" s="4">
        <v>45341</v>
      </c>
      <c r="C128" s="4">
        <v>45357</v>
      </c>
      <c r="D128" s="13">
        <f t="shared" si="20"/>
        <v>16</v>
      </c>
      <c r="E128" s="6" t="s">
        <v>647</v>
      </c>
      <c r="F128" t="s">
        <v>659</v>
      </c>
      <c r="G128" t="s">
        <v>699</v>
      </c>
      <c r="H128" t="s">
        <v>702</v>
      </c>
      <c r="I128" t="s">
        <v>709</v>
      </c>
      <c r="J128" t="s">
        <v>719</v>
      </c>
      <c r="K128" t="s">
        <v>728</v>
      </c>
      <c r="L128" t="s">
        <v>1157</v>
      </c>
      <c r="M128" s="8">
        <v>1477.84</v>
      </c>
      <c r="N128" s="8">
        <v>3197.47</v>
      </c>
      <c r="O128" s="8">
        <f t="shared" si="21"/>
        <v>3197.47</v>
      </c>
      <c r="P128" s="11">
        <v>0.24299999999999999</v>
      </c>
      <c r="Q128" s="13">
        <v>24</v>
      </c>
      <c r="R128" s="8">
        <f t="shared" si="22"/>
        <v>58091.634960000003</v>
      </c>
      <c r="S128" s="8">
        <f t="shared" si="23"/>
        <v>35468.159999999996</v>
      </c>
      <c r="T128" s="8">
        <f t="shared" si="24"/>
        <v>22623.474960000007</v>
      </c>
      <c r="U128" s="11">
        <f t="shared" si="25"/>
        <v>0.38944462443823091</v>
      </c>
      <c r="V128" s="17">
        <v>45525</v>
      </c>
      <c r="W128" s="4" t="str">
        <f t="shared" si="26"/>
        <v>Q1-2024</v>
      </c>
      <c r="X128" t="str">
        <f t="shared" si="27"/>
        <v>Asia → China → Beijing</v>
      </c>
      <c r="Y128" t="str">
        <f t="shared" si="28"/>
        <v>High</v>
      </c>
      <c r="Z128" s="20">
        <f t="shared" si="29"/>
        <v>45323</v>
      </c>
      <c r="AA128" s="4">
        <f t="array" ref="AA128">MIN(IF($F$2:$F$633=F128,$Z$2:$Z$633))</f>
        <v>44927</v>
      </c>
      <c r="AB128">
        <f t="shared" si="30"/>
        <v>13</v>
      </c>
      <c r="AC128">
        <f t="shared" si="31"/>
        <v>0</v>
      </c>
      <c r="AD128">
        <f t="shared" si="32"/>
        <v>1</v>
      </c>
      <c r="AE128" s="13">
        <f t="shared" si="33"/>
        <v>0</v>
      </c>
      <c r="AH128">
        <f t="shared" si="34"/>
        <v>28.799999999999997</v>
      </c>
      <c r="AI128">
        <f t="shared" si="35"/>
        <v>1699.5159999999998</v>
      </c>
      <c r="AJ128" s="11">
        <f t="shared" si="36"/>
        <v>0.24299999999999999</v>
      </c>
      <c r="AK128">
        <f t="shared" si="37"/>
        <v>69709.961951999983</v>
      </c>
      <c r="AL128">
        <f t="shared" si="38"/>
        <v>48946.060799999992</v>
      </c>
      <c r="AM128">
        <f t="shared" si="39"/>
        <v>20763.901151999991</v>
      </c>
    </row>
    <row r="129" spans="1:39" x14ac:dyDescent="0.25">
      <c r="A129" t="s">
        <v>389</v>
      </c>
      <c r="B129" s="4">
        <v>45354</v>
      </c>
      <c r="C129" s="4">
        <v>45370</v>
      </c>
      <c r="D129" s="13">
        <f t="shared" si="20"/>
        <v>16</v>
      </c>
      <c r="E129" s="6" t="s">
        <v>647</v>
      </c>
      <c r="F129" t="s">
        <v>659</v>
      </c>
      <c r="G129" t="s">
        <v>699</v>
      </c>
      <c r="H129" t="s">
        <v>704</v>
      </c>
      <c r="I129" t="s">
        <v>710</v>
      </c>
      <c r="J129" t="s">
        <v>715</v>
      </c>
      <c r="K129" t="s">
        <v>730</v>
      </c>
      <c r="L129" t="s">
        <v>1109</v>
      </c>
      <c r="M129" s="8">
        <v>988.83</v>
      </c>
      <c r="N129" s="8">
        <v>1206.04</v>
      </c>
      <c r="O129" s="8">
        <f t="shared" si="21"/>
        <v>1206.04</v>
      </c>
      <c r="P129" s="11">
        <v>6.3E-2</v>
      </c>
      <c r="Q129" s="13">
        <v>34</v>
      </c>
      <c r="R129" s="8">
        <f t="shared" si="22"/>
        <v>38422.022320000004</v>
      </c>
      <c r="S129" s="8">
        <f t="shared" si="23"/>
        <v>33620.22</v>
      </c>
      <c r="T129" s="8">
        <f t="shared" si="24"/>
        <v>4801.8023200000025</v>
      </c>
      <c r="U129" s="11">
        <f t="shared" si="25"/>
        <v>0.12497526236406606</v>
      </c>
      <c r="V129" s="17">
        <v>45497</v>
      </c>
      <c r="W129" s="4" t="str">
        <f t="shared" si="26"/>
        <v>Q1-2024</v>
      </c>
      <c r="X129" t="str">
        <f t="shared" si="27"/>
        <v>Asia → China → Beijing</v>
      </c>
      <c r="Y129" t="str">
        <f t="shared" si="28"/>
        <v>Medium</v>
      </c>
      <c r="Z129" s="20">
        <f t="shared" si="29"/>
        <v>45352</v>
      </c>
      <c r="AA129" s="4">
        <f t="array" ref="AA129">MIN(IF($F$2:$F$633=F129,$Z$2:$Z$633))</f>
        <v>44927</v>
      </c>
      <c r="AB129">
        <f t="shared" si="30"/>
        <v>14</v>
      </c>
      <c r="AC129">
        <f t="shared" si="31"/>
        <v>0</v>
      </c>
      <c r="AD129">
        <f t="shared" si="32"/>
        <v>0</v>
      </c>
      <c r="AE129" s="13">
        <f t="shared" si="33"/>
        <v>0</v>
      </c>
      <c r="AH129">
        <f t="shared" si="34"/>
        <v>40.799999999999997</v>
      </c>
      <c r="AI129">
        <f t="shared" si="35"/>
        <v>1137.1544999999999</v>
      </c>
      <c r="AJ129" s="11">
        <f t="shared" si="36"/>
        <v>6.3E-2</v>
      </c>
      <c r="AK129">
        <f t="shared" si="37"/>
        <v>46106.426783999996</v>
      </c>
      <c r="AL129">
        <f t="shared" si="38"/>
        <v>46395.903599999991</v>
      </c>
      <c r="AM129">
        <f t="shared" si="39"/>
        <v>-289.47681599999487</v>
      </c>
    </row>
    <row r="130" spans="1:39" x14ac:dyDescent="0.25">
      <c r="A130" t="s">
        <v>377</v>
      </c>
      <c r="B130" s="4">
        <v>45360</v>
      </c>
      <c r="C130" s="4">
        <v>45377</v>
      </c>
      <c r="D130" s="13">
        <f t="shared" ref="D130:D193" si="40">C130-B130</f>
        <v>17</v>
      </c>
      <c r="E130" s="6" t="s">
        <v>647</v>
      </c>
      <c r="F130" t="s">
        <v>659</v>
      </c>
      <c r="G130" t="s">
        <v>676</v>
      </c>
      <c r="H130" t="s">
        <v>706</v>
      </c>
      <c r="I130" t="s">
        <v>708</v>
      </c>
      <c r="J130" t="s">
        <v>723</v>
      </c>
      <c r="K130" t="s">
        <v>732</v>
      </c>
      <c r="L130" t="s">
        <v>1097</v>
      </c>
      <c r="M130" s="8">
        <v>1029.67</v>
      </c>
      <c r="N130" s="8">
        <v>1118.43</v>
      </c>
      <c r="O130" s="8">
        <f t="shared" ref="O130:O193" si="41">ABS(N:N)</f>
        <v>1118.43</v>
      </c>
      <c r="P130" s="11">
        <v>0.27200000000000002</v>
      </c>
      <c r="Q130" s="13">
        <v>9</v>
      </c>
      <c r="R130" s="8">
        <f t="shared" ref="R130:R193" si="42">O130*Q130*(1-P130)</f>
        <v>7327.9533600000004</v>
      </c>
      <c r="S130" s="8">
        <f t="shared" ref="S130:S193" si="43">PRODUCT(M130*Q130)</f>
        <v>9267.0300000000007</v>
      </c>
      <c r="T130" s="8">
        <f t="shared" ref="T130:T193" si="44">R130-S130</f>
        <v>-1939.0766400000002</v>
      </c>
      <c r="U130" s="11">
        <f t="shared" ref="U130:U193" si="45">IF(T130=0, "0", T130/R130)</f>
        <v>-0.26461367106736061</v>
      </c>
      <c r="V130" s="17">
        <v>45502</v>
      </c>
      <c r="W130" s="4" t="str">
        <f t="shared" ref="W130:W193" si="46">"Q"&amp;ROUNDUP(MONTH(B130)/3,0)&amp;"-"&amp;YEAR(B130)</f>
        <v>Q1-2024</v>
      </c>
      <c r="X130" t="str">
        <f t="shared" ref="X130:X193" si="47">E130 &amp; " → " &amp; F130 &amp; " → " &amp; G130</f>
        <v>Asia → China → Shenzhen</v>
      </c>
      <c r="Y130" t="str">
        <f t="shared" ref="Y130:Y193" si="48">IF(O130&lt;=_xlfn.PERCENTILE.INC($O:$O,0.33),"Low",
IF(O130&lt;=_xlfn.PERCENTILE.INC($O:$O,0.67),"Medium","High"))</f>
        <v>Medium</v>
      </c>
      <c r="Z130" s="20">
        <f t="shared" ref="Z130:Z193" si="49">DATE(YEAR(B130),MONTH(B130),1)</f>
        <v>45352</v>
      </c>
      <c r="AA130" s="4">
        <f t="array" ref="AA130">MIN(IF($F$2:$F$633=F130,$Z$2:$Z$633))</f>
        <v>44927</v>
      </c>
      <c r="AB130">
        <f t="shared" si="30"/>
        <v>14</v>
      </c>
      <c r="AC130">
        <f t="shared" si="31"/>
        <v>0</v>
      </c>
      <c r="AD130">
        <f t="shared" si="32"/>
        <v>1</v>
      </c>
      <c r="AE130" s="13">
        <f t="shared" si="33"/>
        <v>0</v>
      </c>
      <c r="AH130">
        <f t="shared" si="34"/>
        <v>10.799999999999999</v>
      </c>
      <c r="AI130">
        <f t="shared" si="35"/>
        <v>1184.1205</v>
      </c>
      <c r="AJ130" s="11">
        <f t="shared" si="36"/>
        <v>0.25</v>
      </c>
      <c r="AK130">
        <f t="shared" si="37"/>
        <v>9059.2829999999994</v>
      </c>
      <c r="AL130">
        <f t="shared" si="38"/>
        <v>12788.501399999999</v>
      </c>
      <c r="AM130">
        <f t="shared" si="39"/>
        <v>-3729.2183999999997</v>
      </c>
    </row>
    <row r="131" spans="1:39" x14ac:dyDescent="0.25">
      <c r="A131" t="s">
        <v>101</v>
      </c>
      <c r="B131" s="4">
        <v>45388</v>
      </c>
      <c r="C131" s="4">
        <v>45407</v>
      </c>
      <c r="D131" s="13">
        <f t="shared" si="40"/>
        <v>19</v>
      </c>
      <c r="E131" s="6" t="s">
        <v>647</v>
      </c>
      <c r="F131" t="s">
        <v>659</v>
      </c>
      <c r="G131" t="s">
        <v>685</v>
      </c>
      <c r="H131" t="s">
        <v>701</v>
      </c>
      <c r="I131" t="s">
        <v>707</v>
      </c>
      <c r="J131" t="s">
        <v>723</v>
      </c>
      <c r="K131" t="s">
        <v>727</v>
      </c>
      <c r="L131" t="s">
        <v>820</v>
      </c>
      <c r="M131" s="8">
        <v>1366.48</v>
      </c>
      <c r="N131" s="8">
        <v>1678.14</v>
      </c>
      <c r="O131" s="8">
        <f t="shared" si="41"/>
        <v>1678.14</v>
      </c>
      <c r="P131" s="11">
        <v>0.154</v>
      </c>
      <c r="Q131" s="13">
        <v>10</v>
      </c>
      <c r="R131" s="8">
        <f t="shared" si="42"/>
        <v>14197.064400000001</v>
      </c>
      <c r="S131" s="8">
        <f t="shared" si="43"/>
        <v>13664.8</v>
      </c>
      <c r="T131" s="8">
        <f t="shared" si="44"/>
        <v>532.26440000000184</v>
      </c>
      <c r="U131" s="11">
        <f t="shared" si="45"/>
        <v>3.7491159087790132E-2</v>
      </c>
      <c r="V131" s="17">
        <v>45451</v>
      </c>
      <c r="W131" s="4" t="str">
        <f t="shared" si="46"/>
        <v>Q2-2024</v>
      </c>
      <c r="X131" t="str">
        <f t="shared" si="47"/>
        <v>Asia → China → Shanghai</v>
      </c>
      <c r="Y131" t="str">
        <f t="shared" si="48"/>
        <v>High</v>
      </c>
      <c r="Z131" s="20">
        <f t="shared" si="49"/>
        <v>45383</v>
      </c>
      <c r="AA131" s="4">
        <f t="array" ref="AA131">MIN(IF($F$2:$F$633=F131,$Z$2:$Z$633))</f>
        <v>44927</v>
      </c>
      <c r="AB131">
        <f t="shared" ref="AB131:AB194" si="50">DATEDIF(AA131,Z131,"m")</f>
        <v>15</v>
      </c>
      <c r="AC131">
        <f t="shared" ref="AC131:AC194" si="51">IF(D131&lt;=7,1,0)</f>
        <v>0</v>
      </c>
      <c r="AD131">
        <f t="shared" ref="AD131:AD194" si="52">IF(P131&gt;20%,1,0)</f>
        <v>0</v>
      </c>
      <c r="AE131" s="13">
        <f t="shared" ref="AE131:AE194" si="53">IF(D131&lt;=7, 1,0)</f>
        <v>0</v>
      </c>
      <c r="AH131">
        <f t="shared" ref="AH131:AH194" si="54" xml:space="preserve"> Q131 * (1 + $AG$5)</f>
        <v>12</v>
      </c>
      <c r="AI131">
        <f t="shared" ref="AI131:AI194" si="55">M131*(1+$AG$4)</f>
        <v>1571.452</v>
      </c>
      <c r="AJ131" s="11">
        <f t="shared" ref="AJ131:AJ194" si="56" xml:space="preserve"> MIN(P131, $AG$3)</f>
        <v>0.154</v>
      </c>
      <c r="AK131">
        <f t="shared" ref="AK131:AK194" si="57">AH131 * O131 * (1-AJ131)</f>
        <v>17036.477279999999</v>
      </c>
      <c r="AL131">
        <f t="shared" ref="AL131:AL194" si="58">AH131 * AI131</f>
        <v>18857.423999999999</v>
      </c>
      <c r="AM131">
        <f t="shared" ref="AM131:AM194" si="59" xml:space="preserve"> AK131 - AL131</f>
        <v>-1820.9467199999999</v>
      </c>
    </row>
    <row r="132" spans="1:39" x14ac:dyDescent="0.25">
      <c r="A132" t="s">
        <v>179</v>
      </c>
      <c r="B132" s="4">
        <v>45447</v>
      </c>
      <c r="C132" s="4">
        <v>45459</v>
      </c>
      <c r="D132" s="13">
        <f t="shared" si="40"/>
        <v>12</v>
      </c>
      <c r="E132" s="6" t="s">
        <v>647</v>
      </c>
      <c r="F132" t="s">
        <v>659</v>
      </c>
      <c r="G132" t="s">
        <v>685</v>
      </c>
      <c r="H132" t="s">
        <v>701</v>
      </c>
      <c r="I132" t="s">
        <v>707</v>
      </c>
      <c r="J132" t="s">
        <v>713</v>
      </c>
      <c r="K132" t="s">
        <v>728</v>
      </c>
      <c r="L132" t="s">
        <v>898</v>
      </c>
      <c r="M132" s="8">
        <v>918.42</v>
      </c>
      <c r="N132" s="8">
        <v>1511.71</v>
      </c>
      <c r="O132" s="8">
        <f t="shared" si="41"/>
        <v>1511.71</v>
      </c>
      <c r="P132" s="11">
        <v>0.02</v>
      </c>
      <c r="Q132" s="13">
        <v>8</v>
      </c>
      <c r="R132" s="8">
        <f t="shared" si="42"/>
        <v>11851.806399999999</v>
      </c>
      <c r="S132" s="8">
        <f t="shared" si="43"/>
        <v>7347.36</v>
      </c>
      <c r="T132" s="8">
        <f t="shared" si="44"/>
        <v>4504.4463999999998</v>
      </c>
      <c r="U132" s="11">
        <f t="shared" si="45"/>
        <v>0.38006412254590999</v>
      </c>
      <c r="V132" s="17">
        <v>45406</v>
      </c>
      <c r="W132" s="4" t="str">
        <f t="shared" si="46"/>
        <v>Q2-2024</v>
      </c>
      <c r="X132" t="str">
        <f t="shared" si="47"/>
        <v>Asia → China → Shanghai</v>
      </c>
      <c r="Y132" t="str">
        <f t="shared" si="48"/>
        <v>Medium</v>
      </c>
      <c r="Z132" s="20">
        <f t="shared" si="49"/>
        <v>45444</v>
      </c>
      <c r="AA132" s="4">
        <f t="array" ref="AA132">MIN(IF($F$2:$F$633=F132,$Z$2:$Z$633))</f>
        <v>44927</v>
      </c>
      <c r="AB132">
        <f t="shared" si="50"/>
        <v>17</v>
      </c>
      <c r="AC132">
        <f t="shared" si="51"/>
        <v>0</v>
      </c>
      <c r="AD132">
        <f t="shared" si="52"/>
        <v>0</v>
      </c>
      <c r="AE132" s="13">
        <f t="shared" si="53"/>
        <v>0</v>
      </c>
      <c r="AH132">
        <f t="shared" si="54"/>
        <v>9.6</v>
      </c>
      <c r="AI132">
        <f t="shared" si="55"/>
        <v>1056.1829999999998</v>
      </c>
      <c r="AJ132" s="11">
        <f t="shared" si="56"/>
        <v>0.02</v>
      </c>
      <c r="AK132">
        <f t="shared" si="57"/>
        <v>14222.167679999999</v>
      </c>
      <c r="AL132">
        <f t="shared" si="58"/>
        <v>10139.356799999998</v>
      </c>
      <c r="AM132">
        <f t="shared" si="59"/>
        <v>4082.8108800000009</v>
      </c>
    </row>
    <row r="133" spans="1:39" x14ac:dyDescent="0.25">
      <c r="A133" t="s">
        <v>556</v>
      </c>
      <c r="B133" s="4">
        <v>45450</v>
      </c>
      <c r="C133" s="4">
        <v>45452</v>
      </c>
      <c r="D133" s="13">
        <f t="shared" si="40"/>
        <v>2</v>
      </c>
      <c r="E133" s="6" t="s">
        <v>647</v>
      </c>
      <c r="F133" t="s">
        <v>659</v>
      </c>
      <c r="G133" t="s">
        <v>685</v>
      </c>
      <c r="H133" t="s">
        <v>701</v>
      </c>
      <c r="I133" t="s">
        <v>707</v>
      </c>
      <c r="J133" t="s">
        <v>719</v>
      </c>
      <c r="K133" t="s">
        <v>732</v>
      </c>
      <c r="L133" t="s">
        <v>1274</v>
      </c>
      <c r="M133" s="8">
        <v>1370.28</v>
      </c>
      <c r="N133" s="8">
        <v>2209.66</v>
      </c>
      <c r="O133" s="8">
        <f t="shared" si="41"/>
        <v>2209.66</v>
      </c>
      <c r="P133" s="11">
        <v>0.13300000000000001</v>
      </c>
      <c r="Q133" s="13">
        <v>16</v>
      </c>
      <c r="R133" s="8">
        <f t="shared" si="42"/>
        <v>30652.403519999996</v>
      </c>
      <c r="S133" s="8">
        <f t="shared" si="43"/>
        <v>21924.48</v>
      </c>
      <c r="T133" s="8">
        <f t="shared" si="44"/>
        <v>8727.9235199999966</v>
      </c>
      <c r="U133" s="11">
        <f t="shared" si="45"/>
        <v>0.28473863442079589</v>
      </c>
      <c r="V133" s="17">
        <v>45398</v>
      </c>
      <c r="W133" s="4" t="str">
        <f t="shared" si="46"/>
        <v>Q2-2024</v>
      </c>
      <c r="X133" t="str">
        <f t="shared" si="47"/>
        <v>Asia → China → Shanghai</v>
      </c>
      <c r="Y133" t="str">
        <f t="shared" si="48"/>
        <v>High</v>
      </c>
      <c r="Z133" s="20">
        <f t="shared" si="49"/>
        <v>45444</v>
      </c>
      <c r="AA133" s="4">
        <f t="array" ref="AA133">MIN(IF($F$2:$F$633=F133,$Z$2:$Z$633))</f>
        <v>44927</v>
      </c>
      <c r="AB133">
        <f t="shared" si="50"/>
        <v>17</v>
      </c>
      <c r="AC133">
        <f t="shared" si="51"/>
        <v>1</v>
      </c>
      <c r="AD133">
        <f t="shared" si="52"/>
        <v>0</v>
      </c>
      <c r="AE133" s="13">
        <f t="shared" si="53"/>
        <v>1</v>
      </c>
      <c r="AH133">
        <f t="shared" si="54"/>
        <v>19.2</v>
      </c>
      <c r="AI133">
        <f t="shared" si="55"/>
        <v>1575.8219999999999</v>
      </c>
      <c r="AJ133" s="11">
        <f t="shared" si="56"/>
        <v>0.13300000000000001</v>
      </c>
      <c r="AK133">
        <f t="shared" si="57"/>
        <v>36782.884223999994</v>
      </c>
      <c r="AL133">
        <f t="shared" si="58"/>
        <v>30255.782399999996</v>
      </c>
      <c r="AM133">
        <f t="shared" si="59"/>
        <v>6527.1018239999976</v>
      </c>
    </row>
    <row r="134" spans="1:39" x14ac:dyDescent="0.25">
      <c r="A134" t="s">
        <v>125</v>
      </c>
      <c r="B134" s="4">
        <v>45452</v>
      </c>
      <c r="C134" s="4">
        <v>45480</v>
      </c>
      <c r="D134" s="13">
        <f t="shared" si="40"/>
        <v>28</v>
      </c>
      <c r="E134" s="6" t="s">
        <v>647</v>
      </c>
      <c r="F134" t="s">
        <v>659</v>
      </c>
      <c r="G134" t="s">
        <v>676</v>
      </c>
      <c r="H134" t="s">
        <v>701</v>
      </c>
      <c r="I134" t="s">
        <v>708</v>
      </c>
      <c r="J134" t="s">
        <v>713</v>
      </c>
      <c r="K134" t="s">
        <v>727</v>
      </c>
      <c r="L134" t="s">
        <v>844</v>
      </c>
      <c r="M134" s="8">
        <v>550.22</v>
      </c>
      <c r="N134" s="8">
        <v>1025.05</v>
      </c>
      <c r="O134" s="8">
        <f t="shared" si="41"/>
        <v>1025.05</v>
      </c>
      <c r="P134" s="11">
        <v>0</v>
      </c>
      <c r="Q134" s="13">
        <v>27</v>
      </c>
      <c r="R134" s="8">
        <f t="shared" si="42"/>
        <v>27676.35</v>
      </c>
      <c r="S134" s="8">
        <f t="shared" si="43"/>
        <v>14855.94</v>
      </c>
      <c r="T134" s="8">
        <f t="shared" si="44"/>
        <v>12820.409999999998</v>
      </c>
      <c r="U134" s="11">
        <f t="shared" si="45"/>
        <v>0.46322618408858102</v>
      </c>
      <c r="V134" s="17">
        <v>45406</v>
      </c>
      <c r="W134" s="4" t="str">
        <f t="shared" si="46"/>
        <v>Q2-2024</v>
      </c>
      <c r="X134" t="str">
        <f t="shared" si="47"/>
        <v>Asia → China → Shenzhen</v>
      </c>
      <c r="Y134" t="str">
        <f t="shared" si="48"/>
        <v>Medium</v>
      </c>
      <c r="Z134" s="20">
        <f t="shared" si="49"/>
        <v>45444</v>
      </c>
      <c r="AA134" s="4">
        <f t="array" ref="AA134">MIN(IF($F$2:$F$633=F134,$Z$2:$Z$633))</f>
        <v>44927</v>
      </c>
      <c r="AB134">
        <f t="shared" si="50"/>
        <v>17</v>
      </c>
      <c r="AC134">
        <f t="shared" si="51"/>
        <v>0</v>
      </c>
      <c r="AD134">
        <f t="shared" si="52"/>
        <v>0</v>
      </c>
      <c r="AE134" s="13">
        <f t="shared" si="53"/>
        <v>0</v>
      </c>
      <c r="AH134">
        <f t="shared" si="54"/>
        <v>32.4</v>
      </c>
      <c r="AI134">
        <f t="shared" si="55"/>
        <v>632.75299999999993</v>
      </c>
      <c r="AJ134" s="11">
        <f t="shared" si="56"/>
        <v>0</v>
      </c>
      <c r="AK134">
        <f t="shared" si="57"/>
        <v>33211.619999999995</v>
      </c>
      <c r="AL134">
        <f t="shared" si="58"/>
        <v>20501.197199999995</v>
      </c>
      <c r="AM134">
        <f t="shared" si="59"/>
        <v>12710.4228</v>
      </c>
    </row>
    <row r="135" spans="1:39" x14ac:dyDescent="0.25">
      <c r="A135" t="s">
        <v>536</v>
      </c>
      <c r="B135" s="4">
        <v>45482</v>
      </c>
      <c r="C135" s="4">
        <v>45485</v>
      </c>
      <c r="D135" s="13">
        <f t="shared" si="40"/>
        <v>3</v>
      </c>
      <c r="E135" s="6" t="s">
        <v>647</v>
      </c>
      <c r="F135" t="s">
        <v>659</v>
      </c>
      <c r="G135" t="s">
        <v>685</v>
      </c>
      <c r="H135" t="s">
        <v>705</v>
      </c>
      <c r="I135" t="s">
        <v>707</v>
      </c>
      <c r="J135" t="s">
        <v>726</v>
      </c>
      <c r="K135" t="s">
        <v>733</v>
      </c>
      <c r="L135" t="s">
        <v>1255</v>
      </c>
      <c r="M135" s="8">
        <v>748.39</v>
      </c>
      <c r="N135" s="8">
        <v>979.42</v>
      </c>
      <c r="O135" s="8">
        <f t="shared" si="41"/>
        <v>979.42</v>
      </c>
      <c r="P135" s="11">
        <v>0</v>
      </c>
      <c r="Q135" s="13">
        <v>23</v>
      </c>
      <c r="R135" s="8">
        <f t="shared" si="42"/>
        <v>22526.66</v>
      </c>
      <c r="S135" s="8">
        <f t="shared" si="43"/>
        <v>17212.97</v>
      </c>
      <c r="T135" s="8">
        <f t="shared" si="44"/>
        <v>5313.6899999999987</v>
      </c>
      <c r="U135" s="11">
        <f t="shared" si="45"/>
        <v>0.23588450307324738</v>
      </c>
      <c r="V135" s="17">
        <v>45358</v>
      </c>
      <c r="W135" s="4" t="str">
        <f t="shared" si="46"/>
        <v>Q3-2024</v>
      </c>
      <c r="X135" t="str">
        <f t="shared" si="47"/>
        <v>Asia → China → Shanghai</v>
      </c>
      <c r="Y135" t="str">
        <f t="shared" si="48"/>
        <v>Medium</v>
      </c>
      <c r="Z135" s="20">
        <f t="shared" si="49"/>
        <v>45474</v>
      </c>
      <c r="AA135" s="4">
        <f t="array" ref="AA135">MIN(IF($F$2:$F$633=F135,$Z$2:$Z$633))</f>
        <v>44927</v>
      </c>
      <c r="AB135">
        <f t="shared" si="50"/>
        <v>18</v>
      </c>
      <c r="AC135">
        <f t="shared" si="51"/>
        <v>1</v>
      </c>
      <c r="AD135">
        <f t="shared" si="52"/>
        <v>0</v>
      </c>
      <c r="AE135" s="13">
        <f t="shared" si="53"/>
        <v>1</v>
      </c>
      <c r="AH135">
        <f t="shared" si="54"/>
        <v>27.599999999999998</v>
      </c>
      <c r="AI135">
        <f t="shared" si="55"/>
        <v>860.6484999999999</v>
      </c>
      <c r="AJ135" s="11">
        <f t="shared" si="56"/>
        <v>0</v>
      </c>
      <c r="AK135">
        <f t="shared" si="57"/>
        <v>27031.991999999998</v>
      </c>
      <c r="AL135">
        <f t="shared" si="58"/>
        <v>23753.898599999997</v>
      </c>
      <c r="AM135">
        <f t="shared" si="59"/>
        <v>3278.0934000000016</v>
      </c>
    </row>
    <row r="136" spans="1:39" x14ac:dyDescent="0.25">
      <c r="A136" t="s">
        <v>350</v>
      </c>
      <c r="B136" s="4">
        <v>45484</v>
      </c>
      <c r="C136" s="4">
        <v>45504</v>
      </c>
      <c r="D136" s="13">
        <f t="shared" si="40"/>
        <v>20</v>
      </c>
      <c r="E136" s="6" t="s">
        <v>647</v>
      </c>
      <c r="F136" t="s">
        <v>659</v>
      </c>
      <c r="G136" t="s">
        <v>676</v>
      </c>
      <c r="H136" t="s">
        <v>704</v>
      </c>
      <c r="I136" t="s">
        <v>708</v>
      </c>
      <c r="J136" t="s">
        <v>715</v>
      </c>
      <c r="K136" t="s">
        <v>730</v>
      </c>
      <c r="L136" t="s">
        <v>1070</v>
      </c>
      <c r="M136" s="8">
        <v>647.26</v>
      </c>
      <c r="N136" s="8">
        <v>1374.72</v>
      </c>
      <c r="O136" s="8">
        <f t="shared" si="41"/>
        <v>1374.72</v>
      </c>
      <c r="P136" s="11">
        <v>6.6000000000000003E-2</v>
      </c>
      <c r="Q136" s="13">
        <v>22</v>
      </c>
      <c r="R136" s="8">
        <f t="shared" si="42"/>
        <v>28247.74656</v>
      </c>
      <c r="S136" s="8">
        <f t="shared" si="43"/>
        <v>14239.72</v>
      </c>
      <c r="T136" s="8">
        <f t="shared" si="44"/>
        <v>14008.02656</v>
      </c>
      <c r="U136" s="11">
        <f t="shared" si="45"/>
        <v>0.49589890401508901</v>
      </c>
      <c r="V136" s="17">
        <v>45351</v>
      </c>
      <c r="W136" s="4" t="str">
        <f t="shared" si="46"/>
        <v>Q3-2024</v>
      </c>
      <c r="X136" t="str">
        <f t="shared" si="47"/>
        <v>Asia → China → Shenzhen</v>
      </c>
      <c r="Y136" t="str">
        <f t="shared" si="48"/>
        <v>Medium</v>
      </c>
      <c r="Z136" s="20">
        <f t="shared" si="49"/>
        <v>45474</v>
      </c>
      <c r="AA136" s="4">
        <f t="array" ref="AA136">MIN(IF($F$2:$F$633=F136,$Z$2:$Z$633))</f>
        <v>44927</v>
      </c>
      <c r="AB136">
        <f t="shared" si="50"/>
        <v>18</v>
      </c>
      <c r="AC136">
        <f t="shared" si="51"/>
        <v>0</v>
      </c>
      <c r="AD136">
        <f t="shared" si="52"/>
        <v>0</v>
      </c>
      <c r="AE136" s="13">
        <f t="shared" si="53"/>
        <v>0</v>
      </c>
      <c r="AH136">
        <f t="shared" si="54"/>
        <v>26.4</v>
      </c>
      <c r="AI136">
        <f t="shared" si="55"/>
        <v>744.34899999999993</v>
      </c>
      <c r="AJ136" s="11">
        <f t="shared" si="56"/>
        <v>6.6000000000000003E-2</v>
      </c>
      <c r="AK136">
        <f t="shared" si="57"/>
        <v>33897.295871999995</v>
      </c>
      <c r="AL136">
        <f t="shared" si="58"/>
        <v>19650.813599999998</v>
      </c>
      <c r="AM136">
        <f t="shared" si="59"/>
        <v>14246.482271999997</v>
      </c>
    </row>
    <row r="137" spans="1:39" x14ac:dyDescent="0.25">
      <c r="A137" t="s">
        <v>448</v>
      </c>
      <c r="B137" s="4">
        <v>45542</v>
      </c>
      <c r="C137" s="4">
        <v>45553</v>
      </c>
      <c r="D137" s="13">
        <f t="shared" si="40"/>
        <v>11</v>
      </c>
      <c r="E137" s="6" t="s">
        <v>647</v>
      </c>
      <c r="F137" t="s">
        <v>659</v>
      </c>
      <c r="G137" t="s">
        <v>699</v>
      </c>
      <c r="H137" t="s">
        <v>704</v>
      </c>
      <c r="I137" t="s">
        <v>710</v>
      </c>
      <c r="J137" t="s">
        <v>719</v>
      </c>
      <c r="K137" t="s">
        <v>729</v>
      </c>
      <c r="L137" t="s">
        <v>1167</v>
      </c>
      <c r="M137" s="8">
        <v>181.74</v>
      </c>
      <c r="N137" s="8">
        <v>190.84</v>
      </c>
      <c r="O137" s="8">
        <f t="shared" si="41"/>
        <v>190.84</v>
      </c>
      <c r="P137" s="11">
        <v>0.214</v>
      </c>
      <c r="Q137" s="13">
        <v>13</v>
      </c>
      <c r="R137" s="8">
        <f t="shared" si="42"/>
        <v>1950.0031200000001</v>
      </c>
      <c r="S137" s="8">
        <f t="shared" si="43"/>
        <v>2362.62</v>
      </c>
      <c r="T137" s="8">
        <f t="shared" si="44"/>
        <v>-412.61687999999981</v>
      </c>
      <c r="U137" s="11">
        <f t="shared" si="45"/>
        <v>-0.21159806144310159</v>
      </c>
      <c r="V137" s="17">
        <v>45302</v>
      </c>
      <c r="W137" s="4" t="str">
        <f t="shared" si="46"/>
        <v>Q3-2024</v>
      </c>
      <c r="X137" t="str">
        <f t="shared" si="47"/>
        <v>Asia → China → Beijing</v>
      </c>
      <c r="Y137" t="str">
        <f t="shared" si="48"/>
        <v>Low</v>
      </c>
      <c r="Z137" s="20">
        <f t="shared" si="49"/>
        <v>45536</v>
      </c>
      <c r="AA137" s="4">
        <f t="array" ref="AA137">MIN(IF($F$2:$F$633=F137,$Z$2:$Z$633))</f>
        <v>44927</v>
      </c>
      <c r="AB137">
        <f t="shared" si="50"/>
        <v>20</v>
      </c>
      <c r="AC137">
        <f t="shared" si="51"/>
        <v>0</v>
      </c>
      <c r="AD137">
        <f t="shared" si="52"/>
        <v>1</v>
      </c>
      <c r="AE137" s="13">
        <f t="shared" si="53"/>
        <v>0</v>
      </c>
      <c r="AH137">
        <f t="shared" si="54"/>
        <v>15.6</v>
      </c>
      <c r="AI137">
        <f t="shared" si="55"/>
        <v>209.001</v>
      </c>
      <c r="AJ137" s="11">
        <f t="shared" si="56"/>
        <v>0.214</v>
      </c>
      <c r="AK137">
        <f t="shared" si="57"/>
        <v>2340.0037440000001</v>
      </c>
      <c r="AL137">
        <f t="shared" si="58"/>
        <v>3260.4155999999998</v>
      </c>
      <c r="AM137">
        <f t="shared" si="59"/>
        <v>-920.41185599999972</v>
      </c>
    </row>
    <row r="138" spans="1:39" x14ac:dyDescent="0.25">
      <c r="A138" t="s">
        <v>226</v>
      </c>
      <c r="B138" s="4">
        <v>45544</v>
      </c>
      <c r="C138" s="4">
        <v>45566</v>
      </c>
      <c r="D138" s="13">
        <f t="shared" si="40"/>
        <v>22</v>
      </c>
      <c r="E138" s="6" t="s">
        <v>647</v>
      </c>
      <c r="F138" t="s">
        <v>659</v>
      </c>
      <c r="G138" t="s">
        <v>676</v>
      </c>
      <c r="H138" t="s">
        <v>704</v>
      </c>
      <c r="I138" t="s">
        <v>711</v>
      </c>
      <c r="J138" t="s">
        <v>716</v>
      </c>
      <c r="K138" t="s">
        <v>728</v>
      </c>
      <c r="L138" t="s">
        <v>946</v>
      </c>
      <c r="M138" s="8">
        <v>1166.18</v>
      </c>
      <c r="N138" s="8">
        <v>1335.02</v>
      </c>
      <c r="O138" s="8">
        <f t="shared" si="41"/>
        <v>1335.02</v>
      </c>
      <c r="P138" s="11">
        <v>0.128</v>
      </c>
      <c r="Q138" s="13">
        <v>6</v>
      </c>
      <c r="R138" s="8">
        <f t="shared" si="42"/>
        <v>6984.8246399999998</v>
      </c>
      <c r="S138" s="8">
        <f t="shared" si="43"/>
        <v>6997.08</v>
      </c>
      <c r="T138" s="8">
        <f t="shared" si="44"/>
        <v>-12.25536000000011</v>
      </c>
      <c r="U138" s="11">
        <f t="shared" si="45"/>
        <v>-1.7545694604582242E-3</v>
      </c>
      <c r="V138" s="17">
        <v>45319</v>
      </c>
      <c r="W138" s="4" t="str">
        <f t="shared" si="46"/>
        <v>Q3-2024</v>
      </c>
      <c r="X138" t="str">
        <f t="shared" si="47"/>
        <v>Asia → China → Shenzhen</v>
      </c>
      <c r="Y138" t="str">
        <f t="shared" si="48"/>
        <v>Medium</v>
      </c>
      <c r="Z138" s="20">
        <f t="shared" si="49"/>
        <v>45536</v>
      </c>
      <c r="AA138" s="4">
        <f t="array" ref="AA138">MIN(IF($F$2:$F$633=F138,$Z$2:$Z$633))</f>
        <v>44927</v>
      </c>
      <c r="AB138">
        <f t="shared" si="50"/>
        <v>20</v>
      </c>
      <c r="AC138">
        <f t="shared" si="51"/>
        <v>0</v>
      </c>
      <c r="AD138">
        <f t="shared" si="52"/>
        <v>0</v>
      </c>
      <c r="AE138" s="13">
        <f t="shared" si="53"/>
        <v>0</v>
      </c>
      <c r="AH138">
        <f t="shared" si="54"/>
        <v>7.1999999999999993</v>
      </c>
      <c r="AI138">
        <f t="shared" si="55"/>
        <v>1341.107</v>
      </c>
      <c r="AJ138" s="11">
        <f t="shared" si="56"/>
        <v>0.128</v>
      </c>
      <c r="AK138">
        <f t="shared" si="57"/>
        <v>8381.7895679999983</v>
      </c>
      <c r="AL138">
        <f t="shared" si="58"/>
        <v>9655.9703999999983</v>
      </c>
      <c r="AM138">
        <f t="shared" si="59"/>
        <v>-1274.180832</v>
      </c>
    </row>
    <row r="139" spans="1:39" x14ac:dyDescent="0.25">
      <c r="A139" t="s">
        <v>119</v>
      </c>
      <c r="B139" s="4">
        <v>45549</v>
      </c>
      <c r="C139" s="4">
        <v>45570</v>
      </c>
      <c r="D139" s="13">
        <f t="shared" si="40"/>
        <v>21</v>
      </c>
      <c r="E139" s="6" t="s">
        <v>647</v>
      </c>
      <c r="F139" t="s">
        <v>659</v>
      </c>
      <c r="G139" t="s">
        <v>685</v>
      </c>
      <c r="H139" t="s">
        <v>705</v>
      </c>
      <c r="I139" t="s">
        <v>708</v>
      </c>
      <c r="J139" t="s">
        <v>722</v>
      </c>
      <c r="K139" t="s">
        <v>731</v>
      </c>
      <c r="L139" t="s">
        <v>838</v>
      </c>
      <c r="M139" s="8">
        <v>1405.56</v>
      </c>
      <c r="N139" s="8">
        <v>2968.87</v>
      </c>
      <c r="O139" s="8">
        <f t="shared" si="41"/>
        <v>2968.87</v>
      </c>
      <c r="P139" s="11">
        <v>0.16900000000000001</v>
      </c>
      <c r="Q139" s="13">
        <v>5</v>
      </c>
      <c r="R139" s="8">
        <f t="shared" si="42"/>
        <v>12335.654849999999</v>
      </c>
      <c r="S139" s="8">
        <f t="shared" si="43"/>
        <v>7027.7999999999993</v>
      </c>
      <c r="T139" s="8">
        <f t="shared" si="44"/>
        <v>5307.8548499999997</v>
      </c>
      <c r="U139" s="11">
        <f t="shared" si="45"/>
        <v>0.4302856163327235</v>
      </c>
      <c r="V139" s="17">
        <v>45292</v>
      </c>
      <c r="W139" s="4" t="str">
        <f t="shared" si="46"/>
        <v>Q3-2024</v>
      </c>
      <c r="X139" t="str">
        <f t="shared" si="47"/>
        <v>Asia → China → Shanghai</v>
      </c>
      <c r="Y139" t="str">
        <f t="shared" si="48"/>
        <v>High</v>
      </c>
      <c r="Z139" s="20">
        <f t="shared" si="49"/>
        <v>45536</v>
      </c>
      <c r="AA139" s="4">
        <f t="array" ref="AA139">MIN(IF($F$2:$F$633=F139,$Z$2:$Z$633))</f>
        <v>44927</v>
      </c>
      <c r="AB139">
        <f t="shared" si="50"/>
        <v>20</v>
      </c>
      <c r="AC139">
        <f t="shared" si="51"/>
        <v>0</v>
      </c>
      <c r="AD139">
        <f t="shared" si="52"/>
        <v>0</v>
      </c>
      <c r="AE139" s="13">
        <f t="shared" si="53"/>
        <v>0</v>
      </c>
      <c r="AH139">
        <f t="shared" si="54"/>
        <v>6</v>
      </c>
      <c r="AI139">
        <f t="shared" si="55"/>
        <v>1616.3939999999998</v>
      </c>
      <c r="AJ139" s="11">
        <f t="shared" si="56"/>
        <v>0.16900000000000001</v>
      </c>
      <c r="AK139">
        <f t="shared" si="57"/>
        <v>14802.785820000001</v>
      </c>
      <c r="AL139">
        <f t="shared" si="58"/>
        <v>9698.3639999999978</v>
      </c>
      <c r="AM139">
        <f t="shared" si="59"/>
        <v>5104.4218200000032</v>
      </c>
    </row>
    <row r="140" spans="1:39" x14ac:dyDescent="0.25">
      <c r="A140" t="s">
        <v>196</v>
      </c>
      <c r="B140" s="4">
        <v>45568</v>
      </c>
      <c r="C140" s="4">
        <v>45576</v>
      </c>
      <c r="D140" s="13">
        <f t="shared" si="40"/>
        <v>8</v>
      </c>
      <c r="E140" s="6" t="s">
        <v>647</v>
      </c>
      <c r="F140" t="s">
        <v>659</v>
      </c>
      <c r="G140" t="s">
        <v>699</v>
      </c>
      <c r="H140" t="s">
        <v>706</v>
      </c>
      <c r="I140" t="s">
        <v>711</v>
      </c>
      <c r="J140" t="s">
        <v>717</v>
      </c>
      <c r="K140" t="s">
        <v>730</v>
      </c>
      <c r="L140" t="s">
        <v>915</v>
      </c>
      <c r="M140" s="8">
        <v>1132.6099999999999</v>
      </c>
      <c r="N140" s="8">
        <v>2206.63</v>
      </c>
      <c r="O140" s="8">
        <f t="shared" si="41"/>
        <v>2206.63</v>
      </c>
      <c r="P140" s="11">
        <v>6.3E-2</v>
      </c>
      <c r="Q140" s="13">
        <v>20</v>
      </c>
      <c r="R140" s="8">
        <f t="shared" si="42"/>
        <v>41352.246200000009</v>
      </c>
      <c r="S140" s="8">
        <f t="shared" si="43"/>
        <v>22652.199999999997</v>
      </c>
      <c r="T140" s="8">
        <f t="shared" si="44"/>
        <v>18700.046200000012</v>
      </c>
      <c r="U140" s="11">
        <f t="shared" si="45"/>
        <v>0.45221355351671338</v>
      </c>
      <c r="V140" s="17">
        <v>45304</v>
      </c>
      <c r="W140" s="4" t="str">
        <f t="shared" si="46"/>
        <v>Q4-2024</v>
      </c>
      <c r="X140" t="str">
        <f t="shared" si="47"/>
        <v>Asia → China → Beijing</v>
      </c>
      <c r="Y140" t="str">
        <f t="shared" si="48"/>
        <v>High</v>
      </c>
      <c r="Z140" s="20">
        <f t="shared" si="49"/>
        <v>45566</v>
      </c>
      <c r="AA140" s="4">
        <f t="array" ref="AA140">MIN(IF($F$2:$F$633=F140,$Z$2:$Z$633))</f>
        <v>44927</v>
      </c>
      <c r="AB140">
        <f t="shared" si="50"/>
        <v>21</v>
      </c>
      <c r="AC140">
        <f t="shared" si="51"/>
        <v>0</v>
      </c>
      <c r="AD140">
        <f t="shared" si="52"/>
        <v>0</v>
      </c>
      <c r="AE140" s="13">
        <f t="shared" si="53"/>
        <v>0</v>
      </c>
      <c r="AH140">
        <f t="shared" si="54"/>
        <v>24</v>
      </c>
      <c r="AI140">
        <f t="shared" si="55"/>
        <v>1302.5014999999999</v>
      </c>
      <c r="AJ140" s="11">
        <f t="shared" si="56"/>
        <v>6.3E-2</v>
      </c>
      <c r="AK140">
        <f t="shared" si="57"/>
        <v>49622.695440000003</v>
      </c>
      <c r="AL140">
        <f t="shared" si="58"/>
        <v>31260.035999999996</v>
      </c>
      <c r="AM140">
        <f t="shared" si="59"/>
        <v>18362.659440000007</v>
      </c>
    </row>
    <row r="141" spans="1:39" x14ac:dyDescent="0.25">
      <c r="A141" t="s">
        <v>232</v>
      </c>
      <c r="B141" s="4">
        <v>45576</v>
      </c>
      <c r="C141" s="4">
        <v>45605</v>
      </c>
      <c r="D141" s="13">
        <f t="shared" si="40"/>
        <v>29</v>
      </c>
      <c r="E141" s="6" t="s">
        <v>647</v>
      </c>
      <c r="F141" t="s">
        <v>659</v>
      </c>
      <c r="G141" t="s">
        <v>685</v>
      </c>
      <c r="H141" t="s">
        <v>703</v>
      </c>
      <c r="I141" t="s">
        <v>708</v>
      </c>
      <c r="J141" t="s">
        <v>721</v>
      </c>
      <c r="K141" t="s">
        <v>728</v>
      </c>
      <c r="L141" t="s">
        <v>952</v>
      </c>
      <c r="M141" s="8">
        <v>391.64</v>
      </c>
      <c r="N141" s="8">
        <v>504.76</v>
      </c>
      <c r="O141" s="8">
        <f t="shared" si="41"/>
        <v>504.76</v>
      </c>
      <c r="P141" s="11">
        <v>4.0000000000000001E-3</v>
      </c>
      <c r="Q141" s="13">
        <v>13</v>
      </c>
      <c r="R141" s="8">
        <f t="shared" si="42"/>
        <v>6535.6324800000002</v>
      </c>
      <c r="S141" s="8">
        <f t="shared" si="43"/>
        <v>5091.32</v>
      </c>
      <c r="T141" s="8">
        <f t="shared" si="44"/>
        <v>1444.3124800000005</v>
      </c>
      <c r="U141" s="11">
        <f t="shared" si="45"/>
        <v>0.22099046793402319</v>
      </c>
      <c r="V141" s="17">
        <v>45299</v>
      </c>
      <c r="W141" s="4" t="str">
        <f t="shared" si="46"/>
        <v>Q4-2024</v>
      </c>
      <c r="X141" t="str">
        <f t="shared" si="47"/>
        <v>Asia → China → Shanghai</v>
      </c>
      <c r="Y141" t="str">
        <f t="shared" si="48"/>
        <v>Low</v>
      </c>
      <c r="Z141" s="20">
        <f t="shared" si="49"/>
        <v>45566</v>
      </c>
      <c r="AA141" s="4">
        <f t="array" ref="AA141">MIN(IF($F$2:$F$633=F141,$Z$2:$Z$633))</f>
        <v>44927</v>
      </c>
      <c r="AB141">
        <f t="shared" si="50"/>
        <v>21</v>
      </c>
      <c r="AC141">
        <f t="shared" si="51"/>
        <v>0</v>
      </c>
      <c r="AD141">
        <f t="shared" si="52"/>
        <v>0</v>
      </c>
      <c r="AE141" s="13">
        <f t="shared" si="53"/>
        <v>0</v>
      </c>
      <c r="AH141">
        <f t="shared" si="54"/>
        <v>15.6</v>
      </c>
      <c r="AI141">
        <f t="shared" si="55"/>
        <v>450.38599999999997</v>
      </c>
      <c r="AJ141" s="11">
        <f t="shared" si="56"/>
        <v>4.0000000000000001E-3</v>
      </c>
      <c r="AK141">
        <f t="shared" si="57"/>
        <v>7842.7589759999992</v>
      </c>
      <c r="AL141">
        <f t="shared" si="58"/>
        <v>7026.0215999999991</v>
      </c>
      <c r="AM141">
        <f t="shared" si="59"/>
        <v>816.73737600000004</v>
      </c>
    </row>
    <row r="142" spans="1:39" x14ac:dyDescent="0.25">
      <c r="A142" t="s">
        <v>521</v>
      </c>
      <c r="B142" s="4">
        <v>45589</v>
      </c>
      <c r="C142" s="4">
        <v>45593</v>
      </c>
      <c r="D142" s="13">
        <f t="shared" si="40"/>
        <v>4</v>
      </c>
      <c r="E142" s="6" t="s">
        <v>647</v>
      </c>
      <c r="F142" t="s">
        <v>659</v>
      </c>
      <c r="G142" t="s">
        <v>685</v>
      </c>
      <c r="H142" t="s">
        <v>705</v>
      </c>
      <c r="I142" t="s">
        <v>710</v>
      </c>
      <c r="J142" t="s">
        <v>714</v>
      </c>
      <c r="K142" t="s">
        <v>729</v>
      </c>
      <c r="L142" t="s">
        <v>1240</v>
      </c>
      <c r="M142" s="8">
        <v>1331.77</v>
      </c>
      <c r="N142" s="8">
        <v>2606.11</v>
      </c>
      <c r="O142" s="8">
        <f t="shared" si="41"/>
        <v>2606.11</v>
      </c>
      <c r="P142" s="11">
        <v>0.02</v>
      </c>
      <c r="Q142" s="13">
        <v>6</v>
      </c>
      <c r="R142" s="8">
        <f t="shared" si="42"/>
        <v>15323.926799999999</v>
      </c>
      <c r="S142" s="8">
        <f t="shared" si="43"/>
        <v>7990.62</v>
      </c>
      <c r="T142" s="8">
        <f t="shared" si="44"/>
        <v>7333.3067999999994</v>
      </c>
      <c r="U142" s="11">
        <f t="shared" si="45"/>
        <v>0.47855271665745619</v>
      </c>
      <c r="V142" s="17">
        <v>45279</v>
      </c>
      <c r="W142" s="4" t="str">
        <f t="shared" si="46"/>
        <v>Q4-2024</v>
      </c>
      <c r="X142" t="str">
        <f t="shared" si="47"/>
        <v>Asia → China → Shanghai</v>
      </c>
      <c r="Y142" t="str">
        <f t="shared" si="48"/>
        <v>High</v>
      </c>
      <c r="Z142" s="20">
        <f t="shared" si="49"/>
        <v>45566</v>
      </c>
      <c r="AA142" s="4">
        <f t="array" ref="AA142">MIN(IF($F$2:$F$633=F142,$Z$2:$Z$633))</f>
        <v>44927</v>
      </c>
      <c r="AB142">
        <f t="shared" si="50"/>
        <v>21</v>
      </c>
      <c r="AC142">
        <f t="shared" si="51"/>
        <v>1</v>
      </c>
      <c r="AD142">
        <f t="shared" si="52"/>
        <v>0</v>
      </c>
      <c r="AE142" s="13">
        <f t="shared" si="53"/>
        <v>1</v>
      </c>
      <c r="AH142">
        <f t="shared" si="54"/>
        <v>7.1999999999999993</v>
      </c>
      <c r="AI142">
        <f t="shared" si="55"/>
        <v>1531.5355</v>
      </c>
      <c r="AJ142" s="11">
        <f t="shared" si="56"/>
        <v>0.02</v>
      </c>
      <c r="AK142">
        <f t="shared" si="57"/>
        <v>18388.712159999999</v>
      </c>
      <c r="AL142">
        <f t="shared" si="58"/>
        <v>11027.055599999998</v>
      </c>
      <c r="AM142">
        <f t="shared" si="59"/>
        <v>7361.6565600000013</v>
      </c>
    </row>
    <row r="143" spans="1:39" x14ac:dyDescent="0.25">
      <c r="A143" t="s">
        <v>176</v>
      </c>
      <c r="B143" s="4">
        <v>45595</v>
      </c>
      <c r="C143" s="4">
        <v>45620</v>
      </c>
      <c r="D143" s="13">
        <f t="shared" si="40"/>
        <v>25</v>
      </c>
      <c r="E143" s="6" t="s">
        <v>647</v>
      </c>
      <c r="F143" t="s">
        <v>659</v>
      </c>
      <c r="G143" t="s">
        <v>676</v>
      </c>
      <c r="H143" t="s">
        <v>705</v>
      </c>
      <c r="I143" t="s">
        <v>708</v>
      </c>
      <c r="J143" t="s">
        <v>718</v>
      </c>
      <c r="K143" t="s">
        <v>727</v>
      </c>
      <c r="L143" t="s">
        <v>895</v>
      </c>
      <c r="M143" s="8">
        <v>811.05</v>
      </c>
      <c r="N143" s="8">
        <v>1217.71</v>
      </c>
      <c r="O143" s="8">
        <f t="shared" si="41"/>
        <v>1217.71</v>
      </c>
      <c r="P143" s="11">
        <v>7.1999999999999995E-2</v>
      </c>
      <c r="Q143" s="13">
        <v>5</v>
      </c>
      <c r="R143" s="8">
        <f t="shared" si="42"/>
        <v>5650.1744000000008</v>
      </c>
      <c r="S143" s="8">
        <f t="shared" si="43"/>
        <v>4055.25</v>
      </c>
      <c r="T143" s="8">
        <f t="shared" si="44"/>
        <v>1594.9244000000008</v>
      </c>
      <c r="U143" s="11">
        <f t="shared" si="45"/>
        <v>0.28227879125288602</v>
      </c>
      <c r="V143" s="17">
        <v>45276</v>
      </c>
      <c r="W143" s="4" t="str">
        <f t="shared" si="46"/>
        <v>Q4-2024</v>
      </c>
      <c r="X143" t="str">
        <f t="shared" si="47"/>
        <v>Asia → China → Shenzhen</v>
      </c>
      <c r="Y143" t="str">
        <f t="shared" si="48"/>
        <v>Medium</v>
      </c>
      <c r="Z143" s="20">
        <f t="shared" si="49"/>
        <v>45566</v>
      </c>
      <c r="AA143" s="4">
        <f t="array" ref="AA143">MIN(IF($F$2:$F$633=F143,$Z$2:$Z$633))</f>
        <v>44927</v>
      </c>
      <c r="AB143">
        <f t="shared" si="50"/>
        <v>21</v>
      </c>
      <c r="AC143">
        <f t="shared" si="51"/>
        <v>0</v>
      </c>
      <c r="AD143">
        <f t="shared" si="52"/>
        <v>0</v>
      </c>
      <c r="AE143" s="13">
        <f t="shared" si="53"/>
        <v>0</v>
      </c>
      <c r="AH143">
        <f t="shared" si="54"/>
        <v>6</v>
      </c>
      <c r="AI143">
        <f t="shared" si="55"/>
        <v>932.70749999999987</v>
      </c>
      <c r="AJ143" s="11">
        <f t="shared" si="56"/>
        <v>7.1999999999999995E-2</v>
      </c>
      <c r="AK143">
        <f t="shared" si="57"/>
        <v>6780.2092800000009</v>
      </c>
      <c r="AL143">
        <f t="shared" si="58"/>
        <v>5596.244999999999</v>
      </c>
      <c r="AM143">
        <f t="shared" si="59"/>
        <v>1183.964280000002</v>
      </c>
    </row>
    <row r="144" spans="1:39" x14ac:dyDescent="0.25">
      <c r="A144" t="s">
        <v>372</v>
      </c>
      <c r="B144" s="4">
        <v>45621</v>
      </c>
      <c r="C144" s="4">
        <v>45633</v>
      </c>
      <c r="D144" s="13">
        <f t="shared" si="40"/>
        <v>12</v>
      </c>
      <c r="E144" s="6" t="s">
        <v>647</v>
      </c>
      <c r="F144" t="s">
        <v>659</v>
      </c>
      <c r="G144" t="s">
        <v>685</v>
      </c>
      <c r="H144" t="s">
        <v>701</v>
      </c>
      <c r="I144" t="s">
        <v>710</v>
      </c>
      <c r="J144" t="s">
        <v>720</v>
      </c>
      <c r="K144" t="s">
        <v>733</v>
      </c>
      <c r="L144" t="s">
        <v>1092</v>
      </c>
      <c r="M144" s="8">
        <v>769.9</v>
      </c>
      <c r="N144" s="8">
        <v>814.36</v>
      </c>
      <c r="O144" s="8">
        <f t="shared" si="41"/>
        <v>814.36</v>
      </c>
      <c r="P144" s="11">
        <v>0</v>
      </c>
      <c r="Q144" s="13">
        <v>5</v>
      </c>
      <c r="R144" s="8">
        <f t="shared" si="42"/>
        <v>4071.8</v>
      </c>
      <c r="S144" s="8">
        <f t="shared" si="43"/>
        <v>3849.5</v>
      </c>
      <c r="T144" s="8">
        <f t="shared" si="44"/>
        <v>222.30000000000018</v>
      </c>
      <c r="U144" s="11">
        <f t="shared" si="45"/>
        <v>5.4595019401738831E-2</v>
      </c>
      <c r="V144" s="17">
        <v>45221</v>
      </c>
      <c r="W144" s="4" t="str">
        <f t="shared" si="46"/>
        <v>Q4-2024</v>
      </c>
      <c r="X144" t="str">
        <f t="shared" si="47"/>
        <v>Asia → China → Shanghai</v>
      </c>
      <c r="Y144" t="str">
        <f t="shared" si="48"/>
        <v>Low</v>
      </c>
      <c r="Z144" s="20">
        <f t="shared" si="49"/>
        <v>45597</v>
      </c>
      <c r="AA144" s="4">
        <f t="array" ref="AA144">MIN(IF($F$2:$F$633=F144,$Z$2:$Z$633))</f>
        <v>44927</v>
      </c>
      <c r="AB144">
        <f t="shared" si="50"/>
        <v>22</v>
      </c>
      <c r="AC144">
        <f t="shared" si="51"/>
        <v>0</v>
      </c>
      <c r="AD144">
        <f t="shared" si="52"/>
        <v>0</v>
      </c>
      <c r="AE144" s="13">
        <f t="shared" si="53"/>
        <v>0</v>
      </c>
      <c r="AH144">
        <f t="shared" si="54"/>
        <v>6</v>
      </c>
      <c r="AI144">
        <f t="shared" si="55"/>
        <v>885.38499999999988</v>
      </c>
      <c r="AJ144" s="11">
        <f t="shared" si="56"/>
        <v>0</v>
      </c>
      <c r="AK144">
        <f t="shared" si="57"/>
        <v>4886.16</v>
      </c>
      <c r="AL144">
        <f t="shared" si="58"/>
        <v>5312.3099999999995</v>
      </c>
      <c r="AM144">
        <f t="shared" si="59"/>
        <v>-426.14999999999964</v>
      </c>
    </row>
    <row r="145" spans="1:39" x14ac:dyDescent="0.25">
      <c r="A145" t="s">
        <v>151</v>
      </c>
      <c r="B145" s="4">
        <v>45640</v>
      </c>
      <c r="C145" s="4">
        <v>45669</v>
      </c>
      <c r="D145" s="13">
        <f t="shared" si="40"/>
        <v>29</v>
      </c>
      <c r="E145" s="6" t="s">
        <v>647</v>
      </c>
      <c r="F145" t="s">
        <v>659</v>
      </c>
      <c r="G145" t="s">
        <v>676</v>
      </c>
      <c r="H145" t="s">
        <v>702</v>
      </c>
      <c r="I145" t="s">
        <v>708</v>
      </c>
      <c r="J145" t="s">
        <v>713</v>
      </c>
      <c r="K145" t="s">
        <v>727</v>
      </c>
      <c r="L145" t="s">
        <v>870</v>
      </c>
      <c r="M145" s="8">
        <v>1412.15</v>
      </c>
      <c r="N145" s="8">
        <v>1631.04</v>
      </c>
      <c r="O145" s="8">
        <f t="shared" si="41"/>
        <v>1631.04</v>
      </c>
      <c r="P145" s="11">
        <v>8.9999999999999993E-3</v>
      </c>
      <c r="Q145" s="13">
        <v>6</v>
      </c>
      <c r="R145" s="8">
        <f t="shared" si="42"/>
        <v>9698.1638399999993</v>
      </c>
      <c r="S145" s="8">
        <f t="shared" si="43"/>
        <v>8472.9000000000015</v>
      </c>
      <c r="T145" s="8">
        <f t="shared" si="44"/>
        <v>1225.2638399999978</v>
      </c>
      <c r="U145" s="11">
        <f t="shared" si="45"/>
        <v>0.12633977526203535</v>
      </c>
      <c r="V145" s="17">
        <v>45206</v>
      </c>
      <c r="W145" s="4" t="str">
        <f t="shared" si="46"/>
        <v>Q4-2024</v>
      </c>
      <c r="X145" t="str">
        <f t="shared" si="47"/>
        <v>Asia → China → Shenzhen</v>
      </c>
      <c r="Y145" t="str">
        <f t="shared" si="48"/>
        <v>Medium</v>
      </c>
      <c r="Z145" s="20">
        <f t="shared" si="49"/>
        <v>45627</v>
      </c>
      <c r="AA145" s="4">
        <f t="array" ref="AA145">MIN(IF($F$2:$F$633=F145,$Z$2:$Z$633))</f>
        <v>44927</v>
      </c>
      <c r="AB145">
        <f t="shared" si="50"/>
        <v>23</v>
      </c>
      <c r="AC145">
        <f t="shared" si="51"/>
        <v>0</v>
      </c>
      <c r="AD145">
        <f t="shared" si="52"/>
        <v>0</v>
      </c>
      <c r="AE145" s="13">
        <f t="shared" si="53"/>
        <v>0</v>
      </c>
      <c r="AH145">
        <f t="shared" si="54"/>
        <v>7.1999999999999993</v>
      </c>
      <c r="AI145">
        <f t="shared" si="55"/>
        <v>1623.9725000000001</v>
      </c>
      <c r="AJ145" s="11">
        <f t="shared" si="56"/>
        <v>8.9999999999999993E-3</v>
      </c>
      <c r="AK145">
        <f t="shared" si="57"/>
        <v>11637.796607999999</v>
      </c>
      <c r="AL145">
        <f t="shared" si="58"/>
        <v>11692.601999999999</v>
      </c>
      <c r="AM145">
        <f t="shared" si="59"/>
        <v>-54.805392000000211</v>
      </c>
    </row>
    <row r="146" spans="1:39" x14ac:dyDescent="0.25">
      <c r="A146" t="s">
        <v>88</v>
      </c>
      <c r="B146" s="4">
        <v>45641</v>
      </c>
      <c r="C146" s="4">
        <v>45646</v>
      </c>
      <c r="D146" s="13">
        <f t="shared" si="40"/>
        <v>5</v>
      </c>
      <c r="E146" s="6" t="s">
        <v>647</v>
      </c>
      <c r="F146" t="s">
        <v>659</v>
      </c>
      <c r="G146" t="s">
        <v>676</v>
      </c>
      <c r="H146" t="s">
        <v>705</v>
      </c>
      <c r="I146" t="s">
        <v>711</v>
      </c>
      <c r="J146" t="s">
        <v>713</v>
      </c>
      <c r="K146" t="s">
        <v>729</v>
      </c>
      <c r="L146" t="s">
        <v>807</v>
      </c>
      <c r="M146" s="8">
        <v>717.55</v>
      </c>
      <c r="N146" s="8">
        <v>546.42999999999995</v>
      </c>
      <c r="O146" s="8">
        <f t="shared" si="41"/>
        <v>546.42999999999995</v>
      </c>
      <c r="P146" s="11">
        <v>4.7E-2</v>
      </c>
      <c r="Q146" s="13">
        <v>18</v>
      </c>
      <c r="R146" s="8">
        <f t="shared" si="42"/>
        <v>9373.460219999999</v>
      </c>
      <c r="S146" s="8">
        <f t="shared" si="43"/>
        <v>12915.9</v>
      </c>
      <c r="T146" s="8">
        <f t="shared" si="44"/>
        <v>-3542.4397800000006</v>
      </c>
      <c r="U146" s="11">
        <f t="shared" si="45"/>
        <v>-0.37792231437026369</v>
      </c>
      <c r="V146" s="17">
        <v>45220</v>
      </c>
      <c r="W146" s="4" t="str">
        <f t="shared" si="46"/>
        <v>Q4-2024</v>
      </c>
      <c r="X146" t="str">
        <f t="shared" si="47"/>
        <v>Asia → China → Shenzhen</v>
      </c>
      <c r="Y146" t="str">
        <f t="shared" si="48"/>
        <v>Low</v>
      </c>
      <c r="Z146" s="20">
        <f t="shared" si="49"/>
        <v>45627</v>
      </c>
      <c r="AA146" s="4">
        <f t="array" ref="AA146">MIN(IF($F$2:$F$633=F146,$Z$2:$Z$633))</f>
        <v>44927</v>
      </c>
      <c r="AB146">
        <f t="shared" si="50"/>
        <v>23</v>
      </c>
      <c r="AC146">
        <f t="shared" si="51"/>
        <v>1</v>
      </c>
      <c r="AD146">
        <f t="shared" si="52"/>
        <v>0</v>
      </c>
      <c r="AE146" s="13">
        <f t="shared" si="53"/>
        <v>1</v>
      </c>
      <c r="AH146">
        <f t="shared" si="54"/>
        <v>21.599999999999998</v>
      </c>
      <c r="AI146">
        <f t="shared" si="55"/>
        <v>825.18249999999989</v>
      </c>
      <c r="AJ146" s="11">
        <f t="shared" si="56"/>
        <v>4.7E-2</v>
      </c>
      <c r="AK146">
        <f t="shared" si="57"/>
        <v>11248.152263999997</v>
      </c>
      <c r="AL146">
        <f t="shared" si="58"/>
        <v>17823.941999999995</v>
      </c>
      <c r="AM146">
        <f t="shared" si="59"/>
        <v>-6575.7897359999988</v>
      </c>
    </row>
    <row r="147" spans="1:39" x14ac:dyDescent="0.25">
      <c r="A147" t="s">
        <v>445</v>
      </c>
      <c r="B147" s="4">
        <v>45654</v>
      </c>
      <c r="C147" s="4">
        <v>45665</v>
      </c>
      <c r="D147" s="13">
        <f t="shared" si="40"/>
        <v>11</v>
      </c>
      <c r="E147" s="6" t="s">
        <v>647</v>
      </c>
      <c r="F147" t="s">
        <v>659</v>
      </c>
      <c r="G147" t="s">
        <v>676</v>
      </c>
      <c r="H147" t="s">
        <v>706</v>
      </c>
      <c r="I147" t="s">
        <v>708</v>
      </c>
      <c r="J147" t="s">
        <v>723</v>
      </c>
      <c r="K147" t="s">
        <v>731</v>
      </c>
      <c r="L147" t="s">
        <v>1164</v>
      </c>
      <c r="M147" s="8">
        <v>1201.31</v>
      </c>
      <c r="N147" s="8">
        <v>2764.65</v>
      </c>
      <c r="O147" s="8">
        <f t="shared" si="41"/>
        <v>2764.65</v>
      </c>
      <c r="P147" s="11">
        <v>0</v>
      </c>
      <c r="Q147" s="13">
        <v>21</v>
      </c>
      <c r="R147" s="8">
        <f t="shared" si="42"/>
        <v>58057.65</v>
      </c>
      <c r="S147" s="8">
        <f t="shared" si="43"/>
        <v>25227.51</v>
      </c>
      <c r="T147" s="8">
        <f t="shared" si="44"/>
        <v>32830.14</v>
      </c>
      <c r="U147" s="11">
        <f t="shared" si="45"/>
        <v>0.56547483406579491</v>
      </c>
      <c r="V147" s="17">
        <v>45186</v>
      </c>
      <c r="W147" s="4" t="str">
        <f t="shared" si="46"/>
        <v>Q4-2024</v>
      </c>
      <c r="X147" t="str">
        <f t="shared" si="47"/>
        <v>Asia → China → Shenzhen</v>
      </c>
      <c r="Y147" t="str">
        <f t="shared" si="48"/>
        <v>High</v>
      </c>
      <c r="Z147" s="20">
        <f t="shared" si="49"/>
        <v>45627</v>
      </c>
      <c r="AA147" s="4">
        <f t="array" ref="AA147">MIN(IF($F$2:$F$633=F147,$Z$2:$Z$633))</f>
        <v>44927</v>
      </c>
      <c r="AB147">
        <f t="shared" si="50"/>
        <v>23</v>
      </c>
      <c r="AC147">
        <f t="shared" si="51"/>
        <v>0</v>
      </c>
      <c r="AD147">
        <f t="shared" si="52"/>
        <v>0</v>
      </c>
      <c r="AE147" s="13">
        <f t="shared" si="53"/>
        <v>0</v>
      </c>
      <c r="AH147">
        <f t="shared" si="54"/>
        <v>25.2</v>
      </c>
      <c r="AI147">
        <f t="shared" si="55"/>
        <v>1381.5064999999997</v>
      </c>
      <c r="AJ147" s="11">
        <f t="shared" si="56"/>
        <v>0</v>
      </c>
      <c r="AK147">
        <f t="shared" si="57"/>
        <v>69669.180000000008</v>
      </c>
      <c r="AL147">
        <f t="shared" si="58"/>
        <v>34813.96379999999</v>
      </c>
      <c r="AM147">
        <f t="shared" si="59"/>
        <v>34855.216200000017</v>
      </c>
    </row>
    <row r="148" spans="1:39" x14ac:dyDescent="0.25">
      <c r="A148" t="s">
        <v>148</v>
      </c>
      <c r="B148" s="4">
        <v>45666</v>
      </c>
      <c r="C148" s="4">
        <v>45672</v>
      </c>
      <c r="D148" s="13">
        <f t="shared" si="40"/>
        <v>6</v>
      </c>
      <c r="E148" s="6" t="s">
        <v>647</v>
      </c>
      <c r="F148" t="s">
        <v>659</v>
      </c>
      <c r="G148" t="s">
        <v>699</v>
      </c>
      <c r="H148" t="s">
        <v>702</v>
      </c>
      <c r="I148" t="s">
        <v>708</v>
      </c>
      <c r="J148" t="s">
        <v>712</v>
      </c>
      <c r="K148" t="s">
        <v>730</v>
      </c>
      <c r="L148" t="s">
        <v>867</v>
      </c>
      <c r="M148" s="8">
        <v>304.77999999999997</v>
      </c>
      <c r="N148" s="8">
        <v>537.27</v>
      </c>
      <c r="O148" s="8">
        <f t="shared" si="41"/>
        <v>537.27</v>
      </c>
      <c r="P148" s="11">
        <v>0.187</v>
      </c>
      <c r="Q148" s="13">
        <v>8</v>
      </c>
      <c r="R148" s="8">
        <f t="shared" si="42"/>
        <v>3494.4040799999998</v>
      </c>
      <c r="S148" s="8">
        <f t="shared" si="43"/>
        <v>2438.2399999999998</v>
      </c>
      <c r="T148" s="8">
        <f t="shared" si="44"/>
        <v>1056.16408</v>
      </c>
      <c r="U148" s="11">
        <f t="shared" si="45"/>
        <v>0.3022444044307549</v>
      </c>
      <c r="V148" s="17">
        <v>45167</v>
      </c>
      <c r="W148" s="4" t="str">
        <f t="shared" si="46"/>
        <v>Q1-2025</v>
      </c>
      <c r="X148" t="str">
        <f t="shared" si="47"/>
        <v>Asia → China → Beijing</v>
      </c>
      <c r="Y148" t="str">
        <f t="shared" si="48"/>
        <v>Low</v>
      </c>
      <c r="Z148" s="20">
        <f t="shared" si="49"/>
        <v>45658</v>
      </c>
      <c r="AA148" s="4">
        <f t="array" ref="AA148">MIN(IF($F$2:$F$633=F148,$Z$2:$Z$633))</f>
        <v>44927</v>
      </c>
      <c r="AB148">
        <f t="shared" si="50"/>
        <v>24</v>
      </c>
      <c r="AC148">
        <f t="shared" si="51"/>
        <v>1</v>
      </c>
      <c r="AD148">
        <f t="shared" si="52"/>
        <v>0</v>
      </c>
      <c r="AE148" s="13">
        <f t="shared" si="53"/>
        <v>1</v>
      </c>
      <c r="AH148">
        <f t="shared" si="54"/>
        <v>9.6</v>
      </c>
      <c r="AI148">
        <f t="shared" si="55"/>
        <v>350.49699999999996</v>
      </c>
      <c r="AJ148" s="11">
        <f t="shared" si="56"/>
        <v>0.187</v>
      </c>
      <c r="AK148">
        <f t="shared" si="57"/>
        <v>4193.2848959999992</v>
      </c>
      <c r="AL148">
        <f t="shared" si="58"/>
        <v>3364.7711999999997</v>
      </c>
      <c r="AM148">
        <f t="shared" si="59"/>
        <v>828.51369599999953</v>
      </c>
    </row>
    <row r="149" spans="1:39" x14ac:dyDescent="0.25">
      <c r="A149" t="s">
        <v>115</v>
      </c>
      <c r="B149" s="4">
        <v>45684</v>
      </c>
      <c r="C149" s="4">
        <v>45703</v>
      </c>
      <c r="D149" s="13">
        <f t="shared" si="40"/>
        <v>19</v>
      </c>
      <c r="E149" s="6" t="s">
        <v>647</v>
      </c>
      <c r="F149" t="s">
        <v>659</v>
      </c>
      <c r="G149" t="s">
        <v>676</v>
      </c>
      <c r="H149" t="s">
        <v>703</v>
      </c>
      <c r="I149" t="s">
        <v>711</v>
      </c>
      <c r="J149" t="s">
        <v>716</v>
      </c>
      <c r="K149" t="s">
        <v>730</v>
      </c>
      <c r="L149" t="s">
        <v>834</v>
      </c>
      <c r="M149" s="8">
        <v>1253.22</v>
      </c>
      <c r="N149" s="8">
        <v>3104.71</v>
      </c>
      <c r="O149" s="8">
        <f t="shared" si="41"/>
        <v>3104.71</v>
      </c>
      <c r="P149" s="11">
        <v>0</v>
      </c>
      <c r="Q149" s="13">
        <v>17</v>
      </c>
      <c r="R149" s="8">
        <f t="shared" si="42"/>
        <v>52780.07</v>
      </c>
      <c r="S149" s="8">
        <f t="shared" si="43"/>
        <v>21304.74</v>
      </c>
      <c r="T149" s="8">
        <f t="shared" si="44"/>
        <v>31475.329999999998</v>
      </c>
      <c r="U149" s="11">
        <f t="shared" si="45"/>
        <v>0.59634877331538205</v>
      </c>
      <c r="V149" s="17">
        <v>45150</v>
      </c>
      <c r="W149" s="4" t="str">
        <f t="shared" si="46"/>
        <v>Q1-2025</v>
      </c>
      <c r="X149" t="str">
        <f t="shared" si="47"/>
        <v>Asia → China → Shenzhen</v>
      </c>
      <c r="Y149" t="str">
        <f t="shared" si="48"/>
        <v>High</v>
      </c>
      <c r="Z149" s="20">
        <f t="shared" si="49"/>
        <v>45658</v>
      </c>
      <c r="AA149" s="4">
        <f t="array" ref="AA149">MIN(IF($F$2:$F$633=F149,$Z$2:$Z$633))</f>
        <v>44927</v>
      </c>
      <c r="AB149">
        <f t="shared" si="50"/>
        <v>24</v>
      </c>
      <c r="AC149">
        <f t="shared" si="51"/>
        <v>0</v>
      </c>
      <c r="AD149">
        <f t="shared" si="52"/>
        <v>0</v>
      </c>
      <c r="AE149" s="13">
        <f t="shared" si="53"/>
        <v>0</v>
      </c>
      <c r="AH149">
        <f t="shared" si="54"/>
        <v>20.399999999999999</v>
      </c>
      <c r="AI149">
        <f t="shared" si="55"/>
        <v>1441.203</v>
      </c>
      <c r="AJ149" s="11">
        <f t="shared" si="56"/>
        <v>0</v>
      </c>
      <c r="AK149">
        <f t="shared" si="57"/>
        <v>63336.083999999995</v>
      </c>
      <c r="AL149">
        <f t="shared" si="58"/>
        <v>29400.541199999996</v>
      </c>
      <c r="AM149">
        <f t="shared" si="59"/>
        <v>33935.542799999996</v>
      </c>
    </row>
    <row r="150" spans="1:39" x14ac:dyDescent="0.25">
      <c r="A150" t="s">
        <v>432</v>
      </c>
      <c r="B150" s="4">
        <v>45730</v>
      </c>
      <c r="C150" s="4">
        <v>45755</v>
      </c>
      <c r="D150" s="13">
        <f t="shared" si="40"/>
        <v>25</v>
      </c>
      <c r="E150" s="6" t="s">
        <v>647</v>
      </c>
      <c r="F150" t="s">
        <v>659</v>
      </c>
      <c r="G150" t="s">
        <v>685</v>
      </c>
      <c r="H150" t="s">
        <v>701</v>
      </c>
      <c r="I150" t="s">
        <v>710</v>
      </c>
      <c r="J150" t="s">
        <v>726</v>
      </c>
      <c r="K150" t="s">
        <v>728</v>
      </c>
      <c r="L150" t="s">
        <v>1151</v>
      </c>
      <c r="M150" s="8">
        <v>80.59</v>
      </c>
      <c r="N150" s="8">
        <v>157.82</v>
      </c>
      <c r="O150" s="8">
        <f t="shared" si="41"/>
        <v>157.82</v>
      </c>
      <c r="P150" s="11">
        <v>0.217</v>
      </c>
      <c r="Q150" s="13">
        <v>6</v>
      </c>
      <c r="R150" s="8">
        <f t="shared" si="42"/>
        <v>741.43835999999999</v>
      </c>
      <c r="S150" s="8">
        <f t="shared" si="43"/>
        <v>483.54</v>
      </c>
      <c r="T150" s="8">
        <f t="shared" si="44"/>
        <v>257.89835999999997</v>
      </c>
      <c r="U150" s="11">
        <f t="shared" si="45"/>
        <v>0.34783519967863541</v>
      </c>
      <c r="V150" s="17">
        <v>45125</v>
      </c>
      <c r="W150" s="4" t="str">
        <f t="shared" si="46"/>
        <v>Q1-2025</v>
      </c>
      <c r="X150" t="str">
        <f t="shared" si="47"/>
        <v>Asia → China → Shanghai</v>
      </c>
      <c r="Y150" t="str">
        <f t="shared" si="48"/>
        <v>Low</v>
      </c>
      <c r="Z150" s="20">
        <f t="shared" si="49"/>
        <v>45717</v>
      </c>
      <c r="AA150" s="4">
        <f t="array" ref="AA150">MIN(IF($F$2:$F$633=F150,$Z$2:$Z$633))</f>
        <v>44927</v>
      </c>
      <c r="AB150">
        <f t="shared" si="50"/>
        <v>26</v>
      </c>
      <c r="AC150">
        <f t="shared" si="51"/>
        <v>0</v>
      </c>
      <c r="AD150">
        <f t="shared" si="52"/>
        <v>1</v>
      </c>
      <c r="AE150" s="13">
        <f t="shared" si="53"/>
        <v>0</v>
      </c>
      <c r="AH150">
        <f t="shared" si="54"/>
        <v>7.1999999999999993</v>
      </c>
      <c r="AI150">
        <f t="shared" si="55"/>
        <v>92.6785</v>
      </c>
      <c r="AJ150" s="11">
        <f t="shared" si="56"/>
        <v>0.217</v>
      </c>
      <c r="AK150">
        <f t="shared" si="57"/>
        <v>889.72603199999992</v>
      </c>
      <c r="AL150">
        <f t="shared" si="58"/>
        <v>667.28519999999992</v>
      </c>
      <c r="AM150">
        <f t="shared" si="59"/>
        <v>222.440832</v>
      </c>
    </row>
    <row r="151" spans="1:39" x14ac:dyDescent="0.25">
      <c r="A151" t="s">
        <v>517</v>
      </c>
      <c r="B151" s="4">
        <v>45740</v>
      </c>
      <c r="C151" s="4">
        <v>45741</v>
      </c>
      <c r="D151" s="13">
        <f t="shared" si="40"/>
        <v>1</v>
      </c>
      <c r="E151" s="6" t="s">
        <v>647</v>
      </c>
      <c r="F151" t="s">
        <v>659</v>
      </c>
      <c r="G151" t="s">
        <v>699</v>
      </c>
      <c r="H151" t="s">
        <v>703</v>
      </c>
      <c r="I151" t="s">
        <v>708</v>
      </c>
      <c r="J151" t="s">
        <v>715</v>
      </c>
      <c r="K151" t="s">
        <v>729</v>
      </c>
      <c r="L151" t="s">
        <v>1236</v>
      </c>
      <c r="M151" s="8">
        <v>1133.03</v>
      </c>
      <c r="N151" s="8">
        <v>1921.51</v>
      </c>
      <c r="O151" s="8">
        <f t="shared" si="41"/>
        <v>1921.51</v>
      </c>
      <c r="P151" s="11">
        <v>0.10100000000000001</v>
      </c>
      <c r="Q151" s="13">
        <v>5</v>
      </c>
      <c r="R151" s="8">
        <f t="shared" si="42"/>
        <v>8637.1874499999994</v>
      </c>
      <c r="S151" s="8">
        <f t="shared" si="43"/>
        <v>5665.15</v>
      </c>
      <c r="T151" s="8">
        <f t="shared" si="44"/>
        <v>2972.0374499999998</v>
      </c>
      <c r="U151" s="11">
        <f t="shared" si="45"/>
        <v>0.3440978289755654</v>
      </c>
      <c r="V151" s="17">
        <v>45100</v>
      </c>
      <c r="W151" s="4" t="str">
        <f t="shared" si="46"/>
        <v>Q1-2025</v>
      </c>
      <c r="X151" t="str">
        <f t="shared" si="47"/>
        <v>Asia → China → Beijing</v>
      </c>
      <c r="Y151" t="str">
        <f t="shared" si="48"/>
        <v>High</v>
      </c>
      <c r="Z151" s="20">
        <f t="shared" si="49"/>
        <v>45717</v>
      </c>
      <c r="AA151" s="4">
        <f t="array" ref="AA151">MIN(IF($F$2:$F$633=F151,$Z$2:$Z$633))</f>
        <v>44927</v>
      </c>
      <c r="AB151">
        <f t="shared" si="50"/>
        <v>26</v>
      </c>
      <c r="AC151">
        <f t="shared" si="51"/>
        <v>1</v>
      </c>
      <c r="AD151">
        <f t="shared" si="52"/>
        <v>0</v>
      </c>
      <c r="AE151" s="13">
        <f t="shared" si="53"/>
        <v>1</v>
      </c>
      <c r="AH151">
        <f t="shared" si="54"/>
        <v>6</v>
      </c>
      <c r="AI151">
        <f t="shared" si="55"/>
        <v>1302.9844999999998</v>
      </c>
      <c r="AJ151" s="11">
        <f t="shared" si="56"/>
        <v>0.10100000000000001</v>
      </c>
      <c r="AK151">
        <f t="shared" si="57"/>
        <v>10364.62494</v>
      </c>
      <c r="AL151">
        <f t="shared" si="58"/>
        <v>7817.9069999999992</v>
      </c>
      <c r="AM151">
        <f t="shared" si="59"/>
        <v>2546.7179400000005</v>
      </c>
    </row>
    <row r="152" spans="1:39" x14ac:dyDescent="0.25">
      <c r="A152" t="s">
        <v>255</v>
      </c>
      <c r="B152" s="4">
        <v>45793</v>
      </c>
      <c r="C152" s="4">
        <v>45804</v>
      </c>
      <c r="D152" s="13">
        <f t="shared" si="40"/>
        <v>11</v>
      </c>
      <c r="E152" s="6" t="s">
        <v>647</v>
      </c>
      <c r="F152" t="s">
        <v>659</v>
      </c>
      <c r="G152" t="s">
        <v>699</v>
      </c>
      <c r="H152" t="s">
        <v>706</v>
      </c>
      <c r="I152" t="s">
        <v>708</v>
      </c>
      <c r="J152" t="s">
        <v>721</v>
      </c>
      <c r="K152" t="s">
        <v>730</v>
      </c>
      <c r="L152" t="s">
        <v>975</v>
      </c>
      <c r="M152" s="8">
        <v>918.12</v>
      </c>
      <c r="N152" s="8">
        <v>1337.69</v>
      </c>
      <c r="O152" s="8">
        <f t="shared" si="41"/>
        <v>1337.69</v>
      </c>
      <c r="P152" s="11">
        <v>9.5000000000000001E-2</v>
      </c>
      <c r="Q152" s="13">
        <v>8</v>
      </c>
      <c r="R152" s="8">
        <f t="shared" si="42"/>
        <v>9684.8756000000012</v>
      </c>
      <c r="S152" s="8">
        <f t="shared" si="43"/>
        <v>7344.96</v>
      </c>
      <c r="T152" s="8">
        <f t="shared" si="44"/>
        <v>2339.9156000000012</v>
      </c>
      <c r="U152" s="11">
        <f t="shared" si="45"/>
        <v>0.24160512707050164</v>
      </c>
      <c r="V152" s="17">
        <v>45069</v>
      </c>
      <c r="W152" s="4" t="str">
        <f t="shared" si="46"/>
        <v>Q2-2025</v>
      </c>
      <c r="X152" t="str">
        <f t="shared" si="47"/>
        <v>Asia → China → Beijing</v>
      </c>
      <c r="Y152" t="str">
        <f t="shared" si="48"/>
        <v>Medium</v>
      </c>
      <c r="Z152" s="20">
        <f t="shared" si="49"/>
        <v>45778</v>
      </c>
      <c r="AA152" s="4">
        <f t="array" ref="AA152">MIN(IF($F$2:$F$633=F152,$Z$2:$Z$633))</f>
        <v>44927</v>
      </c>
      <c r="AB152">
        <f t="shared" si="50"/>
        <v>28</v>
      </c>
      <c r="AC152">
        <f t="shared" si="51"/>
        <v>0</v>
      </c>
      <c r="AD152">
        <f t="shared" si="52"/>
        <v>0</v>
      </c>
      <c r="AE152" s="13">
        <f t="shared" si="53"/>
        <v>0</v>
      </c>
      <c r="AH152">
        <f t="shared" si="54"/>
        <v>9.6</v>
      </c>
      <c r="AI152">
        <f t="shared" si="55"/>
        <v>1055.838</v>
      </c>
      <c r="AJ152" s="11">
        <f t="shared" si="56"/>
        <v>9.5000000000000001E-2</v>
      </c>
      <c r="AK152">
        <f t="shared" si="57"/>
        <v>11621.85072</v>
      </c>
      <c r="AL152">
        <f t="shared" si="58"/>
        <v>10136.0448</v>
      </c>
      <c r="AM152">
        <f t="shared" si="59"/>
        <v>1485.8059200000007</v>
      </c>
    </row>
    <row r="153" spans="1:39" x14ac:dyDescent="0.25">
      <c r="A153" t="s">
        <v>52</v>
      </c>
      <c r="B153" s="4">
        <v>45832</v>
      </c>
      <c r="C153" s="4">
        <v>45848</v>
      </c>
      <c r="D153" s="13">
        <f t="shared" si="40"/>
        <v>16</v>
      </c>
      <c r="E153" s="6" t="s">
        <v>647</v>
      </c>
      <c r="F153" t="s">
        <v>659</v>
      </c>
      <c r="G153" t="s">
        <v>685</v>
      </c>
      <c r="H153" t="s">
        <v>706</v>
      </c>
      <c r="I153" t="s">
        <v>711</v>
      </c>
      <c r="J153" t="s">
        <v>725</v>
      </c>
      <c r="K153" t="s">
        <v>727</v>
      </c>
      <c r="L153" t="s">
        <v>771</v>
      </c>
      <c r="M153" s="8">
        <v>757.19</v>
      </c>
      <c r="N153" s="8">
        <v>1735.41</v>
      </c>
      <c r="O153" s="8">
        <f t="shared" si="41"/>
        <v>1735.41</v>
      </c>
      <c r="P153" s="11">
        <v>0.13600000000000001</v>
      </c>
      <c r="Q153" s="13">
        <v>8</v>
      </c>
      <c r="R153" s="8">
        <f t="shared" si="42"/>
        <v>11995.153920000001</v>
      </c>
      <c r="S153" s="8">
        <f t="shared" si="43"/>
        <v>6057.52</v>
      </c>
      <c r="T153" s="8">
        <f t="shared" si="44"/>
        <v>5937.6339200000002</v>
      </c>
      <c r="U153" s="11">
        <f t="shared" si="45"/>
        <v>0.4950027285685718</v>
      </c>
      <c r="V153" s="17">
        <v>45029</v>
      </c>
      <c r="W153" s="4" t="str">
        <f t="shared" si="46"/>
        <v>Q2-2025</v>
      </c>
      <c r="X153" t="str">
        <f t="shared" si="47"/>
        <v>Asia → China → Shanghai</v>
      </c>
      <c r="Y153" t="str">
        <f t="shared" si="48"/>
        <v>High</v>
      </c>
      <c r="Z153" s="20">
        <f t="shared" si="49"/>
        <v>45809</v>
      </c>
      <c r="AA153" s="4">
        <f t="array" ref="AA153">MIN(IF($F$2:$F$633=F153,$Z$2:$Z$633))</f>
        <v>44927</v>
      </c>
      <c r="AB153">
        <f t="shared" si="50"/>
        <v>29</v>
      </c>
      <c r="AC153">
        <f t="shared" si="51"/>
        <v>0</v>
      </c>
      <c r="AD153">
        <f t="shared" si="52"/>
        <v>0</v>
      </c>
      <c r="AE153" s="13">
        <f t="shared" si="53"/>
        <v>0</v>
      </c>
      <c r="AH153">
        <f t="shared" si="54"/>
        <v>9.6</v>
      </c>
      <c r="AI153">
        <f t="shared" si="55"/>
        <v>870.76850000000002</v>
      </c>
      <c r="AJ153" s="11">
        <f t="shared" si="56"/>
        <v>0.13600000000000001</v>
      </c>
      <c r="AK153">
        <f t="shared" si="57"/>
        <v>14394.184704000001</v>
      </c>
      <c r="AL153">
        <f t="shared" si="58"/>
        <v>8359.3775999999998</v>
      </c>
      <c r="AM153">
        <f t="shared" si="59"/>
        <v>6034.8071040000013</v>
      </c>
    </row>
    <row r="154" spans="1:39" x14ac:dyDescent="0.25">
      <c r="A154" t="s">
        <v>390</v>
      </c>
      <c r="B154" s="4">
        <v>45835</v>
      </c>
      <c r="C154" s="4">
        <v>45849</v>
      </c>
      <c r="D154" s="13">
        <f t="shared" si="40"/>
        <v>14</v>
      </c>
      <c r="E154" s="6" t="s">
        <v>647</v>
      </c>
      <c r="F154" t="s">
        <v>659</v>
      </c>
      <c r="G154" t="s">
        <v>685</v>
      </c>
      <c r="H154" t="s">
        <v>705</v>
      </c>
      <c r="I154" t="s">
        <v>709</v>
      </c>
      <c r="J154" t="s">
        <v>716</v>
      </c>
      <c r="K154" t="s">
        <v>729</v>
      </c>
      <c r="L154" t="s">
        <v>1110</v>
      </c>
      <c r="M154" s="8">
        <v>1227.7</v>
      </c>
      <c r="N154" s="8">
        <v>2197.23</v>
      </c>
      <c r="O154" s="8">
        <f t="shared" si="41"/>
        <v>2197.23</v>
      </c>
      <c r="P154" s="11">
        <v>9.9000000000000005E-2</v>
      </c>
      <c r="Q154" s="13">
        <v>22</v>
      </c>
      <c r="R154" s="8">
        <f t="shared" si="42"/>
        <v>43553.493060000001</v>
      </c>
      <c r="S154" s="8">
        <f t="shared" si="43"/>
        <v>27009.4</v>
      </c>
      <c r="T154" s="8">
        <f t="shared" si="44"/>
        <v>16544.093059999999</v>
      </c>
      <c r="U154" s="11">
        <f t="shared" si="45"/>
        <v>0.37985685871873898</v>
      </c>
      <c r="V154" s="17">
        <v>45028</v>
      </c>
      <c r="W154" s="4" t="str">
        <f t="shared" si="46"/>
        <v>Q2-2025</v>
      </c>
      <c r="X154" t="str">
        <f t="shared" si="47"/>
        <v>Asia → China → Shanghai</v>
      </c>
      <c r="Y154" t="str">
        <f t="shared" si="48"/>
        <v>High</v>
      </c>
      <c r="Z154" s="20">
        <f t="shared" si="49"/>
        <v>45809</v>
      </c>
      <c r="AA154" s="4">
        <f t="array" ref="AA154">MIN(IF($F$2:$F$633=F154,$Z$2:$Z$633))</f>
        <v>44927</v>
      </c>
      <c r="AB154">
        <f t="shared" si="50"/>
        <v>29</v>
      </c>
      <c r="AC154">
        <f t="shared" si="51"/>
        <v>0</v>
      </c>
      <c r="AD154">
        <f t="shared" si="52"/>
        <v>0</v>
      </c>
      <c r="AE154" s="13">
        <f t="shared" si="53"/>
        <v>0</v>
      </c>
      <c r="AH154">
        <f t="shared" si="54"/>
        <v>26.4</v>
      </c>
      <c r="AI154">
        <f t="shared" si="55"/>
        <v>1411.855</v>
      </c>
      <c r="AJ154" s="11">
        <f t="shared" si="56"/>
        <v>9.9000000000000005E-2</v>
      </c>
      <c r="AK154">
        <f t="shared" si="57"/>
        <v>52264.191672000001</v>
      </c>
      <c r="AL154">
        <f t="shared" si="58"/>
        <v>37272.972000000002</v>
      </c>
      <c r="AM154">
        <f t="shared" si="59"/>
        <v>14991.219671999999</v>
      </c>
    </row>
    <row r="155" spans="1:39" x14ac:dyDescent="0.25">
      <c r="A155" t="s">
        <v>486</v>
      </c>
      <c r="B155" s="4">
        <v>45841</v>
      </c>
      <c r="C155" s="4">
        <v>45861</v>
      </c>
      <c r="D155" s="13">
        <f t="shared" si="40"/>
        <v>20</v>
      </c>
      <c r="E155" s="6" t="s">
        <v>647</v>
      </c>
      <c r="F155" t="s">
        <v>659</v>
      </c>
      <c r="G155" t="s">
        <v>699</v>
      </c>
      <c r="H155" t="s">
        <v>705</v>
      </c>
      <c r="I155" t="s">
        <v>708</v>
      </c>
      <c r="J155" t="s">
        <v>724</v>
      </c>
      <c r="K155" t="s">
        <v>727</v>
      </c>
      <c r="L155" t="s">
        <v>1205</v>
      </c>
      <c r="M155" s="8">
        <v>647.36</v>
      </c>
      <c r="N155" s="8">
        <v>1383.6</v>
      </c>
      <c r="O155" s="8">
        <f t="shared" si="41"/>
        <v>1383.6</v>
      </c>
      <c r="P155" s="11">
        <v>7.3999999999999996E-2</v>
      </c>
      <c r="Q155" s="13">
        <v>12</v>
      </c>
      <c r="R155" s="8">
        <f t="shared" si="42"/>
        <v>15374.563199999999</v>
      </c>
      <c r="S155" s="8">
        <f t="shared" si="43"/>
        <v>7768.32</v>
      </c>
      <c r="T155" s="8">
        <f t="shared" si="44"/>
        <v>7606.243199999999</v>
      </c>
      <c r="U155" s="11">
        <f t="shared" si="45"/>
        <v>0.49472906000997802</v>
      </c>
      <c r="V155" s="17">
        <v>45019</v>
      </c>
      <c r="W155" s="4" t="str">
        <f t="shared" si="46"/>
        <v>Q3-2025</v>
      </c>
      <c r="X155" t="str">
        <f t="shared" si="47"/>
        <v>Asia → China → Beijing</v>
      </c>
      <c r="Y155" t="str">
        <f t="shared" si="48"/>
        <v>Medium</v>
      </c>
      <c r="Z155" s="20">
        <f t="shared" si="49"/>
        <v>45839</v>
      </c>
      <c r="AA155" s="4">
        <f t="array" ref="AA155">MIN(IF($F$2:$F$633=F155,$Z$2:$Z$633))</f>
        <v>44927</v>
      </c>
      <c r="AB155">
        <f t="shared" si="50"/>
        <v>30</v>
      </c>
      <c r="AC155">
        <f t="shared" si="51"/>
        <v>0</v>
      </c>
      <c r="AD155">
        <f t="shared" si="52"/>
        <v>0</v>
      </c>
      <c r="AE155" s="13">
        <f t="shared" si="53"/>
        <v>0</v>
      </c>
      <c r="AH155">
        <f t="shared" si="54"/>
        <v>14.399999999999999</v>
      </c>
      <c r="AI155">
        <f t="shared" si="55"/>
        <v>744.46399999999994</v>
      </c>
      <c r="AJ155" s="11">
        <f t="shared" si="56"/>
        <v>7.3999999999999996E-2</v>
      </c>
      <c r="AK155">
        <f t="shared" si="57"/>
        <v>18449.475839999999</v>
      </c>
      <c r="AL155">
        <f t="shared" si="58"/>
        <v>10720.281599999998</v>
      </c>
      <c r="AM155">
        <f t="shared" si="59"/>
        <v>7729.1942400000007</v>
      </c>
    </row>
    <row r="156" spans="1:39" x14ac:dyDescent="0.25">
      <c r="A156" t="s">
        <v>113</v>
      </c>
      <c r="B156" s="4">
        <v>45860</v>
      </c>
      <c r="C156" s="4">
        <v>45887</v>
      </c>
      <c r="D156" s="13">
        <f t="shared" si="40"/>
        <v>27</v>
      </c>
      <c r="E156" s="6" t="s">
        <v>647</v>
      </c>
      <c r="F156" t="s">
        <v>659</v>
      </c>
      <c r="G156" t="s">
        <v>676</v>
      </c>
      <c r="H156" t="s">
        <v>703</v>
      </c>
      <c r="I156" t="s">
        <v>709</v>
      </c>
      <c r="J156" t="s">
        <v>724</v>
      </c>
      <c r="K156" t="s">
        <v>729</v>
      </c>
      <c r="L156" t="s">
        <v>832</v>
      </c>
      <c r="M156" s="8">
        <v>547.32000000000005</v>
      </c>
      <c r="N156" s="8">
        <v>419.17</v>
      </c>
      <c r="O156" s="8">
        <f t="shared" si="41"/>
        <v>419.17</v>
      </c>
      <c r="P156" s="11">
        <v>9.1999999999999998E-2</v>
      </c>
      <c r="Q156" s="13">
        <v>14</v>
      </c>
      <c r="R156" s="8">
        <f t="shared" si="42"/>
        <v>5328.4890400000004</v>
      </c>
      <c r="S156" s="8">
        <f t="shared" si="43"/>
        <v>7662.4800000000005</v>
      </c>
      <c r="T156" s="8">
        <f t="shared" si="44"/>
        <v>-2333.9909600000001</v>
      </c>
      <c r="U156" s="11">
        <f t="shared" si="45"/>
        <v>-0.43802116181137907</v>
      </c>
      <c r="V156" s="17">
        <v>44999</v>
      </c>
      <c r="W156" s="4" t="str">
        <f t="shared" si="46"/>
        <v>Q3-2025</v>
      </c>
      <c r="X156" t="str">
        <f t="shared" si="47"/>
        <v>Asia → China → Shenzhen</v>
      </c>
      <c r="Y156" t="str">
        <f t="shared" si="48"/>
        <v>Low</v>
      </c>
      <c r="Z156" s="20">
        <f t="shared" si="49"/>
        <v>45839</v>
      </c>
      <c r="AA156" s="4">
        <f t="array" ref="AA156">MIN(IF($F$2:$F$633=F156,$Z$2:$Z$633))</f>
        <v>44927</v>
      </c>
      <c r="AB156">
        <f t="shared" si="50"/>
        <v>30</v>
      </c>
      <c r="AC156">
        <f t="shared" si="51"/>
        <v>0</v>
      </c>
      <c r="AD156">
        <f t="shared" si="52"/>
        <v>0</v>
      </c>
      <c r="AE156" s="13">
        <f t="shared" si="53"/>
        <v>0</v>
      </c>
      <c r="AH156">
        <f t="shared" si="54"/>
        <v>16.8</v>
      </c>
      <c r="AI156">
        <f t="shared" si="55"/>
        <v>629.41800000000001</v>
      </c>
      <c r="AJ156" s="11">
        <f t="shared" si="56"/>
        <v>9.1999999999999998E-2</v>
      </c>
      <c r="AK156">
        <f t="shared" si="57"/>
        <v>6394.1868480000003</v>
      </c>
      <c r="AL156">
        <f t="shared" si="58"/>
        <v>10574.222400000001</v>
      </c>
      <c r="AM156">
        <f t="shared" si="59"/>
        <v>-4180.0355520000003</v>
      </c>
    </row>
    <row r="157" spans="1:39" x14ac:dyDescent="0.25">
      <c r="A157" t="s">
        <v>174</v>
      </c>
      <c r="B157" s="4">
        <v>45870</v>
      </c>
      <c r="C157" s="4">
        <v>45890</v>
      </c>
      <c r="D157" s="13">
        <f t="shared" si="40"/>
        <v>20</v>
      </c>
      <c r="E157" s="6" t="s">
        <v>647</v>
      </c>
      <c r="F157" t="s">
        <v>659</v>
      </c>
      <c r="G157" t="s">
        <v>685</v>
      </c>
      <c r="H157" t="s">
        <v>701</v>
      </c>
      <c r="I157" t="s">
        <v>711</v>
      </c>
      <c r="J157" t="s">
        <v>714</v>
      </c>
      <c r="K157" t="s">
        <v>730</v>
      </c>
      <c r="L157" t="s">
        <v>893</v>
      </c>
      <c r="M157" s="8">
        <v>1220.4100000000001</v>
      </c>
      <c r="N157" s="8">
        <v>2552.2199999999998</v>
      </c>
      <c r="O157" s="8">
        <f t="shared" si="41"/>
        <v>2552.2199999999998</v>
      </c>
      <c r="P157" s="11">
        <v>0.18099999999999999</v>
      </c>
      <c r="Q157" s="13">
        <v>14</v>
      </c>
      <c r="R157" s="8">
        <f t="shared" si="42"/>
        <v>29263.754519999995</v>
      </c>
      <c r="S157" s="8">
        <f t="shared" si="43"/>
        <v>17085.740000000002</v>
      </c>
      <c r="T157" s="8">
        <f t="shared" si="44"/>
        <v>12178.014519999993</v>
      </c>
      <c r="U157" s="11">
        <f t="shared" si="45"/>
        <v>0.41614668793360271</v>
      </c>
      <c r="V157" s="17">
        <v>44988</v>
      </c>
      <c r="W157" s="4" t="str">
        <f t="shared" si="46"/>
        <v>Q3-2025</v>
      </c>
      <c r="X157" t="str">
        <f t="shared" si="47"/>
        <v>Asia → China → Shanghai</v>
      </c>
      <c r="Y157" t="str">
        <f t="shared" si="48"/>
        <v>High</v>
      </c>
      <c r="Z157" s="20">
        <f t="shared" si="49"/>
        <v>45870</v>
      </c>
      <c r="AA157" s="4">
        <f t="array" ref="AA157">MIN(IF($F$2:$F$633=F157,$Z$2:$Z$633))</f>
        <v>44927</v>
      </c>
      <c r="AB157">
        <f t="shared" si="50"/>
        <v>31</v>
      </c>
      <c r="AC157">
        <f t="shared" si="51"/>
        <v>0</v>
      </c>
      <c r="AD157">
        <f t="shared" si="52"/>
        <v>0</v>
      </c>
      <c r="AE157" s="13">
        <f t="shared" si="53"/>
        <v>0</v>
      </c>
      <c r="AH157">
        <f t="shared" si="54"/>
        <v>16.8</v>
      </c>
      <c r="AI157">
        <f t="shared" si="55"/>
        <v>1403.4714999999999</v>
      </c>
      <c r="AJ157" s="11">
        <f t="shared" si="56"/>
        <v>0.18099999999999999</v>
      </c>
      <c r="AK157">
        <f t="shared" si="57"/>
        <v>35116.505423999995</v>
      </c>
      <c r="AL157">
        <f t="shared" si="58"/>
        <v>23578.321199999998</v>
      </c>
      <c r="AM157">
        <f t="shared" si="59"/>
        <v>11538.184223999997</v>
      </c>
    </row>
    <row r="158" spans="1:39" x14ac:dyDescent="0.25">
      <c r="A158" t="s">
        <v>194</v>
      </c>
      <c r="B158" s="4">
        <v>45890</v>
      </c>
      <c r="C158" s="4">
        <v>45912</v>
      </c>
      <c r="D158" s="13">
        <f t="shared" si="40"/>
        <v>22</v>
      </c>
      <c r="E158" s="6" t="s">
        <v>647</v>
      </c>
      <c r="F158" t="s">
        <v>659</v>
      </c>
      <c r="G158" t="s">
        <v>676</v>
      </c>
      <c r="H158" t="s">
        <v>702</v>
      </c>
      <c r="I158" t="s">
        <v>707</v>
      </c>
      <c r="J158" t="s">
        <v>717</v>
      </c>
      <c r="K158" t="s">
        <v>728</v>
      </c>
      <c r="L158" t="s">
        <v>913</v>
      </c>
      <c r="M158" s="8">
        <v>352.66</v>
      </c>
      <c r="N158" s="8">
        <v>411.18</v>
      </c>
      <c r="O158" s="8">
        <f t="shared" si="41"/>
        <v>411.18</v>
      </c>
      <c r="P158" s="11">
        <v>0.17299999999999999</v>
      </c>
      <c r="Q158" s="13">
        <v>13</v>
      </c>
      <c r="R158" s="8">
        <f t="shared" si="42"/>
        <v>4420.5961799999995</v>
      </c>
      <c r="S158" s="8">
        <f t="shared" si="43"/>
        <v>4584.58</v>
      </c>
      <c r="T158" s="8">
        <f t="shared" si="44"/>
        <v>-163.98382000000038</v>
      </c>
      <c r="U158" s="11">
        <f t="shared" si="45"/>
        <v>-3.7095408248758066E-2</v>
      </c>
      <c r="V158" s="17">
        <v>44972</v>
      </c>
      <c r="W158" s="4" t="str">
        <f t="shared" si="46"/>
        <v>Q3-2025</v>
      </c>
      <c r="X158" t="str">
        <f t="shared" si="47"/>
        <v>Asia → China → Shenzhen</v>
      </c>
      <c r="Y158" t="str">
        <f t="shared" si="48"/>
        <v>Low</v>
      </c>
      <c r="Z158" s="20">
        <f t="shared" si="49"/>
        <v>45870</v>
      </c>
      <c r="AA158" s="4">
        <f t="array" ref="AA158">MIN(IF($F$2:$F$633=F158,$Z$2:$Z$633))</f>
        <v>44927</v>
      </c>
      <c r="AB158">
        <f t="shared" si="50"/>
        <v>31</v>
      </c>
      <c r="AC158">
        <f t="shared" si="51"/>
        <v>0</v>
      </c>
      <c r="AD158">
        <f t="shared" si="52"/>
        <v>0</v>
      </c>
      <c r="AE158" s="13">
        <f t="shared" si="53"/>
        <v>0</v>
      </c>
      <c r="AH158">
        <f t="shared" si="54"/>
        <v>15.6</v>
      </c>
      <c r="AI158">
        <f t="shared" si="55"/>
        <v>405.55899999999997</v>
      </c>
      <c r="AJ158" s="11">
        <f t="shared" si="56"/>
        <v>0.17299999999999999</v>
      </c>
      <c r="AK158">
        <f t="shared" si="57"/>
        <v>5304.715416</v>
      </c>
      <c r="AL158">
        <f t="shared" si="58"/>
        <v>6326.7203999999992</v>
      </c>
      <c r="AM158">
        <f t="shared" si="59"/>
        <v>-1022.0049839999992</v>
      </c>
    </row>
    <row r="159" spans="1:39" x14ac:dyDescent="0.25">
      <c r="A159" t="s">
        <v>323</v>
      </c>
      <c r="B159" s="4">
        <v>44936</v>
      </c>
      <c r="C159" s="4">
        <v>44955</v>
      </c>
      <c r="D159" s="13">
        <f t="shared" si="40"/>
        <v>19</v>
      </c>
      <c r="E159" s="6" t="s">
        <v>649</v>
      </c>
      <c r="F159" t="s">
        <v>657</v>
      </c>
      <c r="G159" t="s">
        <v>679</v>
      </c>
      <c r="H159" t="s">
        <v>703</v>
      </c>
      <c r="I159" t="s">
        <v>711</v>
      </c>
      <c r="J159" t="s">
        <v>726</v>
      </c>
      <c r="K159" t="s">
        <v>731</v>
      </c>
      <c r="L159" t="s">
        <v>1043</v>
      </c>
      <c r="M159" s="8">
        <v>401.66</v>
      </c>
      <c r="N159" s="8">
        <v>772.09</v>
      </c>
      <c r="O159" s="8">
        <f t="shared" si="41"/>
        <v>772.09</v>
      </c>
      <c r="P159" s="11">
        <v>8.8999999999999996E-2</v>
      </c>
      <c r="Q159" s="13">
        <v>14</v>
      </c>
      <c r="R159" s="8">
        <f t="shared" si="42"/>
        <v>9847.2358600000007</v>
      </c>
      <c r="S159" s="8">
        <f t="shared" si="43"/>
        <v>5623.2400000000007</v>
      </c>
      <c r="T159" s="8">
        <f t="shared" si="44"/>
        <v>4223.99586</v>
      </c>
      <c r="U159" s="11">
        <f t="shared" si="45"/>
        <v>0.42895244107619046</v>
      </c>
      <c r="V159" s="17">
        <v>45910</v>
      </c>
      <c r="W159" s="4" t="str">
        <f t="shared" si="46"/>
        <v>Q1-2023</v>
      </c>
      <c r="X159" t="str">
        <f t="shared" si="47"/>
        <v>Europe → France → Lyon</v>
      </c>
      <c r="Y159" t="str">
        <f t="shared" si="48"/>
        <v>Low</v>
      </c>
      <c r="Z159" s="20">
        <f t="shared" si="49"/>
        <v>44927</v>
      </c>
      <c r="AA159" s="4">
        <f t="array" ref="AA159">MIN(IF($F$2:$F$633=F159,$Z$2:$Z$633))</f>
        <v>44927</v>
      </c>
      <c r="AB159">
        <f t="shared" si="50"/>
        <v>0</v>
      </c>
      <c r="AC159">
        <f t="shared" si="51"/>
        <v>0</v>
      </c>
      <c r="AD159">
        <f t="shared" si="52"/>
        <v>0</v>
      </c>
      <c r="AE159" s="13">
        <f t="shared" si="53"/>
        <v>0</v>
      </c>
      <c r="AH159">
        <f t="shared" si="54"/>
        <v>16.8</v>
      </c>
      <c r="AI159">
        <f t="shared" si="55"/>
        <v>461.90899999999999</v>
      </c>
      <c r="AJ159" s="11">
        <f t="shared" si="56"/>
        <v>8.8999999999999996E-2</v>
      </c>
      <c r="AK159">
        <f t="shared" si="57"/>
        <v>11816.683032000001</v>
      </c>
      <c r="AL159">
        <f t="shared" si="58"/>
        <v>7760.0712000000003</v>
      </c>
      <c r="AM159">
        <f t="shared" si="59"/>
        <v>4056.6118320000005</v>
      </c>
    </row>
    <row r="160" spans="1:39" x14ac:dyDescent="0.25">
      <c r="A160" t="s">
        <v>336</v>
      </c>
      <c r="B160" s="4">
        <v>44984</v>
      </c>
      <c r="C160" s="4">
        <v>44985</v>
      </c>
      <c r="D160" s="13">
        <f t="shared" si="40"/>
        <v>1</v>
      </c>
      <c r="E160" s="6" t="s">
        <v>649</v>
      </c>
      <c r="F160" t="s">
        <v>657</v>
      </c>
      <c r="G160" t="s">
        <v>673</v>
      </c>
      <c r="H160" t="s">
        <v>701</v>
      </c>
      <c r="I160" t="s">
        <v>707</v>
      </c>
      <c r="J160" t="s">
        <v>723</v>
      </c>
      <c r="K160" t="s">
        <v>729</v>
      </c>
      <c r="L160" t="s">
        <v>1056</v>
      </c>
      <c r="M160" s="8">
        <v>1299.81</v>
      </c>
      <c r="N160" s="8">
        <v>3149.13</v>
      </c>
      <c r="O160" s="8">
        <f t="shared" si="41"/>
        <v>3149.13</v>
      </c>
      <c r="P160" s="11">
        <v>0.10299999999999999</v>
      </c>
      <c r="Q160" s="13">
        <v>14</v>
      </c>
      <c r="R160" s="8">
        <f t="shared" si="42"/>
        <v>39546.774539999999</v>
      </c>
      <c r="S160" s="8">
        <f t="shared" si="43"/>
        <v>18197.34</v>
      </c>
      <c r="T160" s="8">
        <f t="shared" si="44"/>
        <v>21349.434539999998</v>
      </c>
      <c r="U160" s="11">
        <f t="shared" si="45"/>
        <v>0.53985273864511729</v>
      </c>
      <c r="V160" s="17">
        <v>45876</v>
      </c>
      <c r="W160" s="4" t="str">
        <f t="shared" si="46"/>
        <v>Q1-2023</v>
      </c>
      <c r="X160" t="str">
        <f t="shared" si="47"/>
        <v>Europe → France → Marseille</v>
      </c>
      <c r="Y160" t="str">
        <f t="shared" si="48"/>
        <v>High</v>
      </c>
      <c r="Z160" s="20">
        <f t="shared" si="49"/>
        <v>44958</v>
      </c>
      <c r="AA160" s="4">
        <f t="array" ref="AA160">MIN(IF($F$2:$F$633=F160,$Z$2:$Z$633))</f>
        <v>44927</v>
      </c>
      <c r="AB160">
        <f t="shared" si="50"/>
        <v>1</v>
      </c>
      <c r="AC160">
        <f t="shared" si="51"/>
        <v>1</v>
      </c>
      <c r="AD160">
        <f t="shared" si="52"/>
        <v>0</v>
      </c>
      <c r="AE160" s="13">
        <f t="shared" si="53"/>
        <v>1</v>
      </c>
      <c r="AH160">
        <f t="shared" si="54"/>
        <v>16.8</v>
      </c>
      <c r="AI160">
        <f t="shared" si="55"/>
        <v>1494.7814999999998</v>
      </c>
      <c r="AJ160" s="11">
        <f t="shared" si="56"/>
        <v>0.10299999999999999</v>
      </c>
      <c r="AK160">
        <f t="shared" si="57"/>
        <v>47456.129448000007</v>
      </c>
      <c r="AL160">
        <f t="shared" si="58"/>
        <v>25112.329199999996</v>
      </c>
      <c r="AM160">
        <f t="shared" si="59"/>
        <v>22343.80024800001</v>
      </c>
    </row>
    <row r="161" spans="1:39" x14ac:dyDescent="0.25">
      <c r="A161" t="s">
        <v>604</v>
      </c>
      <c r="B161" s="4">
        <v>45019</v>
      </c>
      <c r="C161" s="4">
        <v>45032</v>
      </c>
      <c r="D161" s="13">
        <f t="shared" si="40"/>
        <v>13</v>
      </c>
      <c r="E161" s="6" t="s">
        <v>649</v>
      </c>
      <c r="F161" t="s">
        <v>657</v>
      </c>
      <c r="G161" t="s">
        <v>673</v>
      </c>
      <c r="H161" t="s">
        <v>703</v>
      </c>
      <c r="I161" t="s">
        <v>709</v>
      </c>
      <c r="J161" t="s">
        <v>724</v>
      </c>
      <c r="K161" t="s">
        <v>733</v>
      </c>
      <c r="L161" t="s">
        <v>1322</v>
      </c>
      <c r="M161" s="8">
        <v>790.54</v>
      </c>
      <c r="N161" s="8">
        <v>601.49</v>
      </c>
      <c r="O161" s="8">
        <f t="shared" si="41"/>
        <v>601.49</v>
      </c>
      <c r="P161" s="11">
        <v>0</v>
      </c>
      <c r="Q161" s="13">
        <v>15</v>
      </c>
      <c r="R161" s="8">
        <f t="shared" si="42"/>
        <v>9022.35</v>
      </c>
      <c r="S161" s="8">
        <f t="shared" si="43"/>
        <v>11858.099999999999</v>
      </c>
      <c r="T161" s="8">
        <f t="shared" si="44"/>
        <v>-2835.7499999999982</v>
      </c>
      <c r="U161" s="11">
        <f t="shared" si="45"/>
        <v>-0.31430281467688553</v>
      </c>
      <c r="V161" s="17">
        <v>45854</v>
      </c>
      <c r="W161" s="4" t="str">
        <f t="shared" si="46"/>
        <v>Q2-2023</v>
      </c>
      <c r="X161" t="str">
        <f t="shared" si="47"/>
        <v>Europe → France → Marseille</v>
      </c>
      <c r="Y161" t="str">
        <f t="shared" si="48"/>
        <v>Low</v>
      </c>
      <c r="Z161" s="20">
        <f t="shared" si="49"/>
        <v>45017</v>
      </c>
      <c r="AA161" s="4">
        <f t="array" ref="AA161">MIN(IF($F$2:$F$633=F161,$Z$2:$Z$633))</f>
        <v>44927</v>
      </c>
      <c r="AB161">
        <f t="shared" si="50"/>
        <v>3</v>
      </c>
      <c r="AC161">
        <f t="shared" si="51"/>
        <v>0</v>
      </c>
      <c r="AD161">
        <f t="shared" si="52"/>
        <v>0</v>
      </c>
      <c r="AE161" s="13">
        <f t="shared" si="53"/>
        <v>0</v>
      </c>
      <c r="AH161">
        <f t="shared" si="54"/>
        <v>18</v>
      </c>
      <c r="AI161">
        <f t="shared" si="55"/>
        <v>909.12099999999987</v>
      </c>
      <c r="AJ161" s="11">
        <f t="shared" si="56"/>
        <v>0</v>
      </c>
      <c r="AK161">
        <f t="shared" si="57"/>
        <v>10826.82</v>
      </c>
      <c r="AL161">
        <f t="shared" si="58"/>
        <v>16364.177999999998</v>
      </c>
      <c r="AM161">
        <f t="shared" si="59"/>
        <v>-5537.3579999999984</v>
      </c>
    </row>
    <row r="162" spans="1:39" x14ac:dyDescent="0.25">
      <c r="A162" t="s">
        <v>150</v>
      </c>
      <c r="B162" s="4">
        <v>45028</v>
      </c>
      <c r="C162" s="4">
        <v>45033</v>
      </c>
      <c r="D162" s="13">
        <f t="shared" si="40"/>
        <v>5</v>
      </c>
      <c r="E162" s="6" t="s">
        <v>649</v>
      </c>
      <c r="F162" t="s">
        <v>657</v>
      </c>
      <c r="G162" t="s">
        <v>679</v>
      </c>
      <c r="H162" t="s">
        <v>706</v>
      </c>
      <c r="I162" t="s">
        <v>711</v>
      </c>
      <c r="J162" t="s">
        <v>718</v>
      </c>
      <c r="K162" t="s">
        <v>732</v>
      </c>
      <c r="L162" t="s">
        <v>869</v>
      </c>
      <c r="M162" s="8">
        <v>1087.81</v>
      </c>
      <c r="N162" s="8">
        <v>2323.87</v>
      </c>
      <c r="O162" s="8">
        <f t="shared" si="41"/>
        <v>2323.87</v>
      </c>
      <c r="P162" s="11">
        <v>9.4E-2</v>
      </c>
      <c r="Q162" s="13">
        <v>13</v>
      </c>
      <c r="R162" s="8">
        <f t="shared" si="42"/>
        <v>27370.540859999997</v>
      </c>
      <c r="S162" s="8">
        <f t="shared" si="43"/>
        <v>14141.529999999999</v>
      </c>
      <c r="T162" s="8">
        <f t="shared" si="44"/>
        <v>13229.010859999999</v>
      </c>
      <c r="U162" s="11">
        <f t="shared" si="45"/>
        <v>0.48333026839572651</v>
      </c>
      <c r="V162" s="17">
        <v>45835</v>
      </c>
      <c r="W162" s="4" t="str">
        <f t="shared" si="46"/>
        <v>Q2-2023</v>
      </c>
      <c r="X162" t="str">
        <f t="shared" si="47"/>
        <v>Europe → France → Lyon</v>
      </c>
      <c r="Y162" t="str">
        <f t="shared" si="48"/>
        <v>High</v>
      </c>
      <c r="Z162" s="20">
        <f t="shared" si="49"/>
        <v>45017</v>
      </c>
      <c r="AA162" s="4">
        <f t="array" ref="AA162">MIN(IF($F$2:$F$633=F162,$Z$2:$Z$633))</f>
        <v>44927</v>
      </c>
      <c r="AB162">
        <f t="shared" si="50"/>
        <v>3</v>
      </c>
      <c r="AC162">
        <f t="shared" si="51"/>
        <v>1</v>
      </c>
      <c r="AD162">
        <f t="shared" si="52"/>
        <v>0</v>
      </c>
      <c r="AE162" s="13">
        <f t="shared" si="53"/>
        <v>1</v>
      </c>
      <c r="AH162">
        <f t="shared" si="54"/>
        <v>15.6</v>
      </c>
      <c r="AI162">
        <f t="shared" si="55"/>
        <v>1250.9814999999999</v>
      </c>
      <c r="AJ162" s="11">
        <f t="shared" si="56"/>
        <v>9.4E-2</v>
      </c>
      <c r="AK162">
        <f t="shared" si="57"/>
        <v>32844.649031999994</v>
      </c>
      <c r="AL162">
        <f t="shared" si="58"/>
        <v>19515.311399999999</v>
      </c>
      <c r="AM162">
        <f t="shared" si="59"/>
        <v>13329.337631999995</v>
      </c>
    </row>
    <row r="163" spans="1:39" x14ac:dyDescent="0.25">
      <c r="A163" t="s">
        <v>522</v>
      </c>
      <c r="B163" s="4">
        <v>45029</v>
      </c>
      <c r="C163" s="4">
        <v>45036</v>
      </c>
      <c r="D163" s="13">
        <f t="shared" si="40"/>
        <v>7</v>
      </c>
      <c r="E163" s="6" t="s">
        <v>649</v>
      </c>
      <c r="F163" t="s">
        <v>657</v>
      </c>
      <c r="G163" t="s">
        <v>679</v>
      </c>
      <c r="H163" t="s">
        <v>705</v>
      </c>
      <c r="I163" t="s">
        <v>708</v>
      </c>
      <c r="J163" t="s">
        <v>720</v>
      </c>
      <c r="K163" t="s">
        <v>731</v>
      </c>
      <c r="L163" t="s">
        <v>1241</v>
      </c>
      <c r="M163" s="8">
        <v>227.02</v>
      </c>
      <c r="N163" s="8">
        <v>434.72</v>
      </c>
      <c r="O163" s="8">
        <f t="shared" si="41"/>
        <v>434.72</v>
      </c>
      <c r="P163" s="11">
        <v>9.8000000000000004E-2</v>
      </c>
      <c r="Q163" s="13">
        <v>10</v>
      </c>
      <c r="R163" s="8">
        <f t="shared" si="42"/>
        <v>3921.1744000000008</v>
      </c>
      <c r="S163" s="8">
        <f t="shared" si="43"/>
        <v>2270.2000000000003</v>
      </c>
      <c r="T163" s="8">
        <f t="shared" si="44"/>
        <v>1650.9744000000005</v>
      </c>
      <c r="U163" s="11">
        <f t="shared" si="45"/>
        <v>0.42104079838938052</v>
      </c>
      <c r="V163" s="17">
        <v>45833</v>
      </c>
      <c r="W163" s="4" t="str">
        <f t="shared" si="46"/>
        <v>Q2-2023</v>
      </c>
      <c r="X163" t="str">
        <f t="shared" si="47"/>
        <v>Europe → France → Lyon</v>
      </c>
      <c r="Y163" t="str">
        <f t="shared" si="48"/>
        <v>Low</v>
      </c>
      <c r="Z163" s="20">
        <f t="shared" si="49"/>
        <v>45017</v>
      </c>
      <c r="AA163" s="4">
        <f t="array" ref="AA163">MIN(IF($F$2:$F$633=F163,$Z$2:$Z$633))</f>
        <v>44927</v>
      </c>
      <c r="AB163">
        <f t="shared" si="50"/>
        <v>3</v>
      </c>
      <c r="AC163">
        <f t="shared" si="51"/>
        <v>1</v>
      </c>
      <c r="AD163">
        <f t="shared" si="52"/>
        <v>0</v>
      </c>
      <c r="AE163" s="13">
        <f t="shared" si="53"/>
        <v>1</v>
      </c>
      <c r="AH163">
        <f t="shared" si="54"/>
        <v>12</v>
      </c>
      <c r="AI163">
        <f t="shared" si="55"/>
        <v>261.07299999999998</v>
      </c>
      <c r="AJ163" s="11">
        <f t="shared" si="56"/>
        <v>9.8000000000000004E-2</v>
      </c>
      <c r="AK163">
        <f t="shared" si="57"/>
        <v>4705.4092800000008</v>
      </c>
      <c r="AL163">
        <f t="shared" si="58"/>
        <v>3132.8759999999997</v>
      </c>
      <c r="AM163">
        <f t="shared" si="59"/>
        <v>1572.533280000001</v>
      </c>
    </row>
    <row r="164" spans="1:39" x14ac:dyDescent="0.25">
      <c r="A164" t="s">
        <v>589</v>
      </c>
      <c r="B164" s="4">
        <v>45042</v>
      </c>
      <c r="C164" s="4">
        <v>45042</v>
      </c>
      <c r="D164" s="13">
        <f t="shared" si="40"/>
        <v>0</v>
      </c>
      <c r="E164" s="6" t="s">
        <v>649</v>
      </c>
      <c r="F164" t="s">
        <v>657</v>
      </c>
      <c r="G164" t="s">
        <v>673</v>
      </c>
      <c r="H164" t="s">
        <v>704</v>
      </c>
      <c r="I164" t="s">
        <v>711</v>
      </c>
      <c r="J164" t="s">
        <v>724</v>
      </c>
      <c r="K164" t="s">
        <v>727</v>
      </c>
      <c r="L164" t="s">
        <v>1307</v>
      </c>
      <c r="M164" s="8">
        <v>81.489999999999995</v>
      </c>
      <c r="N164" s="8">
        <v>113.08</v>
      </c>
      <c r="O164" s="8">
        <f t="shared" si="41"/>
        <v>113.08</v>
      </c>
      <c r="P164" s="11">
        <v>0.121</v>
      </c>
      <c r="Q164" s="13">
        <v>5</v>
      </c>
      <c r="R164" s="8">
        <f t="shared" si="42"/>
        <v>496.98660000000001</v>
      </c>
      <c r="S164" s="8">
        <f t="shared" si="43"/>
        <v>407.45</v>
      </c>
      <c r="T164" s="8">
        <f t="shared" si="44"/>
        <v>89.536600000000021</v>
      </c>
      <c r="U164" s="11">
        <f t="shared" si="45"/>
        <v>0.18015898215364362</v>
      </c>
      <c r="V164" s="17">
        <v>45813</v>
      </c>
      <c r="W164" s="4" t="str">
        <f t="shared" si="46"/>
        <v>Q2-2023</v>
      </c>
      <c r="X164" t="str">
        <f t="shared" si="47"/>
        <v>Europe → France → Marseille</v>
      </c>
      <c r="Y164" t="str">
        <f t="shared" si="48"/>
        <v>Low</v>
      </c>
      <c r="Z164" s="20">
        <f t="shared" si="49"/>
        <v>45017</v>
      </c>
      <c r="AA164" s="4">
        <f t="array" ref="AA164">MIN(IF($F$2:$F$633=F164,$Z$2:$Z$633))</f>
        <v>44927</v>
      </c>
      <c r="AB164">
        <f t="shared" si="50"/>
        <v>3</v>
      </c>
      <c r="AC164">
        <f t="shared" si="51"/>
        <v>1</v>
      </c>
      <c r="AD164">
        <f t="shared" si="52"/>
        <v>0</v>
      </c>
      <c r="AE164" s="13">
        <f t="shared" si="53"/>
        <v>1</v>
      </c>
      <c r="AH164">
        <f t="shared" si="54"/>
        <v>6</v>
      </c>
      <c r="AI164">
        <f t="shared" si="55"/>
        <v>93.713499999999982</v>
      </c>
      <c r="AJ164" s="11">
        <f t="shared" si="56"/>
        <v>0.121</v>
      </c>
      <c r="AK164">
        <f t="shared" si="57"/>
        <v>596.38391999999999</v>
      </c>
      <c r="AL164">
        <f t="shared" si="58"/>
        <v>562.28099999999995</v>
      </c>
      <c r="AM164">
        <f t="shared" si="59"/>
        <v>34.10292000000004</v>
      </c>
    </row>
    <row r="165" spans="1:39" x14ac:dyDescent="0.25">
      <c r="A165" t="s">
        <v>200</v>
      </c>
      <c r="B165" s="4">
        <v>45099</v>
      </c>
      <c r="C165" s="4">
        <v>45128</v>
      </c>
      <c r="D165" s="13">
        <f t="shared" si="40"/>
        <v>29</v>
      </c>
      <c r="E165" s="6" t="s">
        <v>649</v>
      </c>
      <c r="F165" t="s">
        <v>657</v>
      </c>
      <c r="G165" t="s">
        <v>679</v>
      </c>
      <c r="H165" t="s">
        <v>701</v>
      </c>
      <c r="I165" t="s">
        <v>707</v>
      </c>
      <c r="J165" t="s">
        <v>713</v>
      </c>
      <c r="K165" t="s">
        <v>733</v>
      </c>
      <c r="L165" t="s">
        <v>919</v>
      </c>
      <c r="M165" s="8">
        <v>734.34</v>
      </c>
      <c r="N165" s="8">
        <v>887.9</v>
      </c>
      <c r="O165" s="8">
        <f t="shared" si="41"/>
        <v>887.9</v>
      </c>
      <c r="P165" s="11">
        <v>2.5000000000000001E-2</v>
      </c>
      <c r="Q165" s="13">
        <v>12</v>
      </c>
      <c r="R165" s="8">
        <f t="shared" si="42"/>
        <v>10388.429999999998</v>
      </c>
      <c r="S165" s="8">
        <f t="shared" si="43"/>
        <v>8812.08</v>
      </c>
      <c r="T165" s="8">
        <f t="shared" si="44"/>
        <v>1576.3499999999985</v>
      </c>
      <c r="U165" s="11">
        <f t="shared" si="45"/>
        <v>0.15174092716608753</v>
      </c>
      <c r="V165" s="17">
        <v>45764</v>
      </c>
      <c r="W165" s="4" t="str">
        <f t="shared" si="46"/>
        <v>Q2-2023</v>
      </c>
      <c r="X165" t="str">
        <f t="shared" si="47"/>
        <v>Europe → France → Lyon</v>
      </c>
      <c r="Y165" t="str">
        <f t="shared" si="48"/>
        <v>Medium</v>
      </c>
      <c r="Z165" s="20">
        <f t="shared" si="49"/>
        <v>45078</v>
      </c>
      <c r="AA165" s="4">
        <f t="array" ref="AA165">MIN(IF($F$2:$F$633=F165,$Z$2:$Z$633))</f>
        <v>44927</v>
      </c>
      <c r="AB165">
        <f t="shared" si="50"/>
        <v>5</v>
      </c>
      <c r="AC165">
        <f t="shared" si="51"/>
        <v>0</v>
      </c>
      <c r="AD165">
        <f t="shared" si="52"/>
        <v>0</v>
      </c>
      <c r="AE165" s="13">
        <f t="shared" si="53"/>
        <v>0</v>
      </c>
      <c r="AH165">
        <f t="shared" si="54"/>
        <v>14.399999999999999</v>
      </c>
      <c r="AI165">
        <f t="shared" si="55"/>
        <v>844.49099999999999</v>
      </c>
      <c r="AJ165" s="11">
        <f t="shared" si="56"/>
        <v>2.5000000000000001E-2</v>
      </c>
      <c r="AK165">
        <f t="shared" si="57"/>
        <v>12466.115999999998</v>
      </c>
      <c r="AL165">
        <f t="shared" si="58"/>
        <v>12160.670399999999</v>
      </c>
      <c r="AM165">
        <f t="shared" si="59"/>
        <v>305.4455999999991</v>
      </c>
    </row>
    <row r="166" spans="1:39" x14ac:dyDescent="0.25">
      <c r="A166" t="s">
        <v>550</v>
      </c>
      <c r="B166" s="4">
        <v>45108</v>
      </c>
      <c r="C166" s="4">
        <v>45118</v>
      </c>
      <c r="D166" s="13">
        <f t="shared" si="40"/>
        <v>10</v>
      </c>
      <c r="E166" s="6" t="s">
        <v>649</v>
      </c>
      <c r="F166" t="s">
        <v>657</v>
      </c>
      <c r="G166" t="s">
        <v>690</v>
      </c>
      <c r="H166" t="s">
        <v>701</v>
      </c>
      <c r="I166" t="s">
        <v>711</v>
      </c>
      <c r="J166" t="s">
        <v>721</v>
      </c>
      <c r="K166" t="s">
        <v>729</v>
      </c>
      <c r="L166" t="s">
        <v>1269</v>
      </c>
      <c r="M166" s="8">
        <v>479.5</v>
      </c>
      <c r="N166" s="8">
        <v>656.66</v>
      </c>
      <c r="O166" s="8">
        <f t="shared" si="41"/>
        <v>656.66</v>
      </c>
      <c r="P166" s="11">
        <v>0.14899999999999999</v>
      </c>
      <c r="Q166" s="13">
        <v>14</v>
      </c>
      <c r="R166" s="8">
        <f t="shared" si="42"/>
        <v>7823.4472399999995</v>
      </c>
      <c r="S166" s="8">
        <f t="shared" si="43"/>
        <v>6713</v>
      </c>
      <c r="T166" s="8">
        <f t="shared" si="44"/>
        <v>1110.4472399999995</v>
      </c>
      <c r="U166" s="11">
        <f t="shared" si="45"/>
        <v>0.14193835606412289</v>
      </c>
      <c r="V166" s="17">
        <v>45737</v>
      </c>
      <c r="W166" s="4" t="str">
        <f t="shared" si="46"/>
        <v>Q3-2023</v>
      </c>
      <c r="X166" t="str">
        <f t="shared" si="47"/>
        <v>Europe → France → Paris</v>
      </c>
      <c r="Y166" t="str">
        <f t="shared" si="48"/>
        <v>Low</v>
      </c>
      <c r="Z166" s="20">
        <f t="shared" si="49"/>
        <v>45108</v>
      </c>
      <c r="AA166" s="4">
        <f t="array" ref="AA166">MIN(IF($F$2:$F$633=F166,$Z$2:$Z$633))</f>
        <v>44927</v>
      </c>
      <c r="AB166">
        <f t="shared" si="50"/>
        <v>6</v>
      </c>
      <c r="AC166">
        <f t="shared" si="51"/>
        <v>0</v>
      </c>
      <c r="AD166">
        <f t="shared" si="52"/>
        <v>0</v>
      </c>
      <c r="AE166" s="13">
        <f t="shared" si="53"/>
        <v>0</v>
      </c>
      <c r="AH166">
        <f t="shared" si="54"/>
        <v>16.8</v>
      </c>
      <c r="AI166">
        <f t="shared" si="55"/>
        <v>551.42499999999995</v>
      </c>
      <c r="AJ166" s="11">
        <f t="shared" si="56"/>
        <v>0.14899999999999999</v>
      </c>
      <c r="AK166">
        <f t="shared" si="57"/>
        <v>9388.1366880000005</v>
      </c>
      <c r="AL166">
        <f t="shared" si="58"/>
        <v>9263.94</v>
      </c>
      <c r="AM166">
        <f t="shared" si="59"/>
        <v>124.19668799999999</v>
      </c>
    </row>
    <row r="167" spans="1:39" x14ac:dyDescent="0.25">
      <c r="A167" t="s">
        <v>64</v>
      </c>
      <c r="B167" s="4">
        <v>45117</v>
      </c>
      <c r="C167" s="4">
        <v>45139</v>
      </c>
      <c r="D167" s="13">
        <f t="shared" si="40"/>
        <v>22</v>
      </c>
      <c r="E167" s="6" t="s">
        <v>649</v>
      </c>
      <c r="F167" t="s">
        <v>657</v>
      </c>
      <c r="G167" t="s">
        <v>673</v>
      </c>
      <c r="H167" t="s">
        <v>704</v>
      </c>
      <c r="I167" t="s">
        <v>709</v>
      </c>
      <c r="J167" t="s">
        <v>717</v>
      </c>
      <c r="K167" t="s">
        <v>728</v>
      </c>
      <c r="L167" t="s">
        <v>783</v>
      </c>
      <c r="M167" s="8">
        <v>1303.56</v>
      </c>
      <c r="N167" s="8">
        <v>1791.37</v>
      </c>
      <c r="O167" s="8">
        <f t="shared" si="41"/>
        <v>1791.37</v>
      </c>
      <c r="P167" s="11">
        <v>0.126</v>
      </c>
      <c r="Q167" s="13">
        <v>22</v>
      </c>
      <c r="R167" s="8">
        <f t="shared" si="42"/>
        <v>34444.462359999998</v>
      </c>
      <c r="S167" s="8">
        <f t="shared" si="43"/>
        <v>28678.32</v>
      </c>
      <c r="T167" s="8">
        <f t="shared" si="44"/>
        <v>5766.142359999998</v>
      </c>
      <c r="U167" s="11">
        <f t="shared" si="45"/>
        <v>0.16740404596055358</v>
      </c>
      <c r="V167" s="17">
        <v>45731</v>
      </c>
      <c r="W167" s="4" t="str">
        <f t="shared" si="46"/>
        <v>Q3-2023</v>
      </c>
      <c r="X167" t="str">
        <f t="shared" si="47"/>
        <v>Europe → France → Marseille</v>
      </c>
      <c r="Y167" t="str">
        <f t="shared" si="48"/>
        <v>High</v>
      </c>
      <c r="Z167" s="20">
        <f t="shared" si="49"/>
        <v>45108</v>
      </c>
      <c r="AA167" s="4">
        <f t="array" ref="AA167">MIN(IF($F$2:$F$633=F167,$Z$2:$Z$633))</f>
        <v>44927</v>
      </c>
      <c r="AB167">
        <f t="shared" si="50"/>
        <v>6</v>
      </c>
      <c r="AC167">
        <f t="shared" si="51"/>
        <v>0</v>
      </c>
      <c r="AD167">
        <f t="shared" si="52"/>
        <v>0</v>
      </c>
      <c r="AE167" s="13">
        <f t="shared" si="53"/>
        <v>0</v>
      </c>
      <c r="AH167">
        <f t="shared" si="54"/>
        <v>26.4</v>
      </c>
      <c r="AI167">
        <f t="shared" si="55"/>
        <v>1499.0939999999998</v>
      </c>
      <c r="AJ167" s="11">
        <f t="shared" si="56"/>
        <v>0.126</v>
      </c>
      <c r="AK167">
        <f t="shared" si="57"/>
        <v>41333.354831999997</v>
      </c>
      <c r="AL167">
        <f t="shared" si="58"/>
        <v>39576.08159999999</v>
      </c>
      <c r="AM167">
        <f t="shared" si="59"/>
        <v>1757.2732320000068</v>
      </c>
    </row>
    <row r="168" spans="1:39" x14ac:dyDescent="0.25">
      <c r="A168" t="s">
        <v>628</v>
      </c>
      <c r="B168" s="4">
        <v>45137</v>
      </c>
      <c r="C168" s="4">
        <v>45157</v>
      </c>
      <c r="D168" s="13">
        <f t="shared" si="40"/>
        <v>20</v>
      </c>
      <c r="E168" s="6" t="s">
        <v>649</v>
      </c>
      <c r="F168" t="s">
        <v>657</v>
      </c>
      <c r="G168" t="s">
        <v>690</v>
      </c>
      <c r="H168" t="s">
        <v>706</v>
      </c>
      <c r="I168" t="s">
        <v>709</v>
      </c>
      <c r="J168" t="s">
        <v>715</v>
      </c>
      <c r="K168" t="s">
        <v>729</v>
      </c>
      <c r="L168" t="s">
        <v>1346</v>
      </c>
      <c r="M168" s="8">
        <v>1418.51</v>
      </c>
      <c r="N168" s="8">
        <v>2789.61</v>
      </c>
      <c r="O168" s="8">
        <f t="shared" si="41"/>
        <v>2789.61</v>
      </c>
      <c r="P168" s="11">
        <v>0.17100000000000001</v>
      </c>
      <c r="Q168" s="13">
        <v>8</v>
      </c>
      <c r="R168" s="8">
        <f t="shared" si="42"/>
        <v>18500.693520000001</v>
      </c>
      <c r="S168" s="8">
        <f t="shared" si="43"/>
        <v>11348.08</v>
      </c>
      <c r="T168" s="8">
        <f t="shared" si="44"/>
        <v>7152.6135200000008</v>
      </c>
      <c r="U168" s="11">
        <f t="shared" si="45"/>
        <v>0.38661326464695689</v>
      </c>
      <c r="V168" s="17">
        <v>45716</v>
      </c>
      <c r="W168" s="4" t="str">
        <f t="shared" si="46"/>
        <v>Q3-2023</v>
      </c>
      <c r="X168" t="str">
        <f t="shared" si="47"/>
        <v>Europe → France → Paris</v>
      </c>
      <c r="Y168" t="str">
        <f t="shared" si="48"/>
        <v>High</v>
      </c>
      <c r="Z168" s="20">
        <f t="shared" si="49"/>
        <v>45108</v>
      </c>
      <c r="AA168" s="4">
        <f t="array" ref="AA168">MIN(IF($F$2:$F$633=F168,$Z$2:$Z$633))</f>
        <v>44927</v>
      </c>
      <c r="AB168">
        <f t="shared" si="50"/>
        <v>6</v>
      </c>
      <c r="AC168">
        <f t="shared" si="51"/>
        <v>0</v>
      </c>
      <c r="AD168">
        <f t="shared" si="52"/>
        <v>0</v>
      </c>
      <c r="AE168" s="13">
        <f t="shared" si="53"/>
        <v>0</v>
      </c>
      <c r="AH168">
        <f t="shared" si="54"/>
        <v>9.6</v>
      </c>
      <c r="AI168">
        <f t="shared" si="55"/>
        <v>1631.2864999999999</v>
      </c>
      <c r="AJ168" s="11">
        <f t="shared" si="56"/>
        <v>0.17100000000000001</v>
      </c>
      <c r="AK168">
        <f t="shared" si="57"/>
        <v>22200.832224000002</v>
      </c>
      <c r="AL168">
        <f t="shared" si="58"/>
        <v>15660.350399999999</v>
      </c>
      <c r="AM168">
        <f t="shared" si="59"/>
        <v>6540.4818240000022</v>
      </c>
    </row>
    <row r="169" spans="1:39" x14ac:dyDescent="0.25">
      <c r="A169" t="s">
        <v>485</v>
      </c>
      <c r="B169" s="4">
        <v>45167</v>
      </c>
      <c r="C169" s="4">
        <v>45188</v>
      </c>
      <c r="D169" s="13">
        <f t="shared" si="40"/>
        <v>21</v>
      </c>
      <c r="E169" s="6" t="s">
        <v>649</v>
      </c>
      <c r="F169" t="s">
        <v>657</v>
      </c>
      <c r="G169" t="s">
        <v>679</v>
      </c>
      <c r="H169" t="s">
        <v>705</v>
      </c>
      <c r="I169" t="s">
        <v>711</v>
      </c>
      <c r="J169" t="s">
        <v>717</v>
      </c>
      <c r="K169" t="s">
        <v>728</v>
      </c>
      <c r="L169" t="s">
        <v>1204</v>
      </c>
      <c r="M169" s="8">
        <v>784.46</v>
      </c>
      <c r="N169" s="8">
        <v>1843.51</v>
      </c>
      <c r="O169" s="8">
        <f t="shared" si="41"/>
        <v>1843.51</v>
      </c>
      <c r="P169" s="11">
        <v>0.13800000000000001</v>
      </c>
      <c r="Q169" s="13">
        <v>23</v>
      </c>
      <c r="R169" s="8">
        <f t="shared" si="42"/>
        <v>36549.429260000004</v>
      </c>
      <c r="S169" s="8">
        <f t="shared" si="43"/>
        <v>18042.580000000002</v>
      </c>
      <c r="T169" s="8">
        <f t="shared" si="44"/>
        <v>18506.849260000003</v>
      </c>
      <c r="U169" s="11">
        <f t="shared" si="45"/>
        <v>0.50635125184441798</v>
      </c>
      <c r="V169" s="17">
        <v>45674</v>
      </c>
      <c r="W169" s="4" t="str">
        <f t="shared" si="46"/>
        <v>Q3-2023</v>
      </c>
      <c r="X169" t="str">
        <f t="shared" si="47"/>
        <v>Europe → France → Lyon</v>
      </c>
      <c r="Y169" t="str">
        <f t="shared" si="48"/>
        <v>High</v>
      </c>
      <c r="Z169" s="20">
        <f t="shared" si="49"/>
        <v>45139</v>
      </c>
      <c r="AA169" s="4">
        <f t="array" ref="AA169">MIN(IF($F$2:$F$633=F169,$Z$2:$Z$633))</f>
        <v>44927</v>
      </c>
      <c r="AB169">
        <f t="shared" si="50"/>
        <v>7</v>
      </c>
      <c r="AC169">
        <f t="shared" si="51"/>
        <v>0</v>
      </c>
      <c r="AD169">
        <f t="shared" si="52"/>
        <v>0</v>
      </c>
      <c r="AE169" s="13">
        <f t="shared" si="53"/>
        <v>0</v>
      </c>
      <c r="AH169">
        <f t="shared" si="54"/>
        <v>27.599999999999998</v>
      </c>
      <c r="AI169">
        <f t="shared" si="55"/>
        <v>902.12900000000002</v>
      </c>
      <c r="AJ169" s="11">
        <f t="shared" si="56"/>
        <v>0.13800000000000001</v>
      </c>
      <c r="AK169">
        <f t="shared" si="57"/>
        <v>43859.315111999997</v>
      </c>
      <c r="AL169">
        <f t="shared" si="58"/>
        <v>24898.760399999999</v>
      </c>
      <c r="AM169">
        <f t="shared" si="59"/>
        <v>18960.554711999997</v>
      </c>
    </row>
    <row r="170" spans="1:39" x14ac:dyDescent="0.25">
      <c r="A170" t="s">
        <v>163</v>
      </c>
      <c r="B170" s="4">
        <v>45183</v>
      </c>
      <c r="C170" s="4">
        <v>45185</v>
      </c>
      <c r="D170" s="13">
        <f t="shared" si="40"/>
        <v>2</v>
      </c>
      <c r="E170" s="6" t="s">
        <v>649</v>
      </c>
      <c r="F170" t="s">
        <v>657</v>
      </c>
      <c r="G170" t="s">
        <v>679</v>
      </c>
      <c r="H170" t="s">
        <v>703</v>
      </c>
      <c r="I170" t="s">
        <v>711</v>
      </c>
      <c r="J170" t="s">
        <v>717</v>
      </c>
      <c r="K170" t="s">
        <v>728</v>
      </c>
      <c r="L170" t="s">
        <v>882</v>
      </c>
      <c r="M170" s="8">
        <v>376.83</v>
      </c>
      <c r="N170" s="8">
        <v>732.88</v>
      </c>
      <c r="O170" s="8">
        <f t="shared" si="41"/>
        <v>732.88</v>
      </c>
      <c r="P170" s="11">
        <v>0.188</v>
      </c>
      <c r="Q170" s="13">
        <v>25</v>
      </c>
      <c r="R170" s="8">
        <f t="shared" si="42"/>
        <v>14877.464000000002</v>
      </c>
      <c r="S170" s="8">
        <f t="shared" si="43"/>
        <v>9420.75</v>
      </c>
      <c r="T170" s="8">
        <f t="shared" si="44"/>
        <v>5456.7140000000018</v>
      </c>
      <c r="U170" s="11">
        <f t="shared" si="45"/>
        <v>0.36677716040852132</v>
      </c>
      <c r="V170" s="17">
        <v>45666</v>
      </c>
      <c r="W170" s="4" t="str">
        <f t="shared" si="46"/>
        <v>Q3-2023</v>
      </c>
      <c r="X170" t="str">
        <f t="shared" si="47"/>
        <v>Europe → France → Lyon</v>
      </c>
      <c r="Y170" t="str">
        <f t="shared" si="48"/>
        <v>Low</v>
      </c>
      <c r="Z170" s="20">
        <f t="shared" si="49"/>
        <v>45170</v>
      </c>
      <c r="AA170" s="4">
        <f t="array" ref="AA170">MIN(IF($F$2:$F$633=F170,$Z$2:$Z$633))</f>
        <v>44927</v>
      </c>
      <c r="AB170">
        <f t="shared" si="50"/>
        <v>8</v>
      </c>
      <c r="AC170">
        <f t="shared" si="51"/>
        <v>1</v>
      </c>
      <c r="AD170">
        <f t="shared" si="52"/>
        <v>0</v>
      </c>
      <c r="AE170" s="13">
        <f t="shared" si="53"/>
        <v>1</v>
      </c>
      <c r="AH170">
        <f t="shared" si="54"/>
        <v>30</v>
      </c>
      <c r="AI170">
        <f t="shared" si="55"/>
        <v>433.35449999999997</v>
      </c>
      <c r="AJ170" s="11">
        <f t="shared" si="56"/>
        <v>0.188</v>
      </c>
      <c r="AK170">
        <f t="shared" si="57"/>
        <v>17852.956800000004</v>
      </c>
      <c r="AL170">
        <f t="shared" si="58"/>
        <v>13000.634999999998</v>
      </c>
      <c r="AM170">
        <f t="shared" si="59"/>
        <v>4852.3218000000052</v>
      </c>
    </row>
    <row r="171" spans="1:39" x14ac:dyDescent="0.25">
      <c r="A171" t="s">
        <v>500</v>
      </c>
      <c r="B171" s="4">
        <v>45224</v>
      </c>
      <c r="C171" s="4">
        <v>45254</v>
      </c>
      <c r="D171" s="13">
        <f t="shared" si="40"/>
        <v>30</v>
      </c>
      <c r="E171" s="6" t="s">
        <v>649</v>
      </c>
      <c r="F171" t="s">
        <v>657</v>
      </c>
      <c r="G171" t="s">
        <v>690</v>
      </c>
      <c r="H171" t="s">
        <v>706</v>
      </c>
      <c r="I171" t="s">
        <v>710</v>
      </c>
      <c r="J171" t="s">
        <v>712</v>
      </c>
      <c r="K171" t="s">
        <v>730</v>
      </c>
      <c r="L171" t="s">
        <v>1219</v>
      </c>
      <c r="M171" s="8">
        <v>287.85000000000002</v>
      </c>
      <c r="N171" s="8">
        <v>602.91999999999996</v>
      </c>
      <c r="O171" s="8">
        <f t="shared" si="41"/>
        <v>602.91999999999996</v>
      </c>
      <c r="P171" s="11">
        <v>0.222</v>
      </c>
      <c r="Q171" s="13">
        <v>11</v>
      </c>
      <c r="R171" s="8">
        <f t="shared" si="42"/>
        <v>5159.7893599999998</v>
      </c>
      <c r="S171" s="8">
        <f t="shared" si="43"/>
        <v>3166.3500000000004</v>
      </c>
      <c r="T171" s="8">
        <f t="shared" si="44"/>
        <v>1993.4393599999994</v>
      </c>
      <c r="U171" s="11">
        <f t="shared" si="45"/>
        <v>0.38634122847216373</v>
      </c>
      <c r="V171" s="17">
        <v>45618</v>
      </c>
      <c r="W171" s="4" t="str">
        <f t="shared" si="46"/>
        <v>Q4-2023</v>
      </c>
      <c r="X171" t="str">
        <f t="shared" si="47"/>
        <v>Europe → France → Paris</v>
      </c>
      <c r="Y171" t="str">
        <f t="shared" si="48"/>
        <v>Low</v>
      </c>
      <c r="Z171" s="20">
        <f t="shared" si="49"/>
        <v>45200</v>
      </c>
      <c r="AA171" s="4">
        <f t="array" ref="AA171">MIN(IF($F$2:$F$633=F171,$Z$2:$Z$633))</f>
        <v>44927</v>
      </c>
      <c r="AB171">
        <f t="shared" si="50"/>
        <v>9</v>
      </c>
      <c r="AC171">
        <f t="shared" si="51"/>
        <v>0</v>
      </c>
      <c r="AD171">
        <f t="shared" si="52"/>
        <v>1</v>
      </c>
      <c r="AE171" s="13">
        <f t="shared" si="53"/>
        <v>0</v>
      </c>
      <c r="AH171">
        <f t="shared" si="54"/>
        <v>13.2</v>
      </c>
      <c r="AI171">
        <f t="shared" si="55"/>
        <v>331.02749999999997</v>
      </c>
      <c r="AJ171" s="11">
        <f t="shared" si="56"/>
        <v>0.222</v>
      </c>
      <c r="AK171">
        <f t="shared" si="57"/>
        <v>6191.7472319999997</v>
      </c>
      <c r="AL171">
        <f t="shared" si="58"/>
        <v>4369.5629999999992</v>
      </c>
      <c r="AM171">
        <f t="shared" si="59"/>
        <v>1822.1842320000005</v>
      </c>
    </row>
    <row r="172" spans="1:39" x14ac:dyDescent="0.25">
      <c r="A172" t="s">
        <v>136</v>
      </c>
      <c r="B172" s="4">
        <v>45249</v>
      </c>
      <c r="C172" s="4">
        <v>45273</v>
      </c>
      <c r="D172" s="13">
        <f t="shared" si="40"/>
        <v>24</v>
      </c>
      <c r="E172" s="6" t="s">
        <v>649</v>
      </c>
      <c r="F172" t="s">
        <v>657</v>
      </c>
      <c r="G172" t="s">
        <v>679</v>
      </c>
      <c r="H172" t="s">
        <v>703</v>
      </c>
      <c r="I172" t="s">
        <v>711</v>
      </c>
      <c r="J172" t="s">
        <v>722</v>
      </c>
      <c r="K172" t="s">
        <v>732</v>
      </c>
      <c r="L172" t="s">
        <v>855</v>
      </c>
      <c r="M172" s="8">
        <v>1297.42</v>
      </c>
      <c r="N172" s="8">
        <v>2742.97</v>
      </c>
      <c r="O172" s="8">
        <f t="shared" si="41"/>
        <v>2742.97</v>
      </c>
      <c r="P172" s="11">
        <v>6.9000000000000006E-2</v>
      </c>
      <c r="Q172" s="13">
        <v>9</v>
      </c>
      <c r="R172" s="8">
        <f t="shared" si="42"/>
        <v>22983.34563</v>
      </c>
      <c r="S172" s="8">
        <f t="shared" si="43"/>
        <v>11676.78</v>
      </c>
      <c r="T172" s="8">
        <f t="shared" si="44"/>
        <v>11306.565629999999</v>
      </c>
      <c r="U172" s="11">
        <f t="shared" si="45"/>
        <v>0.49194602961727291</v>
      </c>
      <c r="V172" s="17">
        <v>45603</v>
      </c>
      <c r="W172" s="4" t="str">
        <f t="shared" si="46"/>
        <v>Q4-2023</v>
      </c>
      <c r="X172" t="str">
        <f t="shared" si="47"/>
        <v>Europe → France → Lyon</v>
      </c>
      <c r="Y172" t="str">
        <f t="shared" si="48"/>
        <v>High</v>
      </c>
      <c r="Z172" s="20">
        <f t="shared" si="49"/>
        <v>45231</v>
      </c>
      <c r="AA172" s="4">
        <f t="array" ref="AA172">MIN(IF($F$2:$F$633=F172,$Z$2:$Z$633))</f>
        <v>44927</v>
      </c>
      <c r="AB172">
        <f t="shared" si="50"/>
        <v>10</v>
      </c>
      <c r="AC172">
        <f t="shared" si="51"/>
        <v>0</v>
      </c>
      <c r="AD172">
        <f t="shared" si="52"/>
        <v>0</v>
      </c>
      <c r="AE172" s="13">
        <f t="shared" si="53"/>
        <v>0</v>
      </c>
      <c r="AH172">
        <f t="shared" si="54"/>
        <v>10.799999999999999</v>
      </c>
      <c r="AI172">
        <f t="shared" si="55"/>
        <v>1492.0329999999999</v>
      </c>
      <c r="AJ172" s="11">
        <f t="shared" si="56"/>
        <v>6.9000000000000006E-2</v>
      </c>
      <c r="AK172">
        <f t="shared" si="57"/>
        <v>27580.014755999997</v>
      </c>
      <c r="AL172">
        <f t="shared" si="58"/>
        <v>16113.956399999997</v>
      </c>
      <c r="AM172">
        <f t="shared" si="59"/>
        <v>11466.058356</v>
      </c>
    </row>
    <row r="173" spans="1:39" x14ac:dyDescent="0.25">
      <c r="A173" t="s">
        <v>384</v>
      </c>
      <c r="B173" s="4">
        <v>45286</v>
      </c>
      <c r="C173" s="4">
        <v>45294</v>
      </c>
      <c r="D173" s="13">
        <f t="shared" si="40"/>
        <v>8</v>
      </c>
      <c r="E173" s="6" t="s">
        <v>649</v>
      </c>
      <c r="F173" t="s">
        <v>657</v>
      </c>
      <c r="G173" t="s">
        <v>679</v>
      </c>
      <c r="H173" t="s">
        <v>705</v>
      </c>
      <c r="I173" t="s">
        <v>707</v>
      </c>
      <c r="J173" t="s">
        <v>724</v>
      </c>
      <c r="K173" t="s">
        <v>731</v>
      </c>
      <c r="L173" t="s">
        <v>1104</v>
      </c>
      <c r="M173" s="8">
        <v>492.75</v>
      </c>
      <c r="N173" s="8">
        <v>731.29</v>
      </c>
      <c r="O173" s="8">
        <f t="shared" si="41"/>
        <v>731.29</v>
      </c>
      <c r="P173" s="11">
        <v>5.8000000000000003E-2</v>
      </c>
      <c r="Q173" s="13">
        <v>6</v>
      </c>
      <c r="R173" s="8">
        <f t="shared" si="42"/>
        <v>4133.25108</v>
      </c>
      <c r="S173" s="8">
        <f t="shared" si="43"/>
        <v>2956.5</v>
      </c>
      <c r="T173" s="8">
        <f t="shared" si="44"/>
        <v>1176.75108</v>
      </c>
      <c r="U173" s="11">
        <f t="shared" si="45"/>
        <v>0.28470350753528384</v>
      </c>
      <c r="V173" s="17">
        <v>45587</v>
      </c>
      <c r="W173" s="4" t="str">
        <f t="shared" si="46"/>
        <v>Q4-2023</v>
      </c>
      <c r="X173" t="str">
        <f t="shared" si="47"/>
        <v>Europe → France → Lyon</v>
      </c>
      <c r="Y173" t="str">
        <f t="shared" si="48"/>
        <v>Low</v>
      </c>
      <c r="Z173" s="20">
        <f t="shared" si="49"/>
        <v>45261</v>
      </c>
      <c r="AA173" s="4">
        <f t="array" ref="AA173">MIN(IF($F$2:$F$633=F173,$Z$2:$Z$633))</f>
        <v>44927</v>
      </c>
      <c r="AB173">
        <f t="shared" si="50"/>
        <v>11</v>
      </c>
      <c r="AC173">
        <f t="shared" si="51"/>
        <v>0</v>
      </c>
      <c r="AD173">
        <f t="shared" si="52"/>
        <v>0</v>
      </c>
      <c r="AE173" s="13">
        <f t="shared" si="53"/>
        <v>0</v>
      </c>
      <c r="AH173">
        <f t="shared" si="54"/>
        <v>7.1999999999999993</v>
      </c>
      <c r="AI173">
        <f t="shared" si="55"/>
        <v>566.66249999999991</v>
      </c>
      <c r="AJ173" s="11">
        <f t="shared" si="56"/>
        <v>5.8000000000000003E-2</v>
      </c>
      <c r="AK173">
        <f t="shared" si="57"/>
        <v>4959.9012959999991</v>
      </c>
      <c r="AL173">
        <f t="shared" si="58"/>
        <v>4079.9699999999989</v>
      </c>
      <c r="AM173">
        <f t="shared" si="59"/>
        <v>879.9312960000002</v>
      </c>
    </row>
    <row r="174" spans="1:39" x14ac:dyDescent="0.25">
      <c r="A174" t="s">
        <v>452</v>
      </c>
      <c r="B174" s="4">
        <v>45290</v>
      </c>
      <c r="C174" s="4">
        <v>45299</v>
      </c>
      <c r="D174" s="13">
        <f t="shared" si="40"/>
        <v>9</v>
      </c>
      <c r="E174" s="6" t="s">
        <v>649</v>
      </c>
      <c r="F174" t="s">
        <v>657</v>
      </c>
      <c r="G174" t="s">
        <v>673</v>
      </c>
      <c r="H174" t="s">
        <v>704</v>
      </c>
      <c r="I174" t="s">
        <v>709</v>
      </c>
      <c r="J174" t="s">
        <v>716</v>
      </c>
      <c r="K174" t="s">
        <v>733</v>
      </c>
      <c r="L174" t="s">
        <v>1171</v>
      </c>
      <c r="M174" s="8">
        <v>861.1</v>
      </c>
      <c r="N174" s="8">
        <v>1224.72</v>
      </c>
      <c r="O174" s="8">
        <f t="shared" si="41"/>
        <v>1224.72</v>
      </c>
      <c r="P174" s="11">
        <v>0.17399999999999999</v>
      </c>
      <c r="Q174" s="13">
        <v>24</v>
      </c>
      <c r="R174" s="8">
        <f t="shared" si="42"/>
        <v>24278.849280000002</v>
      </c>
      <c r="S174" s="8">
        <f t="shared" si="43"/>
        <v>20666.400000000001</v>
      </c>
      <c r="T174" s="8">
        <f t="shared" si="44"/>
        <v>3612.4492800000007</v>
      </c>
      <c r="U174" s="11">
        <f t="shared" si="45"/>
        <v>0.14878997098827909</v>
      </c>
      <c r="V174" s="17">
        <v>45567</v>
      </c>
      <c r="W174" s="4" t="str">
        <f t="shared" si="46"/>
        <v>Q4-2023</v>
      </c>
      <c r="X174" t="str">
        <f t="shared" si="47"/>
        <v>Europe → France → Marseille</v>
      </c>
      <c r="Y174" t="str">
        <f t="shared" si="48"/>
        <v>Medium</v>
      </c>
      <c r="Z174" s="20">
        <f t="shared" si="49"/>
        <v>45261</v>
      </c>
      <c r="AA174" s="4">
        <f t="array" ref="AA174">MIN(IF($F$2:$F$633=F174,$Z$2:$Z$633))</f>
        <v>44927</v>
      </c>
      <c r="AB174">
        <f t="shared" si="50"/>
        <v>11</v>
      </c>
      <c r="AC174">
        <f t="shared" si="51"/>
        <v>0</v>
      </c>
      <c r="AD174">
        <f t="shared" si="52"/>
        <v>0</v>
      </c>
      <c r="AE174" s="13">
        <f t="shared" si="53"/>
        <v>0</v>
      </c>
      <c r="AH174">
        <f t="shared" si="54"/>
        <v>28.799999999999997</v>
      </c>
      <c r="AI174">
        <f t="shared" si="55"/>
        <v>990.26499999999999</v>
      </c>
      <c r="AJ174" s="11">
        <f t="shared" si="56"/>
        <v>0.17399999999999999</v>
      </c>
      <c r="AK174">
        <f t="shared" si="57"/>
        <v>29134.619135999998</v>
      </c>
      <c r="AL174">
        <f t="shared" si="58"/>
        <v>28519.631999999998</v>
      </c>
      <c r="AM174">
        <f t="shared" si="59"/>
        <v>614.98713599999974</v>
      </c>
    </row>
    <row r="175" spans="1:39" x14ac:dyDescent="0.25">
      <c r="A175" t="s">
        <v>283</v>
      </c>
      <c r="B175" s="4">
        <v>45301</v>
      </c>
      <c r="C175" s="4">
        <v>45314</v>
      </c>
      <c r="D175" s="13">
        <f t="shared" si="40"/>
        <v>13</v>
      </c>
      <c r="E175" s="6" t="s">
        <v>649</v>
      </c>
      <c r="F175" t="s">
        <v>657</v>
      </c>
      <c r="G175" t="s">
        <v>673</v>
      </c>
      <c r="H175" t="s">
        <v>701</v>
      </c>
      <c r="I175" t="s">
        <v>711</v>
      </c>
      <c r="J175" t="s">
        <v>720</v>
      </c>
      <c r="K175" t="s">
        <v>728</v>
      </c>
      <c r="L175" t="s">
        <v>1003</v>
      </c>
      <c r="M175" s="8">
        <v>720</v>
      </c>
      <c r="N175" s="8">
        <v>907.59</v>
      </c>
      <c r="O175" s="8">
        <f t="shared" si="41"/>
        <v>907.59</v>
      </c>
      <c r="P175" s="11">
        <v>0.154</v>
      </c>
      <c r="Q175" s="13">
        <v>10</v>
      </c>
      <c r="R175" s="8">
        <f t="shared" si="42"/>
        <v>7678.2113999999992</v>
      </c>
      <c r="S175" s="8">
        <f t="shared" si="43"/>
        <v>7200</v>
      </c>
      <c r="T175" s="8">
        <f t="shared" si="44"/>
        <v>478.21139999999923</v>
      </c>
      <c r="U175" s="11">
        <f t="shared" si="45"/>
        <v>6.2281614179052078E-2</v>
      </c>
      <c r="V175" s="17">
        <v>45573</v>
      </c>
      <c r="W175" s="4" t="str">
        <f t="shared" si="46"/>
        <v>Q1-2024</v>
      </c>
      <c r="X175" t="str">
        <f t="shared" si="47"/>
        <v>Europe → France → Marseille</v>
      </c>
      <c r="Y175" t="str">
        <f t="shared" si="48"/>
        <v>Medium</v>
      </c>
      <c r="Z175" s="20">
        <f t="shared" si="49"/>
        <v>45292</v>
      </c>
      <c r="AA175" s="4">
        <f t="array" ref="AA175">MIN(IF($F$2:$F$633=F175,$Z$2:$Z$633))</f>
        <v>44927</v>
      </c>
      <c r="AB175">
        <f t="shared" si="50"/>
        <v>12</v>
      </c>
      <c r="AC175">
        <f t="shared" si="51"/>
        <v>0</v>
      </c>
      <c r="AD175">
        <f t="shared" si="52"/>
        <v>0</v>
      </c>
      <c r="AE175" s="13">
        <f t="shared" si="53"/>
        <v>0</v>
      </c>
      <c r="AH175">
        <f t="shared" si="54"/>
        <v>12</v>
      </c>
      <c r="AI175">
        <f t="shared" si="55"/>
        <v>827.99999999999989</v>
      </c>
      <c r="AJ175" s="11">
        <f t="shared" si="56"/>
        <v>0.154</v>
      </c>
      <c r="AK175">
        <f t="shared" si="57"/>
        <v>9213.8536800000002</v>
      </c>
      <c r="AL175">
        <f t="shared" si="58"/>
        <v>9935.9999999999982</v>
      </c>
      <c r="AM175">
        <f t="shared" si="59"/>
        <v>-722.14631999999801</v>
      </c>
    </row>
    <row r="176" spans="1:39" x14ac:dyDescent="0.25">
      <c r="A176" t="s">
        <v>28</v>
      </c>
      <c r="B176" s="4">
        <v>45311</v>
      </c>
      <c r="C176" s="4">
        <v>45335</v>
      </c>
      <c r="D176" s="13">
        <f t="shared" si="40"/>
        <v>24</v>
      </c>
      <c r="E176" s="6" t="s">
        <v>649</v>
      </c>
      <c r="F176" t="s">
        <v>657</v>
      </c>
      <c r="G176" t="s">
        <v>673</v>
      </c>
      <c r="H176" t="s">
        <v>701</v>
      </c>
      <c r="I176" t="s">
        <v>707</v>
      </c>
      <c r="J176" t="s">
        <v>722</v>
      </c>
      <c r="K176" t="s">
        <v>728</v>
      </c>
      <c r="L176" t="s">
        <v>747</v>
      </c>
      <c r="M176" s="8">
        <v>643.53</v>
      </c>
      <c r="N176" s="8">
        <v>1439.01</v>
      </c>
      <c r="O176" s="8">
        <f t="shared" si="41"/>
        <v>1439.01</v>
      </c>
      <c r="P176" s="11">
        <v>0</v>
      </c>
      <c r="Q176" s="13">
        <v>15</v>
      </c>
      <c r="R176" s="8">
        <f t="shared" si="42"/>
        <v>21585.15</v>
      </c>
      <c r="S176" s="8">
        <f t="shared" si="43"/>
        <v>9652.9499999999989</v>
      </c>
      <c r="T176" s="8">
        <f t="shared" si="44"/>
        <v>11932.200000000003</v>
      </c>
      <c r="U176" s="11">
        <f t="shared" si="45"/>
        <v>0.55279671440782208</v>
      </c>
      <c r="V176" s="17">
        <v>45540</v>
      </c>
      <c r="W176" s="4" t="str">
        <f t="shared" si="46"/>
        <v>Q1-2024</v>
      </c>
      <c r="X176" t="str">
        <f t="shared" si="47"/>
        <v>Europe → France → Marseille</v>
      </c>
      <c r="Y176" t="str">
        <f t="shared" si="48"/>
        <v>Medium</v>
      </c>
      <c r="Z176" s="20">
        <f t="shared" si="49"/>
        <v>45292</v>
      </c>
      <c r="AA176" s="4">
        <f t="array" ref="AA176">MIN(IF($F$2:$F$633=F176,$Z$2:$Z$633))</f>
        <v>44927</v>
      </c>
      <c r="AB176">
        <f t="shared" si="50"/>
        <v>12</v>
      </c>
      <c r="AC176">
        <f t="shared" si="51"/>
        <v>0</v>
      </c>
      <c r="AD176">
        <f t="shared" si="52"/>
        <v>0</v>
      </c>
      <c r="AE176" s="13">
        <f t="shared" si="53"/>
        <v>0</v>
      </c>
      <c r="AH176">
        <f t="shared" si="54"/>
        <v>18</v>
      </c>
      <c r="AI176">
        <f t="shared" si="55"/>
        <v>740.05949999999996</v>
      </c>
      <c r="AJ176" s="11">
        <f t="shared" si="56"/>
        <v>0</v>
      </c>
      <c r="AK176">
        <f t="shared" si="57"/>
        <v>25902.18</v>
      </c>
      <c r="AL176">
        <f t="shared" si="58"/>
        <v>13321.071</v>
      </c>
      <c r="AM176">
        <f t="shared" si="59"/>
        <v>12581.109</v>
      </c>
    </row>
    <row r="177" spans="1:39" x14ac:dyDescent="0.25">
      <c r="A177" t="s">
        <v>171</v>
      </c>
      <c r="B177" s="4">
        <v>45323</v>
      </c>
      <c r="C177" s="4">
        <v>45343</v>
      </c>
      <c r="D177" s="13">
        <f t="shared" si="40"/>
        <v>20</v>
      </c>
      <c r="E177" s="6" t="s">
        <v>649</v>
      </c>
      <c r="F177" t="s">
        <v>657</v>
      </c>
      <c r="G177" t="s">
        <v>690</v>
      </c>
      <c r="H177" t="s">
        <v>705</v>
      </c>
      <c r="I177" t="s">
        <v>709</v>
      </c>
      <c r="J177" t="s">
        <v>720</v>
      </c>
      <c r="K177" t="s">
        <v>729</v>
      </c>
      <c r="L177" t="s">
        <v>890</v>
      </c>
      <c r="M177" s="8">
        <v>656.2</v>
      </c>
      <c r="N177" s="8">
        <v>1467.17</v>
      </c>
      <c r="O177" s="8">
        <f t="shared" si="41"/>
        <v>1467.17</v>
      </c>
      <c r="P177" s="11">
        <v>1.7999999999999999E-2</v>
      </c>
      <c r="Q177" s="13">
        <v>5</v>
      </c>
      <c r="R177" s="8">
        <f t="shared" si="42"/>
        <v>7203.8047000000006</v>
      </c>
      <c r="S177" s="8">
        <f t="shared" si="43"/>
        <v>3281</v>
      </c>
      <c r="T177" s="8">
        <f t="shared" si="44"/>
        <v>3922.8047000000006</v>
      </c>
      <c r="U177" s="11">
        <f t="shared" si="45"/>
        <v>0.54454623124360946</v>
      </c>
      <c r="V177" s="17">
        <v>45537</v>
      </c>
      <c r="W177" s="4" t="str">
        <f t="shared" si="46"/>
        <v>Q1-2024</v>
      </c>
      <c r="X177" t="str">
        <f t="shared" si="47"/>
        <v>Europe → France → Paris</v>
      </c>
      <c r="Y177" t="str">
        <f t="shared" si="48"/>
        <v>Medium</v>
      </c>
      <c r="Z177" s="20">
        <f t="shared" si="49"/>
        <v>45323</v>
      </c>
      <c r="AA177" s="4">
        <f t="array" ref="AA177">MIN(IF($F$2:$F$633=F177,$Z$2:$Z$633))</f>
        <v>44927</v>
      </c>
      <c r="AB177">
        <f t="shared" si="50"/>
        <v>13</v>
      </c>
      <c r="AC177">
        <f t="shared" si="51"/>
        <v>0</v>
      </c>
      <c r="AD177">
        <f t="shared" si="52"/>
        <v>0</v>
      </c>
      <c r="AE177" s="13">
        <f t="shared" si="53"/>
        <v>0</v>
      </c>
      <c r="AH177">
        <f t="shared" si="54"/>
        <v>6</v>
      </c>
      <c r="AI177">
        <f t="shared" si="55"/>
        <v>754.63</v>
      </c>
      <c r="AJ177" s="11">
        <f t="shared" si="56"/>
        <v>1.7999999999999999E-2</v>
      </c>
      <c r="AK177">
        <f t="shared" si="57"/>
        <v>8644.5656400000007</v>
      </c>
      <c r="AL177">
        <f t="shared" si="58"/>
        <v>4527.78</v>
      </c>
      <c r="AM177">
        <f t="shared" si="59"/>
        <v>4116.785640000001</v>
      </c>
    </row>
    <row r="178" spans="1:39" x14ac:dyDescent="0.25">
      <c r="A178" t="s">
        <v>442</v>
      </c>
      <c r="B178" s="4">
        <v>45347</v>
      </c>
      <c r="C178" s="4">
        <v>45360</v>
      </c>
      <c r="D178" s="13">
        <f t="shared" si="40"/>
        <v>13</v>
      </c>
      <c r="E178" s="6" t="s">
        <v>649</v>
      </c>
      <c r="F178" t="s">
        <v>657</v>
      </c>
      <c r="G178" t="s">
        <v>673</v>
      </c>
      <c r="H178" t="s">
        <v>705</v>
      </c>
      <c r="I178" t="s">
        <v>710</v>
      </c>
      <c r="J178" t="s">
        <v>718</v>
      </c>
      <c r="K178" t="s">
        <v>732</v>
      </c>
      <c r="L178" t="s">
        <v>1161</v>
      </c>
      <c r="M178" s="8">
        <v>322.44</v>
      </c>
      <c r="N178" s="8">
        <v>395.61</v>
      </c>
      <c r="O178" s="8">
        <f t="shared" si="41"/>
        <v>395.61</v>
      </c>
      <c r="P178" s="11">
        <v>0</v>
      </c>
      <c r="Q178" s="13">
        <v>34</v>
      </c>
      <c r="R178" s="8">
        <f t="shared" si="42"/>
        <v>13450.74</v>
      </c>
      <c r="S178" s="8">
        <f t="shared" si="43"/>
        <v>10962.96</v>
      </c>
      <c r="T178" s="8">
        <f t="shared" si="44"/>
        <v>2487.7800000000007</v>
      </c>
      <c r="U178" s="11">
        <f t="shared" si="45"/>
        <v>0.18495487980586947</v>
      </c>
      <c r="V178" s="17">
        <v>45511</v>
      </c>
      <c r="W178" s="4" t="str">
        <f t="shared" si="46"/>
        <v>Q1-2024</v>
      </c>
      <c r="X178" t="str">
        <f t="shared" si="47"/>
        <v>Europe → France → Marseille</v>
      </c>
      <c r="Y178" t="str">
        <f t="shared" si="48"/>
        <v>Low</v>
      </c>
      <c r="Z178" s="20">
        <f t="shared" si="49"/>
        <v>45323</v>
      </c>
      <c r="AA178" s="4">
        <f t="array" ref="AA178">MIN(IF($F$2:$F$633=F178,$Z$2:$Z$633))</f>
        <v>44927</v>
      </c>
      <c r="AB178">
        <f t="shared" si="50"/>
        <v>13</v>
      </c>
      <c r="AC178">
        <f t="shared" si="51"/>
        <v>0</v>
      </c>
      <c r="AD178">
        <f t="shared" si="52"/>
        <v>0</v>
      </c>
      <c r="AE178" s="13">
        <f t="shared" si="53"/>
        <v>0</v>
      </c>
      <c r="AH178">
        <f t="shared" si="54"/>
        <v>40.799999999999997</v>
      </c>
      <c r="AI178">
        <f t="shared" si="55"/>
        <v>370.80599999999998</v>
      </c>
      <c r="AJ178" s="11">
        <f t="shared" si="56"/>
        <v>0</v>
      </c>
      <c r="AK178">
        <f t="shared" si="57"/>
        <v>16140.887999999999</v>
      </c>
      <c r="AL178">
        <f t="shared" si="58"/>
        <v>15128.884799999998</v>
      </c>
      <c r="AM178">
        <f t="shared" si="59"/>
        <v>1012.003200000001</v>
      </c>
    </row>
    <row r="179" spans="1:39" x14ac:dyDescent="0.25">
      <c r="A179" t="s">
        <v>75</v>
      </c>
      <c r="B179" s="4">
        <v>45361</v>
      </c>
      <c r="C179" s="4">
        <v>45391</v>
      </c>
      <c r="D179" s="13">
        <f t="shared" si="40"/>
        <v>30</v>
      </c>
      <c r="E179" s="6" t="s">
        <v>649</v>
      </c>
      <c r="F179" t="s">
        <v>657</v>
      </c>
      <c r="G179" t="s">
        <v>679</v>
      </c>
      <c r="H179" t="s">
        <v>701</v>
      </c>
      <c r="I179" t="s">
        <v>711</v>
      </c>
      <c r="J179" t="s">
        <v>714</v>
      </c>
      <c r="K179" t="s">
        <v>727</v>
      </c>
      <c r="L179" t="s">
        <v>794</v>
      </c>
      <c r="M179" s="8">
        <v>1176.56</v>
      </c>
      <c r="N179" s="8">
        <v>1911.89</v>
      </c>
      <c r="O179" s="8">
        <f t="shared" si="41"/>
        <v>1911.89</v>
      </c>
      <c r="P179" s="11">
        <v>0.11899999999999999</v>
      </c>
      <c r="Q179" s="13">
        <v>20</v>
      </c>
      <c r="R179" s="8">
        <f t="shared" si="42"/>
        <v>33687.501800000005</v>
      </c>
      <c r="S179" s="8">
        <f t="shared" si="43"/>
        <v>23531.199999999997</v>
      </c>
      <c r="T179" s="8">
        <f t="shared" si="44"/>
        <v>10156.301800000008</v>
      </c>
      <c r="U179" s="11">
        <f t="shared" si="45"/>
        <v>0.30148575160892477</v>
      </c>
      <c r="V179" s="17">
        <v>45497</v>
      </c>
      <c r="W179" s="4" t="str">
        <f t="shared" si="46"/>
        <v>Q1-2024</v>
      </c>
      <c r="X179" t="str">
        <f t="shared" si="47"/>
        <v>Europe → France → Lyon</v>
      </c>
      <c r="Y179" t="str">
        <f t="shared" si="48"/>
        <v>High</v>
      </c>
      <c r="Z179" s="20">
        <f t="shared" si="49"/>
        <v>45352</v>
      </c>
      <c r="AA179" s="4">
        <f t="array" ref="AA179">MIN(IF($F$2:$F$633=F179,$Z$2:$Z$633))</f>
        <v>44927</v>
      </c>
      <c r="AB179">
        <f t="shared" si="50"/>
        <v>14</v>
      </c>
      <c r="AC179">
        <f t="shared" si="51"/>
        <v>0</v>
      </c>
      <c r="AD179">
        <f t="shared" si="52"/>
        <v>0</v>
      </c>
      <c r="AE179" s="13">
        <f t="shared" si="53"/>
        <v>0</v>
      </c>
      <c r="AH179">
        <f t="shared" si="54"/>
        <v>24</v>
      </c>
      <c r="AI179">
        <f t="shared" si="55"/>
        <v>1353.0439999999999</v>
      </c>
      <c r="AJ179" s="11">
        <f t="shared" si="56"/>
        <v>0.11899999999999999</v>
      </c>
      <c r="AK179">
        <f t="shared" si="57"/>
        <v>40425.002160000004</v>
      </c>
      <c r="AL179">
        <f t="shared" si="58"/>
        <v>32473.055999999997</v>
      </c>
      <c r="AM179">
        <f t="shared" si="59"/>
        <v>7951.9461600000068</v>
      </c>
    </row>
    <row r="180" spans="1:39" x14ac:dyDescent="0.25">
      <c r="A180" t="s">
        <v>288</v>
      </c>
      <c r="B180" s="4">
        <v>45367</v>
      </c>
      <c r="C180" s="4">
        <v>45395</v>
      </c>
      <c r="D180" s="13">
        <f t="shared" si="40"/>
        <v>28</v>
      </c>
      <c r="E180" s="6" t="s">
        <v>649</v>
      </c>
      <c r="F180" t="s">
        <v>657</v>
      </c>
      <c r="G180" t="s">
        <v>690</v>
      </c>
      <c r="H180" t="s">
        <v>705</v>
      </c>
      <c r="I180" t="s">
        <v>708</v>
      </c>
      <c r="J180" t="s">
        <v>723</v>
      </c>
      <c r="K180" t="s">
        <v>728</v>
      </c>
      <c r="L180" t="s">
        <v>1008</v>
      </c>
      <c r="M180" s="8">
        <v>287.61</v>
      </c>
      <c r="N180" s="8">
        <v>628.54</v>
      </c>
      <c r="O180" s="8">
        <f t="shared" si="41"/>
        <v>628.54</v>
      </c>
      <c r="P180" s="11">
        <v>0.13500000000000001</v>
      </c>
      <c r="Q180" s="13">
        <v>21</v>
      </c>
      <c r="R180" s="8">
        <f t="shared" si="42"/>
        <v>11417.429099999999</v>
      </c>
      <c r="S180" s="8">
        <f t="shared" si="43"/>
        <v>6039.81</v>
      </c>
      <c r="T180" s="8">
        <f t="shared" si="44"/>
        <v>5377.619099999999</v>
      </c>
      <c r="U180" s="11">
        <f t="shared" si="45"/>
        <v>0.47100087531964613</v>
      </c>
      <c r="V180" s="17">
        <v>45485</v>
      </c>
      <c r="W180" s="4" t="str">
        <f t="shared" si="46"/>
        <v>Q1-2024</v>
      </c>
      <c r="X180" t="str">
        <f t="shared" si="47"/>
        <v>Europe → France → Paris</v>
      </c>
      <c r="Y180" t="str">
        <f t="shared" si="48"/>
        <v>Low</v>
      </c>
      <c r="Z180" s="20">
        <f t="shared" si="49"/>
        <v>45352</v>
      </c>
      <c r="AA180" s="4">
        <f t="array" ref="AA180">MIN(IF($F$2:$F$633=F180,$Z$2:$Z$633))</f>
        <v>44927</v>
      </c>
      <c r="AB180">
        <f t="shared" si="50"/>
        <v>14</v>
      </c>
      <c r="AC180">
        <f t="shared" si="51"/>
        <v>0</v>
      </c>
      <c r="AD180">
        <f t="shared" si="52"/>
        <v>0</v>
      </c>
      <c r="AE180" s="13">
        <f t="shared" si="53"/>
        <v>0</v>
      </c>
      <c r="AH180">
        <f t="shared" si="54"/>
        <v>25.2</v>
      </c>
      <c r="AI180">
        <f t="shared" si="55"/>
        <v>330.75149999999996</v>
      </c>
      <c r="AJ180" s="11">
        <f t="shared" si="56"/>
        <v>0.13500000000000001</v>
      </c>
      <c r="AK180">
        <f t="shared" si="57"/>
        <v>13700.914919999999</v>
      </c>
      <c r="AL180">
        <f t="shared" si="58"/>
        <v>8334.9377999999997</v>
      </c>
      <c r="AM180">
        <f t="shared" si="59"/>
        <v>5365.9771199999996</v>
      </c>
    </row>
    <row r="181" spans="1:39" x14ac:dyDescent="0.25">
      <c r="A181" t="s">
        <v>349</v>
      </c>
      <c r="B181" s="4">
        <v>45391</v>
      </c>
      <c r="C181" s="4">
        <v>45400</v>
      </c>
      <c r="D181" s="13">
        <f t="shared" si="40"/>
        <v>9</v>
      </c>
      <c r="E181" s="6" t="s">
        <v>649</v>
      </c>
      <c r="F181" t="s">
        <v>657</v>
      </c>
      <c r="G181" t="s">
        <v>679</v>
      </c>
      <c r="H181" t="s">
        <v>704</v>
      </c>
      <c r="I181" t="s">
        <v>708</v>
      </c>
      <c r="J181" t="s">
        <v>718</v>
      </c>
      <c r="K181" t="s">
        <v>728</v>
      </c>
      <c r="L181" t="s">
        <v>1069</v>
      </c>
      <c r="M181" s="8">
        <v>1288.8499999999999</v>
      </c>
      <c r="N181" s="8">
        <v>2751.84</v>
      </c>
      <c r="O181" s="8">
        <f t="shared" si="41"/>
        <v>2751.84</v>
      </c>
      <c r="P181" s="11">
        <v>0.158</v>
      </c>
      <c r="Q181" s="13">
        <v>7</v>
      </c>
      <c r="R181" s="8">
        <f t="shared" si="42"/>
        <v>16219.34496</v>
      </c>
      <c r="S181" s="8">
        <f t="shared" si="43"/>
        <v>9021.9499999999989</v>
      </c>
      <c r="T181" s="8">
        <f t="shared" si="44"/>
        <v>7197.3949600000014</v>
      </c>
      <c r="U181" s="11">
        <f t="shared" si="45"/>
        <v>0.44375373837538756</v>
      </c>
      <c r="V181" s="17">
        <v>45449</v>
      </c>
      <c r="W181" s="4" t="str">
        <f t="shared" si="46"/>
        <v>Q2-2024</v>
      </c>
      <c r="X181" t="str">
        <f t="shared" si="47"/>
        <v>Europe → France → Lyon</v>
      </c>
      <c r="Y181" t="str">
        <f t="shared" si="48"/>
        <v>High</v>
      </c>
      <c r="Z181" s="20">
        <f t="shared" si="49"/>
        <v>45383</v>
      </c>
      <c r="AA181" s="4">
        <f t="array" ref="AA181">MIN(IF($F$2:$F$633=F181,$Z$2:$Z$633))</f>
        <v>44927</v>
      </c>
      <c r="AB181">
        <f t="shared" si="50"/>
        <v>15</v>
      </c>
      <c r="AC181">
        <f t="shared" si="51"/>
        <v>0</v>
      </c>
      <c r="AD181">
        <f t="shared" si="52"/>
        <v>0</v>
      </c>
      <c r="AE181" s="13">
        <f t="shared" si="53"/>
        <v>0</v>
      </c>
      <c r="AH181">
        <f t="shared" si="54"/>
        <v>8.4</v>
      </c>
      <c r="AI181">
        <f t="shared" si="55"/>
        <v>1482.1774999999998</v>
      </c>
      <c r="AJ181" s="11">
        <f t="shared" si="56"/>
        <v>0.158</v>
      </c>
      <c r="AK181">
        <f t="shared" si="57"/>
        <v>19463.213952000002</v>
      </c>
      <c r="AL181">
        <f t="shared" si="58"/>
        <v>12450.290999999999</v>
      </c>
      <c r="AM181">
        <f t="shared" si="59"/>
        <v>7012.9229520000026</v>
      </c>
    </row>
    <row r="182" spans="1:39" x14ac:dyDescent="0.25">
      <c r="A182" t="s">
        <v>473</v>
      </c>
      <c r="B182" s="4">
        <v>45417</v>
      </c>
      <c r="C182" s="4">
        <v>45430</v>
      </c>
      <c r="D182" s="13">
        <f t="shared" si="40"/>
        <v>13</v>
      </c>
      <c r="E182" s="6" t="s">
        <v>649</v>
      </c>
      <c r="F182" t="s">
        <v>657</v>
      </c>
      <c r="G182" t="s">
        <v>673</v>
      </c>
      <c r="H182" t="s">
        <v>701</v>
      </c>
      <c r="I182" t="s">
        <v>709</v>
      </c>
      <c r="J182" t="s">
        <v>720</v>
      </c>
      <c r="K182" t="s">
        <v>727</v>
      </c>
      <c r="L182" t="s">
        <v>1192</v>
      </c>
      <c r="M182" s="8">
        <v>1264.04</v>
      </c>
      <c r="N182" s="8">
        <v>1870.89</v>
      </c>
      <c r="O182" s="8">
        <f t="shared" si="41"/>
        <v>1870.89</v>
      </c>
      <c r="P182" s="11">
        <v>0</v>
      </c>
      <c r="Q182" s="13">
        <v>13</v>
      </c>
      <c r="R182" s="8">
        <f t="shared" si="42"/>
        <v>24321.57</v>
      </c>
      <c r="S182" s="8">
        <f t="shared" si="43"/>
        <v>16432.52</v>
      </c>
      <c r="T182" s="8">
        <f t="shared" si="44"/>
        <v>7889.0499999999993</v>
      </c>
      <c r="U182" s="11">
        <f t="shared" si="45"/>
        <v>0.32436433996653996</v>
      </c>
      <c r="V182" s="17">
        <v>45450</v>
      </c>
      <c r="W182" s="4" t="str">
        <f t="shared" si="46"/>
        <v>Q2-2024</v>
      </c>
      <c r="X182" t="str">
        <f t="shared" si="47"/>
        <v>Europe → France → Marseille</v>
      </c>
      <c r="Y182" t="str">
        <f t="shared" si="48"/>
        <v>High</v>
      </c>
      <c r="Z182" s="20">
        <f t="shared" si="49"/>
        <v>45413</v>
      </c>
      <c r="AA182" s="4">
        <f t="array" ref="AA182">MIN(IF($F$2:$F$633=F182,$Z$2:$Z$633))</f>
        <v>44927</v>
      </c>
      <c r="AB182">
        <f t="shared" si="50"/>
        <v>16</v>
      </c>
      <c r="AC182">
        <f t="shared" si="51"/>
        <v>0</v>
      </c>
      <c r="AD182">
        <f t="shared" si="52"/>
        <v>0</v>
      </c>
      <c r="AE182" s="13">
        <f t="shared" si="53"/>
        <v>0</v>
      </c>
      <c r="AH182">
        <f t="shared" si="54"/>
        <v>15.6</v>
      </c>
      <c r="AI182">
        <f t="shared" si="55"/>
        <v>1453.646</v>
      </c>
      <c r="AJ182" s="11">
        <f t="shared" si="56"/>
        <v>0</v>
      </c>
      <c r="AK182">
        <f t="shared" si="57"/>
        <v>29185.884000000002</v>
      </c>
      <c r="AL182">
        <f t="shared" si="58"/>
        <v>22676.8776</v>
      </c>
      <c r="AM182">
        <f t="shared" si="59"/>
        <v>6509.006400000002</v>
      </c>
    </row>
    <row r="183" spans="1:39" x14ac:dyDescent="0.25">
      <c r="A183" t="s">
        <v>425</v>
      </c>
      <c r="B183" s="4">
        <v>45430</v>
      </c>
      <c r="C183" s="4">
        <v>45433</v>
      </c>
      <c r="D183" s="13">
        <f t="shared" si="40"/>
        <v>3</v>
      </c>
      <c r="E183" s="6" t="s">
        <v>649</v>
      </c>
      <c r="F183" t="s">
        <v>657</v>
      </c>
      <c r="G183" t="s">
        <v>673</v>
      </c>
      <c r="H183" t="s">
        <v>703</v>
      </c>
      <c r="I183" t="s">
        <v>709</v>
      </c>
      <c r="J183" t="s">
        <v>726</v>
      </c>
      <c r="K183" t="s">
        <v>728</v>
      </c>
      <c r="L183" t="s">
        <v>1144</v>
      </c>
      <c r="M183" s="8">
        <v>663.66</v>
      </c>
      <c r="N183" s="8">
        <v>824.26</v>
      </c>
      <c r="O183" s="8">
        <f t="shared" si="41"/>
        <v>824.26</v>
      </c>
      <c r="P183" s="11">
        <v>0.23899999999999999</v>
      </c>
      <c r="Q183" s="13">
        <v>11</v>
      </c>
      <c r="R183" s="8">
        <f t="shared" si="42"/>
        <v>6899.8804600000003</v>
      </c>
      <c r="S183" s="8">
        <f t="shared" si="43"/>
        <v>7300.2599999999993</v>
      </c>
      <c r="T183" s="8">
        <f t="shared" si="44"/>
        <v>-400.379539999999</v>
      </c>
      <c r="U183" s="11">
        <f t="shared" si="45"/>
        <v>-5.8027025587048933E-2</v>
      </c>
      <c r="V183" s="17">
        <v>45426</v>
      </c>
      <c r="W183" s="4" t="str">
        <f t="shared" si="46"/>
        <v>Q2-2024</v>
      </c>
      <c r="X183" t="str">
        <f t="shared" si="47"/>
        <v>Europe → France → Marseille</v>
      </c>
      <c r="Y183" t="str">
        <f t="shared" si="48"/>
        <v>Medium</v>
      </c>
      <c r="Z183" s="20">
        <f t="shared" si="49"/>
        <v>45413</v>
      </c>
      <c r="AA183" s="4">
        <f t="array" ref="AA183">MIN(IF($F$2:$F$633=F183,$Z$2:$Z$633))</f>
        <v>44927</v>
      </c>
      <c r="AB183">
        <f t="shared" si="50"/>
        <v>16</v>
      </c>
      <c r="AC183">
        <f t="shared" si="51"/>
        <v>1</v>
      </c>
      <c r="AD183">
        <f t="shared" si="52"/>
        <v>1</v>
      </c>
      <c r="AE183" s="13">
        <f t="shared" si="53"/>
        <v>1</v>
      </c>
      <c r="AH183">
        <f t="shared" si="54"/>
        <v>13.2</v>
      </c>
      <c r="AI183">
        <f t="shared" si="55"/>
        <v>763.20899999999995</v>
      </c>
      <c r="AJ183" s="11">
        <f t="shared" si="56"/>
        <v>0.23899999999999999</v>
      </c>
      <c r="AK183">
        <f t="shared" si="57"/>
        <v>8279.8565519999993</v>
      </c>
      <c r="AL183">
        <f t="shared" si="58"/>
        <v>10074.358799999998</v>
      </c>
      <c r="AM183">
        <f t="shared" si="59"/>
        <v>-1794.5022479999989</v>
      </c>
    </row>
    <row r="184" spans="1:39" x14ac:dyDescent="0.25">
      <c r="A184" t="s">
        <v>182</v>
      </c>
      <c r="B184" s="4">
        <v>45435</v>
      </c>
      <c r="C184" s="4">
        <v>45457</v>
      </c>
      <c r="D184" s="13">
        <f t="shared" si="40"/>
        <v>22</v>
      </c>
      <c r="E184" s="6" t="s">
        <v>649</v>
      </c>
      <c r="F184" t="s">
        <v>657</v>
      </c>
      <c r="G184" t="s">
        <v>673</v>
      </c>
      <c r="H184" t="s">
        <v>705</v>
      </c>
      <c r="I184" t="s">
        <v>708</v>
      </c>
      <c r="J184" t="s">
        <v>725</v>
      </c>
      <c r="K184" t="s">
        <v>732</v>
      </c>
      <c r="L184" t="s">
        <v>901</v>
      </c>
      <c r="M184" s="8">
        <v>1481.74</v>
      </c>
      <c r="N184" s="8">
        <v>1848.97</v>
      </c>
      <c r="O184" s="8">
        <f t="shared" si="41"/>
        <v>1848.97</v>
      </c>
      <c r="P184" s="11">
        <v>0.254</v>
      </c>
      <c r="Q184" s="13">
        <v>9</v>
      </c>
      <c r="R184" s="8">
        <f t="shared" si="42"/>
        <v>12413.98458</v>
      </c>
      <c r="S184" s="8">
        <f t="shared" si="43"/>
        <v>13335.66</v>
      </c>
      <c r="T184" s="8">
        <f t="shared" si="44"/>
        <v>-921.67541999999958</v>
      </c>
      <c r="U184" s="11">
        <f t="shared" si="45"/>
        <v>-7.4244930309072407E-2</v>
      </c>
      <c r="V184" s="17">
        <v>45430</v>
      </c>
      <c r="W184" s="4" t="str">
        <f t="shared" si="46"/>
        <v>Q2-2024</v>
      </c>
      <c r="X184" t="str">
        <f t="shared" si="47"/>
        <v>Europe → France → Marseille</v>
      </c>
      <c r="Y184" t="str">
        <f t="shared" si="48"/>
        <v>High</v>
      </c>
      <c r="Z184" s="20">
        <f t="shared" si="49"/>
        <v>45413</v>
      </c>
      <c r="AA184" s="4">
        <f t="array" ref="AA184">MIN(IF($F$2:$F$633=F184,$Z$2:$Z$633))</f>
        <v>44927</v>
      </c>
      <c r="AB184">
        <f t="shared" si="50"/>
        <v>16</v>
      </c>
      <c r="AC184">
        <f t="shared" si="51"/>
        <v>0</v>
      </c>
      <c r="AD184">
        <f t="shared" si="52"/>
        <v>1</v>
      </c>
      <c r="AE184" s="13">
        <f t="shared" si="53"/>
        <v>0</v>
      </c>
      <c r="AH184">
        <f t="shared" si="54"/>
        <v>10.799999999999999</v>
      </c>
      <c r="AI184">
        <f t="shared" si="55"/>
        <v>1704.001</v>
      </c>
      <c r="AJ184" s="11">
        <f t="shared" si="56"/>
        <v>0.25</v>
      </c>
      <c r="AK184">
        <f t="shared" si="57"/>
        <v>14976.656999999997</v>
      </c>
      <c r="AL184">
        <f t="shared" si="58"/>
        <v>18403.210799999997</v>
      </c>
      <c r="AM184">
        <f t="shared" si="59"/>
        <v>-3426.5537999999997</v>
      </c>
    </row>
    <row r="185" spans="1:39" x14ac:dyDescent="0.25">
      <c r="A185" t="s">
        <v>534</v>
      </c>
      <c r="B185" s="4">
        <v>45482</v>
      </c>
      <c r="C185" s="4">
        <v>45512</v>
      </c>
      <c r="D185" s="13">
        <f t="shared" si="40"/>
        <v>30</v>
      </c>
      <c r="E185" s="6" t="s">
        <v>649</v>
      </c>
      <c r="F185" t="s">
        <v>657</v>
      </c>
      <c r="G185" t="s">
        <v>673</v>
      </c>
      <c r="H185" t="s">
        <v>701</v>
      </c>
      <c r="I185" t="s">
        <v>711</v>
      </c>
      <c r="J185" t="s">
        <v>713</v>
      </c>
      <c r="K185" t="s">
        <v>727</v>
      </c>
      <c r="L185" t="s">
        <v>1253</v>
      </c>
      <c r="M185" s="8">
        <v>1062.3800000000001</v>
      </c>
      <c r="N185" s="8">
        <v>1503.96</v>
      </c>
      <c r="O185" s="8">
        <f t="shared" si="41"/>
        <v>1503.96</v>
      </c>
      <c r="P185" s="11">
        <v>0.18</v>
      </c>
      <c r="Q185" s="13">
        <v>6</v>
      </c>
      <c r="R185" s="8">
        <f t="shared" si="42"/>
        <v>7399.4832000000006</v>
      </c>
      <c r="S185" s="8">
        <f t="shared" si="43"/>
        <v>6374.2800000000007</v>
      </c>
      <c r="T185" s="8">
        <f t="shared" si="44"/>
        <v>1025.2031999999999</v>
      </c>
      <c r="U185" s="11">
        <f t="shared" si="45"/>
        <v>0.13855064905073369</v>
      </c>
      <c r="V185" s="17">
        <v>45377</v>
      </c>
      <c r="W185" s="4" t="str">
        <f t="shared" si="46"/>
        <v>Q3-2024</v>
      </c>
      <c r="X185" t="str">
        <f t="shared" si="47"/>
        <v>Europe → France → Marseille</v>
      </c>
      <c r="Y185" t="str">
        <f t="shared" si="48"/>
        <v>Medium</v>
      </c>
      <c r="Z185" s="20">
        <f t="shared" si="49"/>
        <v>45474</v>
      </c>
      <c r="AA185" s="4">
        <f t="array" ref="AA185">MIN(IF($F$2:$F$633=F185,$Z$2:$Z$633))</f>
        <v>44927</v>
      </c>
      <c r="AB185">
        <f t="shared" si="50"/>
        <v>18</v>
      </c>
      <c r="AC185">
        <f t="shared" si="51"/>
        <v>0</v>
      </c>
      <c r="AD185">
        <f t="shared" si="52"/>
        <v>0</v>
      </c>
      <c r="AE185" s="13">
        <f t="shared" si="53"/>
        <v>0</v>
      </c>
      <c r="AH185">
        <f t="shared" si="54"/>
        <v>7.1999999999999993</v>
      </c>
      <c r="AI185">
        <f t="shared" si="55"/>
        <v>1221.7370000000001</v>
      </c>
      <c r="AJ185" s="11">
        <f t="shared" si="56"/>
        <v>0.18</v>
      </c>
      <c r="AK185">
        <f t="shared" si="57"/>
        <v>8879.3798399999996</v>
      </c>
      <c r="AL185">
        <f t="shared" si="58"/>
        <v>8796.5064000000002</v>
      </c>
      <c r="AM185">
        <f t="shared" si="59"/>
        <v>82.873439999999391</v>
      </c>
    </row>
    <row r="186" spans="1:39" x14ac:dyDescent="0.25">
      <c r="A186" t="s">
        <v>398</v>
      </c>
      <c r="B186" s="4">
        <v>45491</v>
      </c>
      <c r="C186" s="4">
        <v>45511</v>
      </c>
      <c r="D186" s="13">
        <f t="shared" si="40"/>
        <v>20</v>
      </c>
      <c r="E186" s="6" t="s">
        <v>649</v>
      </c>
      <c r="F186" t="s">
        <v>657</v>
      </c>
      <c r="G186" t="s">
        <v>673</v>
      </c>
      <c r="H186" t="s">
        <v>701</v>
      </c>
      <c r="I186" t="s">
        <v>707</v>
      </c>
      <c r="J186" t="s">
        <v>721</v>
      </c>
      <c r="K186" t="s">
        <v>732</v>
      </c>
      <c r="L186" t="s">
        <v>1117</v>
      </c>
      <c r="M186" s="8">
        <v>941.35</v>
      </c>
      <c r="N186" s="8">
        <v>899.83</v>
      </c>
      <c r="O186" s="8">
        <f t="shared" si="41"/>
        <v>899.83</v>
      </c>
      <c r="P186" s="11">
        <v>5.8000000000000003E-2</v>
      </c>
      <c r="Q186" s="13">
        <v>18</v>
      </c>
      <c r="R186" s="8">
        <f t="shared" si="42"/>
        <v>15257.51748</v>
      </c>
      <c r="S186" s="8">
        <f t="shared" si="43"/>
        <v>16944.3</v>
      </c>
      <c r="T186" s="8">
        <f t="shared" si="44"/>
        <v>-1686.7825199999988</v>
      </c>
      <c r="U186" s="11">
        <f t="shared" si="45"/>
        <v>-0.11055419220139073</v>
      </c>
      <c r="V186" s="17">
        <v>45360</v>
      </c>
      <c r="W186" s="4" t="str">
        <f t="shared" si="46"/>
        <v>Q3-2024</v>
      </c>
      <c r="X186" t="str">
        <f t="shared" si="47"/>
        <v>Europe → France → Marseille</v>
      </c>
      <c r="Y186" t="str">
        <f t="shared" si="48"/>
        <v>Medium</v>
      </c>
      <c r="Z186" s="20">
        <f t="shared" si="49"/>
        <v>45474</v>
      </c>
      <c r="AA186" s="4">
        <f t="array" ref="AA186">MIN(IF($F$2:$F$633=F186,$Z$2:$Z$633))</f>
        <v>44927</v>
      </c>
      <c r="AB186">
        <f t="shared" si="50"/>
        <v>18</v>
      </c>
      <c r="AC186">
        <f t="shared" si="51"/>
        <v>0</v>
      </c>
      <c r="AD186">
        <f t="shared" si="52"/>
        <v>0</v>
      </c>
      <c r="AE186" s="13">
        <f t="shared" si="53"/>
        <v>0</v>
      </c>
      <c r="AH186">
        <f t="shared" si="54"/>
        <v>21.599999999999998</v>
      </c>
      <c r="AI186">
        <f t="shared" si="55"/>
        <v>1082.5525</v>
      </c>
      <c r="AJ186" s="11">
        <f t="shared" si="56"/>
        <v>5.8000000000000003E-2</v>
      </c>
      <c r="AK186">
        <f t="shared" si="57"/>
        <v>18309.020975999996</v>
      </c>
      <c r="AL186">
        <f t="shared" si="58"/>
        <v>23383.133999999998</v>
      </c>
      <c r="AM186">
        <f t="shared" si="59"/>
        <v>-5074.113024000002</v>
      </c>
    </row>
    <row r="187" spans="1:39" x14ac:dyDescent="0.25">
      <c r="A187" t="s">
        <v>417</v>
      </c>
      <c r="B187" s="4">
        <v>45497</v>
      </c>
      <c r="C187" s="4">
        <v>45512</v>
      </c>
      <c r="D187" s="13">
        <f t="shared" si="40"/>
        <v>15</v>
      </c>
      <c r="E187" s="6" t="s">
        <v>649</v>
      </c>
      <c r="F187" t="s">
        <v>657</v>
      </c>
      <c r="G187" t="s">
        <v>673</v>
      </c>
      <c r="H187" t="s">
        <v>706</v>
      </c>
      <c r="I187" t="s">
        <v>709</v>
      </c>
      <c r="J187" t="s">
        <v>722</v>
      </c>
      <c r="K187" t="s">
        <v>731</v>
      </c>
      <c r="L187" t="s">
        <v>1136</v>
      </c>
      <c r="M187" s="8">
        <v>501.5</v>
      </c>
      <c r="N187" s="8">
        <v>1201.47</v>
      </c>
      <c r="O187" s="8">
        <f t="shared" si="41"/>
        <v>1201.47</v>
      </c>
      <c r="P187" s="11">
        <v>0.126</v>
      </c>
      <c r="Q187" s="13">
        <v>5</v>
      </c>
      <c r="R187" s="8">
        <f t="shared" si="42"/>
        <v>5250.4239000000007</v>
      </c>
      <c r="S187" s="8">
        <f t="shared" si="43"/>
        <v>2507.5</v>
      </c>
      <c r="T187" s="8">
        <f t="shared" si="44"/>
        <v>2742.9239000000007</v>
      </c>
      <c r="U187" s="11">
        <f t="shared" si="45"/>
        <v>0.52241951359394057</v>
      </c>
      <c r="V187" s="17">
        <v>45349</v>
      </c>
      <c r="W187" s="4" t="str">
        <f t="shared" si="46"/>
        <v>Q3-2024</v>
      </c>
      <c r="X187" t="str">
        <f t="shared" si="47"/>
        <v>Europe → France → Marseille</v>
      </c>
      <c r="Y187" t="str">
        <f t="shared" si="48"/>
        <v>Medium</v>
      </c>
      <c r="Z187" s="20">
        <f t="shared" si="49"/>
        <v>45474</v>
      </c>
      <c r="AA187" s="4">
        <f t="array" ref="AA187">MIN(IF($F$2:$F$633=F187,$Z$2:$Z$633))</f>
        <v>44927</v>
      </c>
      <c r="AB187">
        <f t="shared" si="50"/>
        <v>18</v>
      </c>
      <c r="AC187">
        <f t="shared" si="51"/>
        <v>0</v>
      </c>
      <c r="AD187">
        <f t="shared" si="52"/>
        <v>0</v>
      </c>
      <c r="AE187" s="13">
        <f t="shared" si="53"/>
        <v>0</v>
      </c>
      <c r="AH187">
        <f t="shared" si="54"/>
        <v>6</v>
      </c>
      <c r="AI187">
        <f t="shared" si="55"/>
        <v>576.72499999999991</v>
      </c>
      <c r="AJ187" s="11">
        <f t="shared" si="56"/>
        <v>0.126</v>
      </c>
      <c r="AK187">
        <f t="shared" si="57"/>
        <v>6300.5086799999999</v>
      </c>
      <c r="AL187">
        <f t="shared" si="58"/>
        <v>3460.3499999999995</v>
      </c>
      <c r="AM187">
        <f t="shared" si="59"/>
        <v>2840.1586800000005</v>
      </c>
    </row>
    <row r="188" spans="1:39" x14ac:dyDescent="0.25">
      <c r="A188" t="s">
        <v>405</v>
      </c>
      <c r="B188" s="4">
        <v>45514</v>
      </c>
      <c r="C188" s="4">
        <v>45542</v>
      </c>
      <c r="D188" s="13">
        <f t="shared" si="40"/>
        <v>28</v>
      </c>
      <c r="E188" s="6" t="s">
        <v>649</v>
      </c>
      <c r="F188" t="s">
        <v>657</v>
      </c>
      <c r="G188" t="s">
        <v>673</v>
      </c>
      <c r="H188" t="s">
        <v>703</v>
      </c>
      <c r="I188" t="s">
        <v>711</v>
      </c>
      <c r="J188" t="s">
        <v>721</v>
      </c>
      <c r="K188" t="s">
        <v>728</v>
      </c>
      <c r="L188" t="s">
        <v>1124</v>
      </c>
      <c r="M188" s="8">
        <v>229.96</v>
      </c>
      <c r="N188" s="8">
        <v>564.26</v>
      </c>
      <c r="O188" s="8">
        <f t="shared" si="41"/>
        <v>564.26</v>
      </c>
      <c r="P188" s="11">
        <v>0.105</v>
      </c>
      <c r="Q188" s="13">
        <v>5</v>
      </c>
      <c r="R188" s="8">
        <f t="shared" si="42"/>
        <v>2525.0635000000002</v>
      </c>
      <c r="S188" s="8">
        <f t="shared" si="43"/>
        <v>1149.8</v>
      </c>
      <c r="T188" s="8">
        <f t="shared" si="44"/>
        <v>1375.2635000000002</v>
      </c>
      <c r="U188" s="11">
        <f t="shared" si="45"/>
        <v>0.54464511486542821</v>
      </c>
      <c r="V188" s="17">
        <v>45341</v>
      </c>
      <c r="W188" s="4" t="str">
        <f t="shared" si="46"/>
        <v>Q3-2024</v>
      </c>
      <c r="X188" t="str">
        <f t="shared" si="47"/>
        <v>Europe → France → Marseille</v>
      </c>
      <c r="Y188" t="str">
        <f t="shared" si="48"/>
        <v>Low</v>
      </c>
      <c r="Z188" s="20">
        <f t="shared" si="49"/>
        <v>45505</v>
      </c>
      <c r="AA188" s="4">
        <f t="array" ref="AA188">MIN(IF($F$2:$F$633=F188,$Z$2:$Z$633))</f>
        <v>44927</v>
      </c>
      <c r="AB188">
        <f t="shared" si="50"/>
        <v>19</v>
      </c>
      <c r="AC188">
        <f t="shared" si="51"/>
        <v>0</v>
      </c>
      <c r="AD188">
        <f t="shared" si="52"/>
        <v>0</v>
      </c>
      <c r="AE188" s="13">
        <f t="shared" si="53"/>
        <v>0</v>
      </c>
      <c r="AH188">
        <f t="shared" si="54"/>
        <v>6</v>
      </c>
      <c r="AI188">
        <f t="shared" si="55"/>
        <v>264.45400000000001</v>
      </c>
      <c r="AJ188" s="11">
        <f t="shared" si="56"/>
        <v>0.105</v>
      </c>
      <c r="AK188">
        <f t="shared" si="57"/>
        <v>3030.0762</v>
      </c>
      <c r="AL188">
        <f t="shared" si="58"/>
        <v>1586.7240000000002</v>
      </c>
      <c r="AM188">
        <f t="shared" si="59"/>
        <v>1443.3521999999998</v>
      </c>
    </row>
    <row r="189" spans="1:39" x14ac:dyDescent="0.25">
      <c r="A189" t="s">
        <v>505</v>
      </c>
      <c r="B189" s="4">
        <v>45523</v>
      </c>
      <c r="C189" s="4">
        <v>45542</v>
      </c>
      <c r="D189" s="13">
        <f t="shared" si="40"/>
        <v>19</v>
      </c>
      <c r="E189" s="6" t="s">
        <v>649</v>
      </c>
      <c r="F189" t="s">
        <v>657</v>
      </c>
      <c r="G189" t="s">
        <v>679</v>
      </c>
      <c r="H189" t="s">
        <v>701</v>
      </c>
      <c r="I189" t="s">
        <v>711</v>
      </c>
      <c r="J189" t="s">
        <v>713</v>
      </c>
      <c r="K189" t="s">
        <v>727</v>
      </c>
      <c r="L189" t="s">
        <v>1224</v>
      </c>
      <c r="M189" s="8">
        <v>297.58999999999997</v>
      </c>
      <c r="N189" s="8">
        <v>666.41</v>
      </c>
      <c r="O189" s="8">
        <f t="shared" si="41"/>
        <v>666.41</v>
      </c>
      <c r="P189" s="11">
        <v>0</v>
      </c>
      <c r="Q189" s="13">
        <v>10</v>
      </c>
      <c r="R189" s="8">
        <f t="shared" si="42"/>
        <v>6664.0999999999995</v>
      </c>
      <c r="S189" s="8">
        <f t="shared" si="43"/>
        <v>2975.8999999999996</v>
      </c>
      <c r="T189" s="8">
        <f t="shared" si="44"/>
        <v>3688.2</v>
      </c>
      <c r="U189" s="11">
        <f t="shared" si="45"/>
        <v>0.55344307558409989</v>
      </c>
      <c r="V189" s="17">
        <v>45328</v>
      </c>
      <c r="W189" s="4" t="str">
        <f t="shared" si="46"/>
        <v>Q3-2024</v>
      </c>
      <c r="X189" t="str">
        <f t="shared" si="47"/>
        <v>Europe → France → Lyon</v>
      </c>
      <c r="Y189" t="str">
        <f t="shared" si="48"/>
        <v>Low</v>
      </c>
      <c r="Z189" s="20">
        <f t="shared" si="49"/>
        <v>45505</v>
      </c>
      <c r="AA189" s="4">
        <f t="array" ref="AA189">MIN(IF($F$2:$F$633=F189,$Z$2:$Z$633))</f>
        <v>44927</v>
      </c>
      <c r="AB189">
        <f t="shared" si="50"/>
        <v>19</v>
      </c>
      <c r="AC189">
        <f t="shared" si="51"/>
        <v>0</v>
      </c>
      <c r="AD189">
        <f t="shared" si="52"/>
        <v>0</v>
      </c>
      <c r="AE189" s="13">
        <f t="shared" si="53"/>
        <v>0</v>
      </c>
      <c r="AH189">
        <f t="shared" si="54"/>
        <v>12</v>
      </c>
      <c r="AI189">
        <f t="shared" si="55"/>
        <v>342.22849999999994</v>
      </c>
      <c r="AJ189" s="11">
        <f t="shared" si="56"/>
        <v>0</v>
      </c>
      <c r="AK189">
        <f t="shared" si="57"/>
        <v>7996.92</v>
      </c>
      <c r="AL189">
        <f t="shared" si="58"/>
        <v>4106.7419999999993</v>
      </c>
      <c r="AM189">
        <f t="shared" si="59"/>
        <v>3890.1780000000008</v>
      </c>
    </row>
    <row r="190" spans="1:39" x14ac:dyDescent="0.25">
      <c r="A190" t="s">
        <v>633</v>
      </c>
      <c r="B190" s="4">
        <v>45578</v>
      </c>
      <c r="C190" s="4">
        <v>45589</v>
      </c>
      <c r="D190" s="13">
        <f t="shared" si="40"/>
        <v>11</v>
      </c>
      <c r="E190" s="6" t="s">
        <v>649</v>
      </c>
      <c r="F190" t="s">
        <v>657</v>
      </c>
      <c r="G190" t="s">
        <v>690</v>
      </c>
      <c r="H190" t="s">
        <v>702</v>
      </c>
      <c r="I190" t="s">
        <v>710</v>
      </c>
      <c r="J190" t="s">
        <v>721</v>
      </c>
      <c r="K190" t="s">
        <v>727</v>
      </c>
      <c r="L190" t="s">
        <v>1351</v>
      </c>
      <c r="M190" s="8">
        <v>816.7</v>
      </c>
      <c r="N190" s="8">
        <v>1010.75</v>
      </c>
      <c r="O190" s="8">
        <f t="shared" si="41"/>
        <v>1010.75</v>
      </c>
      <c r="P190" s="11">
        <v>4.7E-2</v>
      </c>
      <c r="Q190" s="13">
        <v>43</v>
      </c>
      <c r="R190" s="8">
        <f t="shared" si="42"/>
        <v>41419.524249999995</v>
      </c>
      <c r="S190" s="8">
        <f t="shared" si="43"/>
        <v>35118.1</v>
      </c>
      <c r="T190" s="8">
        <f t="shared" si="44"/>
        <v>6301.4242499999964</v>
      </c>
      <c r="U190" s="11">
        <f t="shared" si="45"/>
        <v>0.15213656757537472</v>
      </c>
      <c r="V190" s="17">
        <v>45290</v>
      </c>
      <c r="W190" s="4" t="str">
        <f t="shared" si="46"/>
        <v>Q4-2024</v>
      </c>
      <c r="X190" t="str">
        <f t="shared" si="47"/>
        <v>Europe → France → Paris</v>
      </c>
      <c r="Y190" t="str">
        <f t="shared" si="48"/>
        <v>Medium</v>
      </c>
      <c r="Z190" s="20">
        <f t="shared" si="49"/>
        <v>45566</v>
      </c>
      <c r="AA190" s="4">
        <f t="array" ref="AA190">MIN(IF($F$2:$F$633=F190,$Z$2:$Z$633))</f>
        <v>44927</v>
      </c>
      <c r="AB190">
        <f t="shared" si="50"/>
        <v>21</v>
      </c>
      <c r="AC190">
        <f t="shared" si="51"/>
        <v>0</v>
      </c>
      <c r="AD190">
        <f t="shared" si="52"/>
        <v>0</v>
      </c>
      <c r="AE190" s="13">
        <f t="shared" si="53"/>
        <v>0</v>
      </c>
      <c r="AH190">
        <f t="shared" si="54"/>
        <v>51.6</v>
      </c>
      <c r="AI190">
        <f t="shared" si="55"/>
        <v>939.20499999999993</v>
      </c>
      <c r="AJ190" s="11">
        <f t="shared" si="56"/>
        <v>4.7E-2</v>
      </c>
      <c r="AK190">
        <f t="shared" si="57"/>
        <v>49703.429100000001</v>
      </c>
      <c r="AL190">
        <f t="shared" si="58"/>
        <v>48462.977999999996</v>
      </c>
      <c r="AM190">
        <f t="shared" si="59"/>
        <v>1240.4511000000057</v>
      </c>
    </row>
    <row r="191" spans="1:39" x14ac:dyDescent="0.25">
      <c r="A191" t="s">
        <v>582</v>
      </c>
      <c r="B191" s="4">
        <v>45600</v>
      </c>
      <c r="C191" s="4">
        <v>45603</v>
      </c>
      <c r="D191" s="13">
        <f t="shared" si="40"/>
        <v>3</v>
      </c>
      <c r="E191" s="6" t="s">
        <v>649</v>
      </c>
      <c r="F191" t="s">
        <v>657</v>
      </c>
      <c r="G191" t="s">
        <v>679</v>
      </c>
      <c r="H191" t="s">
        <v>701</v>
      </c>
      <c r="I191" t="s">
        <v>708</v>
      </c>
      <c r="J191" t="s">
        <v>719</v>
      </c>
      <c r="K191" t="s">
        <v>732</v>
      </c>
      <c r="L191" t="s">
        <v>1300</v>
      </c>
      <c r="M191" s="8">
        <v>740.68</v>
      </c>
      <c r="N191" s="8">
        <v>1837.19</v>
      </c>
      <c r="O191" s="8">
        <f t="shared" si="41"/>
        <v>1837.19</v>
      </c>
      <c r="P191" s="11">
        <v>0.19700000000000001</v>
      </c>
      <c r="Q191" s="13">
        <v>17</v>
      </c>
      <c r="R191" s="8">
        <f t="shared" si="42"/>
        <v>25079.480689999997</v>
      </c>
      <c r="S191" s="8">
        <f t="shared" si="43"/>
        <v>12591.56</v>
      </c>
      <c r="T191" s="8">
        <f t="shared" si="44"/>
        <v>12487.920689999997</v>
      </c>
      <c r="U191" s="11">
        <f t="shared" si="45"/>
        <v>0.4979337827748298</v>
      </c>
      <c r="V191" s="17">
        <v>45249</v>
      </c>
      <c r="W191" s="4" t="str">
        <f t="shared" si="46"/>
        <v>Q4-2024</v>
      </c>
      <c r="X191" t="str">
        <f t="shared" si="47"/>
        <v>Europe → France → Lyon</v>
      </c>
      <c r="Y191" t="str">
        <f t="shared" si="48"/>
        <v>High</v>
      </c>
      <c r="Z191" s="20">
        <f t="shared" si="49"/>
        <v>45597</v>
      </c>
      <c r="AA191" s="4">
        <f t="array" ref="AA191">MIN(IF($F$2:$F$633=F191,$Z$2:$Z$633))</f>
        <v>44927</v>
      </c>
      <c r="AB191">
        <f t="shared" si="50"/>
        <v>22</v>
      </c>
      <c r="AC191">
        <f t="shared" si="51"/>
        <v>1</v>
      </c>
      <c r="AD191">
        <f t="shared" si="52"/>
        <v>0</v>
      </c>
      <c r="AE191" s="13">
        <f t="shared" si="53"/>
        <v>1</v>
      </c>
      <c r="AH191">
        <f t="shared" si="54"/>
        <v>20.399999999999999</v>
      </c>
      <c r="AI191">
        <f t="shared" si="55"/>
        <v>851.78199999999993</v>
      </c>
      <c r="AJ191" s="11">
        <f t="shared" si="56"/>
        <v>0.19700000000000001</v>
      </c>
      <c r="AK191">
        <f t="shared" si="57"/>
        <v>30095.376827999997</v>
      </c>
      <c r="AL191">
        <f t="shared" si="58"/>
        <v>17376.352799999997</v>
      </c>
      <c r="AM191">
        <f t="shared" si="59"/>
        <v>12719.024028</v>
      </c>
    </row>
    <row r="192" spans="1:39" x14ac:dyDescent="0.25">
      <c r="A192" t="s">
        <v>153</v>
      </c>
      <c r="B192" s="4">
        <v>45616</v>
      </c>
      <c r="C192" s="4">
        <v>45641</v>
      </c>
      <c r="D192" s="13">
        <f t="shared" si="40"/>
        <v>25</v>
      </c>
      <c r="E192" s="6" t="s">
        <v>649</v>
      </c>
      <c r="F192" t="s">
        <v>657</v>
      </c>
      <c r="G192" t="s">
        <v>690</v>
      </c>
      <c r="H192" t="s">
        <v>701</v>
      </c>
      <c r="I192" t="s">
        <v>708</v>
      </c>
      <c r="J192" t="s">
        <v>715</v>
      </c>
      <c r="K192" t="s">
        <v>728</v>
      </c>
      <c r="L192" t="s">
        <v>872</v>
      </c>
      <c r="M192" s="8">
        <v>1203.58</v>
      </c>
      <c r="N192" s="8">
        <v>1856.16</v>
      </c>
      <c r="O192" s="8">
        <f t="shared" si="41"/>
        <v>1856.16</v>
      </c>
      <c r="P192" s="11">
        <v>0.129</v>
      </c>
      <c r="Q192" s="13">
        <v>22</v>
      </c>
      <c r="R192" s="8">
        <f t="shared" si="42"/>
        <v>35567.737920000007</v>
      </c>
      <c r="S192" s="8">
        <f t="shared" si="43"/>
        <v>26478.76</v>
      </c>
      <c r="T192" s="8">
        <f t="shared" si="44"/>
        <v>9088.9779200000085</v>
      </c>
      <c r="U192" s="11">
        <f t="shared" si="45"/>
        <v>0.25553994860295032</v>
      </c>
      <c r="V192" s="17">
        <v>45259</v>
      </c>
      <c r="W192" s="4" t="str">
        <f t="shared" si="46"/>
        <v>Q4-2024</v>
      </c>
      <c r="X192" t="str">
        <f t="shared" si="47"/>
        <v>Europe → France → Paris</v>
      </c>
      <c r="Y192" t="str">
        <f t="shared" si="48"/>
        <v>High</v>
      </c>
      <c r="Z192" s="20">
        <f t="shared" si="49"/>
        <v>45597</v>
      </c>
      <c r="AA192" s="4">
        <f t="array" ref="AA192">MIN(IF($F$2:$F$633=F192,$Z$2:$Z$633))</f>
        <v>44927</v>
      </c>
      <c r="AB192">
        <f t="shared" si="50"/>
        <v>22</v>
      </c>
      <c r="AC192">
        <f t="shared" si="51"/>
        <v>0</v>
      </c>
      <c r="AD192">
        <f t="shared" si="52"/>
        <v>0</v>
      </c>
      <c r="AE192" s="13">
        <f t="shared" si="53"/>
        <v>0</v>
      </c>
      <c r="AH192">
        <f t="shared" si="54"/>
        <v>26.4</v>
      </c>
      <c r="AI192">
        <f t="shared" si="55"/>
        <v>1384.1169999999997</v>
      </c>
      <c r="AJ192" s="11">
        <f t="shared" si="56"/>
        <v>0.129</v>
      </c>
      <c r="AK192">
        <f t="shared" si="57"/>
        <v>42681.285503999999</v>
      </c>
      <c r="AL192">
        <f t="shared" si="58"/>
        <v>36540.688799999989</v>
      </c>
      <c r="AM192">
        <f t="shared" si="59"/>
        <v>6140.5967040000105</v>
      </c>
    </row>
    <row r="193" spans="1:39" x14ac:dyDescent="0.25">
      <c r="A193" t="s">
        <v>94</v>
      </c>
      <c r="B193" s="4">
        <v>45617</v>
      </c>
      <c r="C193" s="4">
        <v>45647</v>
      </c>
      <c r="D193" s="13">
        <f t="shared" si="40"/>
        <v>30</v>
      </c>
      <c r="E193" s="6" t="s">
        <v>649</v>
      </c>
      <c r="F193" t="s">
        <v>657</v>
      </c>
      <c r="G193" t="s">
        <v>673</v>
      </c>
      <c r="H193" t="s">
        <v>705</v>
      </c>
      <c r="I193" t="s">
        <v>711</v>
      </c>
      <c r="J193" t="s">
        <v>714</v>
      </c>
      <c r="K193" t="s">
        <v>732</v>
      </c>
      <c r="L193" t="s">
        <v>813</v>
      </c>
      <c r="M193" s="8">
        <v>1122.68</v>
      </c>
      <c r="N193" s="8">
        <v>1997.19</v>
      </c>
      <c r="O193" s="8">
        <f t="shared" si="41"/>
        <v>1997.19</v>
      </c>
      <c r="P193" s="11">
        <v>0.186</v>
      </c>
      <c r="Q193" s="13">
        <v>3</v>
      </c>
      <c r="R193" s="8">
        <f t="shared" si="42"/>
        <v>4877.1379800000004</v>
      </c>
      <c r="S193" s="8">
        <f t="shared" si="43"/>
        <v>3368.04</v>
      </c>
      <c r="T193" s="8">
        <f t="shared" si="44"/>
        <v>1509.0979800000005</v>
      </c>
      <c r="U193" s="11">
        <f t="shared" si="45"/>
        <v>0.30942285951073306</v>
      </c>
      <c r="V193" s="17">
        <v>45240</v>
      </c>
      <c r="W193" s="4" t="str">
        <f t="shared" si="46"/>
        <v>Q4-2024</v>
      </c>
      <c r="X193" t="str">
        <f t="shared" si="47"/>
        <v>Europe → France → Marseille</v>
      </c>
      <c r="Y193" t="str">
        <f t="shared" si="48"/>
        <v>High</v>
      </c>
      <c r="Z193" s="20">
        <f t="shared" si="49"/>
        <v>45597</v>
      </c>
      <c r="AA193" s="4">
        <f t="array" ref="AA193">MIN(IF($F$2:$F$633=F193,$Z$2:$Z$633))</f>
        <v>44927</v>
      </c>
      <c r="AB193">
        <f t="shared" si="50"/>
        <v>22</v>
      </c>
      <c r="AC193">
        <f t="shared" si="51"/>
        <v>0</v>
      </c>
      <c r="AD193">
        <f t="shared" si="52"/>
        <v>0</v>
      </c>
      <c r="AE193" s="13">
        <f t="shared" si="53"/>
        <v>0</v>
      </c>
      <c r="AH193">
        <f t="shared" si="54"/>
        <v>3.5999999999999996</v>
      </c>
      <c r="AI193">
        <f t="shared" si="55"/>
        <v>1291.0819999999999</v>
      </c>
      <c r="AJ193" s="11">
        <f t="shared" si="56"/>
        <v>0.186</v>
      </c>
      <c r="AK193">
        <f t="shared" si="57"/>
        <v>5852.565576</v>
      </c>
      <c r="AL193">
        <f t="shared" si="58"/>
        <v>4647.895199999999</v>
      </c>
      <c r="AM193">
        <f t="shared" si="59"/>
        <v>1204.6703760000009</v>
      </c>
    </row>
    <row r="194" spans="1:39" x14ac:dyDescent="0.25">
      <c r="A194" t="s">
        <v>41</v>
      </c>
      <c r="B194" s="4">
        <v>45626</v>
      </c>
      <c r="C194" s="4">
        <v>45656</v>
      </c>
      <c r="D194" s="13">
        <f t="shared" ref="D194:D257" si="60">C194-B194</f>
        <v>30</v>
      </c>
      <c r="E194" s="6" t="s">
        <v>649</v>
      </c>
      <c r="F194" t="s">
        <v>657</v>
      </c>
      <c r="G194" t="s">
        <v>673</v>
      </c>
      <c r="H194" t="s">
        <v>704</v>
      </c>
      <c r="I194" t="s">
        <v>709</v>
      </c>
      <c r="J194" t="s">
        <v>721</v>
      </c>
      <c r="K194" t="s">
        <v>728</v>
      </c>
      <c r="L194" t="s">
        <v>760</v>
      </c>
      <c r="M194" s="8">
        <v>117.64</v>
      </c>
      <c r="N194" s="8">
        <v>175.67</v>
      </c>
      <c r="O194" s="8">
        <f t="shared" ref="O194:O257" si="61">ABS(N:N)</f>
        <v>175.67</v>
      </c>
      <c r="P194" s="11">
        <v>0</v>
      </c>
      <c r="Q194" s="13">
        <v>10</v>
      </c>
      <c r="R194" s="8">
        <f t="shared" ref="R194:R257" si="62">O194*Q194*(1-P194)</f>
        <v>1756.6999999999998</v>
      </c>
      <c r="S194" s="8">
        <f t="shared" ref="S194:S257" si="63">PRODUCT(M194*Q194)</f>
        <v>1176.4000000000001</v>
      </c>
      <c r="T194" s="8">
        <f t="shared" ref="T194:T257" si="64">R194-S194</f>
        <v>580.29999999999973</v>
      </c>
      <c r="U194" s="11">
        <f t="shared" ref="U194:U257" si="65">IF(T194=0, "0", T194/R194)</f>
        <v>0.33033528775545046</v>
      </c>
      <c r="V194" s="17">
        <v>45214</v>
      </c>
      <c r="W194" s="4" t="str">
        <f t="shared" ref="W194:W257" si="66">"Q"&amp;ROUNDUP(MONTH(B194)/3,0)&amp;"-"&amp;YEAR(B194)</f>
        <v>Q4-2024</v>
      </c>
      <c r="X194" t="str">
        <f t="shared" ref="X194:X257" si="67">E194 &amp; " → " &amp; F194 &amp; " → " &amp; G194</f>
        <v>Europe → France → Marseille</v>
      </c>
      <c r="Y194" t="str">
        <f t="shared" ref="Y194:Y257" si="68">IF(O194&lt;=_xlfn.PERCENTILE.INC($O:$O,0.33),"Low",
IF(O194&lt;=_xlfn.PERCENTILE.INC($O:$O,0.67),"Medium","High"))</f>
        <v>Low</v>
      </c>
      <c r="Z194" s="20">
        <f t="shared" ref="Z194:Z257" si="69">DATE(YEAR(B194),MONTH(B194),1)</f>
        <v>45597</v>
      </c>
      <c r="AA194" s="4">
        <f t="array" ref="AA194">MIN(IF($F$2:$F$633=F194,$Z$2:$Z$633))</f>
        <v>44927</v>
      </c>
      <c r="AB194">
        <f t="shared" si="50"/>
        <v>22</v>
      </c>
      <c r="AC194">
        <f t="shared" si="51"/>
        <v>0</v>
      </c>
      <c r="AD194">
        <f t="shared" si="52"/>
        <v>0</v>
      </c>
      <c r="AE194" s="13">
        <f t="shared" si="53"/>
        <v>0</v>
      </c>
      <c r="AH194">
        <f t="shared" si="54"/>
        <v>12</v>
      </c>
      <c r="AI194">
        <f t="shared" si="55"/>
        <v>135.286</v>
      </c>
      <c r="AJ194" s="11">
        <f t="shared" si="56"/>
        <v>0</v>
      </c>
      <c r="AK194">
        <f t="shared" si="57"/>
        <v>2108.04</v>
      </c>
      <c r="AL194">
        <f t="shared" si="58"/>
        <v>1623.432</v>
      </c>
      <c r="AM194">
        <f t="shared" si="59"/>
        <v>484.60799999999995</v>
      </c>
    </row>
    <row r="195" spans="1:39" x14ac:dyDescent="0.25">
      <c r="A195" t="s">
        <v>499</v>
      </c>
      <c r="B195" s="4">
        <v>45634</v>
      </c>
      <c r="C195" s="4">
        <v>45634</v>
      </c>
      <c r="D195" s="13">
        <f t="shared" si="60"/>
        <v>0</v>
      </c>
      <c r="E195" s="6" t="s">
        <v>649</v>
      </c>
      <c r="F195" t="s">
        <v>657</v>
      </c>
      <c r="G195" t="s">
        <v>679</v>
      </c>
      <c r="H195" t="s">
        <v>706</v>
      </c>
      <c r="I195" t="s">
        <v>707</v>
      </c>
      <c r="J195" t="s">
        <v>722</v>
      </c>
      <c r="K195" t="s">
        <v>727</v>
      </c>
      <c r="L195" t="s">
        <v>1218</v>
      </c>
      <c r="M195" s="8">
        <v>257.44</v>
      </c>
      <c r="N195" s="8">
        <v>290.33</v>
      </c>
      <c r="O195" s="8">
        <f t="shared" si="61"/>
        <v>290.33</v>
      </c>
      <c r="P195" s="11">
        <v>9.1999999999999998E-2</v>
      </c>
      <c r="Q195" s="13">
        <v>23</v>
      </c>
      <c r="R195" s="8">
        <f t="shared" si="62"/>
        <v>6063.2517199999993</v>
      </c>
      <c r="S195" s="8">
        <f t="shared" si="63"/>
        <v>5921.12</v>
      </c>
      <c r="T195" s="8">
        <f t="shared" si="64"/>
        <v>142.1317199999994</v>
      </c>
      <c r="U195" s="11">
        <f t="shared" si="65"/>
        <v>2.3441500792581216E-2</v>
      </c>
      <c r="V195" s="17">
        <v>45211</v>
      </c>
      <c r="W195" s="4" t="str">
        <f t="shared" si="66"/>
        <v>Q4-2024</v>
      </c>
      <c r="X195" t="str">
        <f t="shared" si="67"/>
        <v>Europe → France → Lyon</v>
      </c>
      <c r="Y195" t="str">
        <f t="shared" si="68"/>
        <v>Low</v>
      </c>
      <c r="Z195" s="20">
        <f t="shared" si="69"/>
        <v>45627</v>
      </c>
      <c r="AA195" s="4">
        <f t="array" ref="AA195">MIN(IF($F$2:$F$633=F195,$Z$2:$Z$633))</f>
        <v>44927</v>
      </c>
      <c r="AB195">
        <f t="shared" ref="AB195:AB258" si="70">DATEDIF(AA195,Z195,"m")</f>
        <v>23</v>
      </c>
      <c r="AC195">
        <f t="shared" ref="AC195:AC258" si="71">IF(D195&lt;=7,1,0)</f>
        <v>1</v>
      </c>
      <c r="AD195">
        <f t="shared" ref="AD195:AD258" si="72">IF(P195&gt;20%,1,0)</f>
        <v>0</v>
      </c>
      <c r="AE195" s="13">
        <f t="shared" ref="AE195:AE258" si="73">IF(D195&lt;=7, 1,0)</f>
        <v>1</v>
      </c>
      <c r="AH195">
        <f t="shared" ref="AH195:AH258" si="74" xml:space="preserve"> Q195 * (1 + $AG$5)</f>
        <v>27.599999999999998</v>
      </c>
      <c r="AI195">
        <f t="shared" ref="AI195:AI258" si="75">M195*(1+$AG$4)</f>
        <v>296.05599999999998</v>
      </c>
      <c r="AJ195" s="11">
        <f t="shared" ref="AJ195:AJ258" si="76" xml:space="preserve"> MIN(P195, $AG$3)</f>
        <v>9.1999999999999998E-2</v>
      </c>
      <c r="AK195">
        <f t="shared" ref="AK195:AK258" si="77">AH195 * O195 * (1-AJ195)</f>
        <v>7275.9020639999999</v>
      </c>
      <c r="AL195">
        <f t="shared" ref="AL195:AL258" si="78">AH195 * AI195</f>
        <v>8171.1455999999989</v>
      </c>
      <c r="AM195">
        <f t="shared" ref="AM195:AM258" si="79" xml:space="preserve"> AK195 - AL195</f>
        <v>-895.24353599999904</v>
      </c>
    </row>
    <row r="196" spans="1:39" x14ac:dyDescent="0.25">
      <c r="A196" t="s">
        <v>31</v>
      </c>
      <c r="B196" s="4">
        <v>45636</v>
      </c>
      <c r="C196" s="4">
        <v>45665</v>
      </c>
      <c r="D196" s="13">
        <f t="shared" si="60"/>
        <v>29</v>
      </c>
      <c r="E196" s="6" t="s">
        <v>649</v>
      </c>
      <c r="F196" t="s">
        <v>657</v>
      </c>
      <c r="G196" t="s">
        <v>673</v>
      </c>
      <c r="H196" t="s">
        <v>705</v>
      </c>
      <c r="I196" t="s">
        <v>707</v>
      </c>
      <c r="J196" t="s">
        <v>723</v>
      </c>
      <c r="K196" t="s">
        <v>728</v>
      </c>
      <c r="L196" t="s">
        <v>750</v>
      </c>
      <c r="M196" s="8">
        <v>891.08</v>
      </c>
      <c r="N196" s="8">
        <v>1040.0999999999999</v>
      </c>
      <c r="O196" s="8">
        <f t="shared" si="61"/>
        <v>1040.0999999999999</v>
      </c>
      <c r="P196" s="11">
        <v>0.109</v>
      </c>
      <c r="Q196" s="13">
        <v>28</v>
      </c>
      <c r="R196" s="8">
        <f t="shared" si="62"/>
        <v>25948.414799999995</v>
      </c>
      <c r="S196" s="8">
        <f t="shared" si="63"/>
        <v>24950.240000000002</v>
      </c>
      <c r="T196" s="8">
        <f t="shared" si="64"/>
        <v>998.17479999999341</v>
      </c>
      <c r="U196" s="11">
        <f t="shared" si="65"/>
        <v>3.8467660074556598E-2</v>
      </c>
      <c r="V196" s="17">
        <v>45203</v>
      </c>
      <c r="W196" s="4" t="str">
        <f t="shared" si="66"/>
        <v>Q4-2024</v>
      </c>
      <c r="X196" t="str">
        <f t="shared" si="67"/>
        <v>Europe → France → Marseille</v>
      </c>
      <c r="Y196" t="str">
        <f t="shared" si="68"/>
        <v>Medium</v>
      </c>
      <c r="Z196" s="20">
        <f t="shared" si="69"/>
        <v>45627</v>
      </c>
      <c r="AA196" s="4">
        <f t="array" ref="AA196">MIN(IF($F$2:$F$633=F196,$Z$2:$Z$633))</f>
        <v>44927</v>
      </c>
      <c r="AB196">
        <f t="shared" si="70"/>
        <v>23</v>
      </c>
      <c r="AC196">
        <f t="shared" si="71"/>
        <v>0</v>
      </c>
      <c r="AD196">
        <f t="shared" si="72"/>
        <v>0</v>
      </c>
      <c r="AE196" s="13">
        <f t="shared" si="73"/>
        <v>0</v>
      </c>
      <c r="AH196">
        <f t="shared" si="74"/>
        <v>33.6</v>
      </c>
      <c r="AI196">
        <f t="shared" si="75"/>
        <v>1024.742</v>
      </c>
      <c r="AJ196" s="11">
        <f t="shared" si="76"/>
        <v>0.109</v>
      </c>
      <c r="AK196">
        <f t="shared" si="77"/>
        <v>31138.097760000001</v>
      </c>
      <c r="AL196">
        <f t="shared" si="78"/>
        <v>34431.331200000001</v>
      </c>
      <c r="AM196">
        <f t="shared" si="79"/>
        <v>-3293.23344</v>
      </c>
    </row>
    <row r="197" spans="1:39" x14ac:dyDescent="0.25">
      <c r="A197" t="s">
        <v>201</v>
      </c>
      <c r="B197" s="4">
        <v>45670</v>
      </c>
      <c r="C197" s="4">
        <v>45696</v>
      </c>
      <c r="D197" s="13">
        <f t="shared" si="60"/>
        <v>26</v>
      </c>
      <c r="E197" s="6" t="s">
        <v>649</v>
      </c>
      <c r="F197" t="s">
        <v>657</v>
      </c>
      <c r="G197" t="s">
        <v>690</v>
      </c>
      <c r="H197" t="s">
        <v>703</v>
      </c>
      <c r="J197" t="s">
        <v>718</v>
      </c>
      <c r="K197" t="s">
        <v>732</v>
      </c>
      <c r="L197" t="s">
        <v>920</v>
      </c>
      <c r="M197" s="8">
        <v>594.74</v>
      </c>
      <c r="N197" s="8">
        <v>1020.69</v>
      </c>
      <c r="O197" s="8">
        <f t="shared" si="61"/>
        <v>1020.69</v>
      </c>
      <c r="P197" s="11">
        <v>0.21099999999999999</v>
      </c>
      <c r="Q197" s="13">
        <v>6</v>
      </c>
      <c r="R197" s="8">
        <f t="shared" si="62"/>
        <v>4831.9464600000001</v>
      </c>
      <c r="S197" s="8">
        <f t="shared" si="63"/>
        <v>3568.44</v>
      </c>
      <c r="T197" s="8">
        <f t="shared" si="64"/>
        <v>1263.5064600000001</v>
      </c>
      <c r="U197" s="11">
        <f t="shared" si="65"/>
        <v>0.26149016146176424</v>
      </c>
      <c r="V197" s="17">
        <v>45177</v>
      </c>
      <c r="W197" s="4" t="str">
        <f t="shared" si="66"/>
        <v>Q1-2025</v>
      </c>
      <c r="X197" t="str">
        <f t="shared" si="67"/>
        <v>Europe → France → Paris</v>
      </c>
      <c r="Y197" t="str">
        <f t="shared" si="68"/>
        <v>Medium</v>
      </c>
      <c r="Z197" s="20">
        <f t="shared" si="69"/>
        <v>45658</v>
      </c>
      <c r="AA197" s="4">
        <f t="array" ref="AA197">MIN(IF($F$2:$F$633=F197,$Z$2:$Z$633))</f>
        <v>44927</v>
      </c>
      <c r="AB197">
        <f t="shared" si="70"/>
        <v>24</v>
      </c>
      <c r="AC197">
        <f t="shared" si="71"/>
        <v>0</v>
      </c>
      <c r="AD197">
        <f t="shared" si="72"/>
        <v>1</v>
      </c>
      <c r="AE197" s="13">
        <f t="shared" si="73"/>
        <v>0</v>
      </c>
      <c r="AH197">
        <f t="shared" si="74"/>
        <v>7.1999999999999993</v>
      </c>
      <c r="AI197">
        <f t="shared" si="75"/>
        <v>683.95099999999991</v>
      </c>
      <c r="AJ197" s="11">
        <f t="shared" si="76"/>
        <v>0.21099999999999999</v>
      </c>
      <c r="AK197">
        <f t="shared" si="77"/>
        <v>5798.335752</v>
      </c>
      <c r="AL197">
        <f t="shared" si="78"/>
        <v>4924.4471999999987</v>
      </c>
      <c r="AM197">
        <f t="shared" si="79"/>
        <v>873.88855200000125</v>
      </c>
    </row>
    <row r="198" spans="1:39" x14ac:dyDescent="0.25">
      <c r="A198" t="s">
        <v>68</v>
      </c>
      <c r="B198" s="4">
        <v>45678</v>
      </c>
      <c r="C198" s="4">
        <v>45704</v>
      </c>
      <c r="D198" s="13">
        <f t="shared" si="60"/>
        <v>26</v>
      </c>
      <c r="E198" s="6" t="s">
        <v>649</v>
      </c>
      <c r="F198" t="s">
        <v>657</v>
      </c>
      <c r="G198" t="s">
        <v>679</v>
      </c>
      <c r="H198" t="s">
        <v>701</v>
      </c>
      <c r="I198" t="s">
        <v>710</v>
      </c>
      <c r="J198" t="s">
        <v>719</v>
      </c>
      <c r="K198" t="s">
        <v>731</v>
      </c>
      <c r="L198" t="s">
        <v>787</v>
      </c>
      <c r="M198" s="8">
        <v>204.11</v>
      </c>
      <c r="N198" s="8">
        <v>236.87</v>
      </c>
      <c r="O198" s="8">
        <f t="shared" si="61"/>
        <v>236.87</v>
      </c>
      <c r="P198" s="11">
        <v>0.182</v>
      </c>
      <c r="Q198" s="13">
        <v>13</v>
      </c>
      <c r="R198" s="8">
        <f t="shared" si="62"/>
        <v>2518.8755800000004</v>
      </c>
      <c r="S198" s="8">
        <f t="shared" si="63"/>
        <v>2653.4300000000003</v>
      </c>
      <c r="T198" s="8">
        <f t="shared" si="64"/>
        <v>-134.55441999999994</v>
      </c>
      <c r="U198" s="11">
        <f t="shared" si="65"/>
        <v>-5.3418446337075494E-2</v>
      </c>
      <c r="V198" s="17">
        <v>45165</v>
      </c>
      <c r="W198" s="4" t="str">
        <f t="shared" si="66"/>
        <v>Q1-2025</v>
      </c>
      <c r="X198" t="str">
        <f t="shared" si="67"/>
        <v>Europe → France → Lyon</v>
      </c>
      <c r="Y198" t="str">
        <f t="shared" si="68"/>
        <v>Low</v>
      </c>
      <c r="Z198" s="20">
        <f t="shared" si="69"/>
        <v>45658</v>
      </c>
      <c r="AA198" s="4">
        <f t="array" ref="AA198">MIN(IF($F$2:$F$633=F198,$Z$2:$Z$633))</f>
        <v>44927</v>
      </c>
      <c r="AB198">
        <f t="shared" si="70"/>
        <v>24</v>
      </c>
      <c r="AC198">
        <f t="shared" si="71"/>
        <v>0</v>
      </c>
      <c r="AD198">
        <f t="shared" si="72"/>
        <v>0</v>
      </c>
      <c r="AE198" s="13">
        <f t="shared" si="73"/>
        <v>0</v>
      </c>
      <c r="AH198">
        <f t="shared" si="74"/>
        <v>15.6</v>
      </c>
      <c r="AI198">
        <f t="shared" si="75"/>
        <v>234.72649999999999</v>
      </c>
      <c r="AJ198" s="11">
        <f t="shared" si="76"/>
        <v>0.182</v>
      </c>
      <c r="AK198">
        <f t="shared" si="77"/>
        <v>3022.6506960000002</v>
      </c>
      <c r="AL198">
        <f t="shared" si="78"/>
        <v>3661.7333999999996</v>
      </c>
      <c r="AM198">
        <f t="shared" si="79"/>
        <v>-639.08270399999947</v>
      </c>
    </row>
    <row r="199" spans="1:39" x14ac:dyDescent="0.25">
      <c r="A199" t="s">
        <v>313</v>
      </c>
      <c r="B199" s="4">
        <v>45679</v>
      </c>
      <c r="C199" s="4">
        <v>45679</v>
      </c>
      <c r="D199" s="13">
        <f t="shared" si="60"/>
        <v>0</v>
      </c>
      <c r="E199" s="6" t="s">
        <v>649</v>
      </c>
      <c r="F199" t="s">
        <v>657</v>
      </c>
      <c r="G199" t="s">
        <v>679</v>
      </c>
      <c r="H199" t="s">
        <v>705</v>
      </c>
      <c r="I199" t="s">
        <v>708</v>
      </c>
      <c r="J199" t="s">
        <v>717</v>
      </c>
      <c r="K199" t="s">
        <v>733</v>
      </c>
      <c r="L199" t="s">
        <v>1033</v>
      </c>
      <c r="M199" s="8">
        <v>591.72</v>
      </c>
      <c r="N199" s="8">
        <v>577.24</v>
      </c>
      <c r="O199" s="8">
        <f t="shared" si="61"/>
        <v>577.24</v>
      </c>
      <c r="P199" s="11">
        <v>0</v>
      </c>
      <c r="Q199" s="13">
        <v>22</v>
      </c>
      <c r="R199" s="8">
        <f t="shared" si="62"/>
        <v>12699.28</v>
      </c>
      <c r="S199" s="8">
        <f t="shared" si="63"/>
        <v>13017.84</v>
      </c>
      <c r="T199" s="8">
        <f t="shared" si="64"/>
        <v>-318.55999999999949</v>
      </c>
      <c r="U199" s="11">
        <f t="shared" si="65"/>
        <v>-2.5084886702238195E-2</v>
      </c>
      <c r="V199" s="17">
        <v>45153</v>
      </c>
      <c r="W199" s="4" t="str">
        <f t="shared" si="66"/>
        <v>Q1-2025</v>
      </c>
      <c r="X199" t="str">
        <f t="shared" si="67"/>
        <v>Europe → France → Lyon</v>
      </c>
      <c r="Y199" t="str">
        <f t="shared" si="68"/>
        <v>Low</v>
      </c>
      <c r="Z199" s="20">
        <f t="shared" si="69"/>
        <v>45658</v>
      </c>
      <c r="AA199" s="4">
        <f t="array" ref="AA199">MIN(IF($F$2:$F$633=F199,$Z$2:$Z$633))</f>
        <v>44927</v>
      </c>
      <c r="AB199">
        <f t="shared" si="70"/>
        <v>24</v>
      </c>
      <c r="AC199">
        <f t="shared" si="71"/>
        <v>1</v>
      </c>
      <c r="AD199">
        <f t="shared" si="72"/>
        <v>0</v>
      </c>
      <c r="AE199" s="13">
        <f t="shared" si="73"/>
        <v>1</v>
      </c>
      <c r="AH199">
        <f t="shared" si="74"/>
        <v>26.4</v>
      </c>
      <c r="AI199">
        <f t="shared" si="75"/>
        <v>680.47799999999995</v>
      </c>
      <c r="AJ199" s="11">
        <f t="shared" si="76"/>
        <v>0</v>
      </c>
      <c r="AK199">
        <f t="shared" si="77"/>
        <v>15239.135999999999</v>
      </c>
      <c r="AL199">
        <f t="shared" si="78"/>
        <v>17964.619199999997</v>
      </c>
      <c r="AM199">
        <f t="shared" si="79"/>
        <v>-2725.4831999999988</v>
      </c>
    </row>
    <row r="200" spans="1:39" x14ac:dyDescent="0.25">
      <c r="A200" t="s">
        <v>603</v>
      </c>
      <c r="B200" s="4">
        <v>45703</v>
      </c>
      <c r="C200" s="4">
        <v>45715</v>
      </c>
      <c r="D200" s="13">
        <f t="shared" si="60"/>
        <v>12</v>
      </c>
      <c r="E200" s="6" t="s">
        <v>649</v>
      </c>
      <c r="F200" t="s">
        <v>657</v>
      </c>
      <c r="G200" t="s">
        <v>679</v>
      </c>
      <c r="H200" t="s">
        <v>703</v>
      </c>
      <c r="I200" t="s">
        <v>711</v>
      </c>
      <c r="J200" t="s">
        <v>723</v>
      </c>
      <c r="K200" t="s">
        <v>733</v>
      </c>
      <c r="L200" t="s">
        <v>1321</v>
      </c>
      <c r="M200" s="8">
        <v>1027.26</v>
      </c>
      <c r="N200" s="8">
        <v>2200.41</v>
      </c>
      <c r="O200" s="8">
        <f t="shared" si="61"/>
        <v>2200.41</v>
      </c>
      <c r="P200" s="11">
        <v>8.7999999999999995E-2</v>
      </c>
      <c r="Q200" s="13">
        <v>6</v>
      </c>
      <c r="R200" s="8">
        <f t="shared" si="62"/>
        <v>12040.64352</v>
      </c>
      <c r="S200" s="8">
        <f t="shared" si="63"/>
        <v>6163.5599999999995</v>
      </c>
      <c r="T200" s="8">
        <f t="shared" si="64"/>
        <v>5877.0835200000001</v>
      </c>
      <c r="U200" s="11">
        <f t="shared" si="65"/>
        <v>0.48810377204822358</v>
      </c>
      <c r="V200" s="17">
        <v>45140</v>
      </c>
      <c r="W200" s="4" t="str">
        <f t="shared" si="66"/>
        <v>Q1-2025</v>
      </c>
      <c r="X200" t="str">
        <f t="shared" si="67"/>
        <v>Europe → France → Lyon</v>
      </c>
      <c r="Y200" t="str">
        <f t="shared" si="68"/>
        <v>High</v>
      </c>
      <c r="Z200" s="20">
        <f t="shared" si="69"/>
        <v>45689</v>
      </c>
      <c r="AA200" s="4">
        <f t="array" ref="AA200">MIN(IF($F$2:$F$633=F200,$Z$2:$Z$633))</f>
        <v>44927</v>
      </c>
      <c r="AB200">
        <f t="shared" si="70"/>
        <v>25</v>
      </c>
      <c r="AC200">
        <f t="shared" si="71"/>
        <v>0</v>
      </c>
      <c r="AD200">
        <f t="shared" si="72"/>
        <v>0</v>
      </c>
      <c r="AE200" s="13">
        <f t="shared" si="73"/>
        <v>0</v>
      </c>
      <c r="AH200">
        <f t="shared" si="74"/>
        <v>7.1999999999999993</v>
      </c>
      <c r="AI200">
        <f t="shared" si="75"/>
        <v>1181.3489999999999</v>
      </c>
      <c r="AJ200" s="11">
        <f t="shared" si="76"/>
        <v>8.7999999999999995E-2</v>
      </c>
      <c r="AK200">
        <f t="shared" si="77"/>
        <v>14448.772223999998</v>
      </c>
      <c r="AL200">
        <f t="shared" si="78"/>
        <v>8505.7127999999993</v>
      </c>
      <c r="AM200">
        <f t="shared" si="79"/>
        <v>5943.0594239999991</v>
      </c>
    </row>
    <row r="201" spans="1:39" x14ac:dyDescent="0.25">
      <c r="A201" t="s">
        <v>44</v>
      </c>
      <c r="B201" s="4">
        <v>45754</v>
      </c>
      <c r="C201" s="4">
        <v>45758</v>
      </c>
      <c r="D201" s="13">
        <f t="shared" si="60"/>
        <v>4</v>
      </c>
      <c r="E201" s="6" t="s">
        <v>649</v>
      </c>
      <c r="F201" t="s">
        <v>657</v>
      </c>
      <c r="G201" t="s">
        <v>679</v>
      </c>
      <c r="H201" t="s">
        <v>702</v>
      </c>
      <c r="I201" t="s">
        <v>707</v>
      </c>
      <c r="J201" t="s">
        <v>718</v>
      </c>
      <c r="K201" t="s">
        <v>729</v>
      </c>
      <c r="L201" t="s">
        <v>763</v>
      </c>
      <c r="M201" s="8">
        <v>754.77</v>
      </c>
      <c r="N201" s="8">
        <v>1666.18</v>
      </c>
      <c r="O201" s="8">
        <f t="shared" si="61"/>
        <v>1666.18</v>
      </c>
      <c r="P201" s="11">
        <v>0.13900000000000001</v>
      </c>
      <c r="Q201" s="13">
        <v>14</v>
      </c>
      <c r="R201" s="8">
        <f t="shared" si="62"/>
        <v>20084.133720000002</v>
      </c>
      <c r="S201" s="8">
        <f t="shared" si="63"/>
        <v>10566.779999999999</v>
      </c>
      <c r="T201" s="8">
        <f t="shared" si="64"/>
        <v>9517.3537200000028</v>
      </c>
      <c r="U201" s="11">
        <f t="shared" si="65"/>
        <v>0.47387424584424653</v>
      </c>
      <c r="V201" s="17">
        <v>45097</v>
      </c>
      <c r="W201" s="4" t="str">
        <f t="shared" si="66"/>
        <v>Q2-2025</v>
      </c>
      <c r="X201" t="str">
        <f t="shared" si="67"/>
        <v>Europe → France → Lyon</v>
      </c>
      <c r="Y201" t="str">
        <f t="shared" si="68"/>
        <v>High</v>
      </c>
      <c r="Z201" s="20">
        <f t="shared" si="69"/>
        <v>45748</v>
      </c>
      <c r="AA201" s="4">
        <f t="array" ref="AA201">MIN(IF($F$2:$F$633=F201,$Z$2:$Z$633))</f>
        <v>44927</v>
      </c>
      <c r="AB201">
        <f t="shared" si="70"/>
        <v>27</v>
      </c>
      <c r="AC201">
        <f t="shared" si="71"/>
        <v>1</v>
      </c>
      <c r="AD201">
        <f t="shared" si="72"/>
        <v>0</v>
      </c>
      <c r="AE201" s="13">
        <f t="shared" si="73"/>
        <v>1</v>
      </c>
      <c r="AH201">
        <f t="shared" si="74"/>
        <v>16.8</v>
      </c>
      <c r="AI201">
        <f t="shared" si="75"/>
        <v>867.98549999999989</v>
      </c>
      <c r="AJ201" s="11">
        <f t="shared" si="76"/>
        <v>0.13900000000000001</v>
      </c>
      <c r="AK201">
        <f t="shared" si="77"/>
        <v>24100.960464</v>
      </c>
      <c r="AL201">
        <f t="shared" si="78"/>
        <v>14582.156399999998</v>
      </c>
      <c r="AM201">
        <f t="shared" si="79"/>
        <v>9518.8040640000017</v>
      </c>
    </row>
    <row r="202" spans="1:39" x14ac:dyDescent="0.25">
      <c r="A202" t="s">
        <v>319</v>
      </c>
      <c r="B202" s="4">
        <v>45756</v>
      </c>
      <c r="C202" s="4">
        <v>45759</v>
      </c>
      <c r="D202" s="13">
        <f t="shared" si="60"/>
        <v>3</v>
      </c>
      <c r="E202" s="6" t="s">
        <v>649</v>
      </c>
      <c r="F202" t="s">
        <v>657</v>
      </c>
      <c r="G202" t="s">
        <v>679</v>
      </c>
      <c r="H202" t="s">
        <v>705</v>
      </c>
      <c r="I202" t="s">
        <v>710</v>
      </c>
      <c r="J202" t="s">
        <v>722</v>
      </c>
      <c r="K202" t="s">
        <v>732</v>
      </c>
      <c r="L202" t="s">
        <v>1039</v>
      </c>
      <c r="M202" s="8">
        <v>86.68</v>
      </c>
      <c r="N202" s="8">
        <v>213.32</v>
      </c>
      <c r="O202" s="8">
        <f t="shared" si="61"/>
        <v>213.32</v>
      </c>
      <c r="P202" s="11">
        <v>3.7999999999999999E-2</v>
      </c>
      <c r="Q202" s="13">
        <v>8</v>
      </c>
      <c r="R202" s="8">
        <f t="shared" si="62"/>
        <v>1641.7107199999998</v>
      </c>
      <c r="S202" s="8">
        <f t="shared" si="63"/>
        <v>693.44</v>
      </c>
      <c r="T202" s="8">
        <f t="shared" si="64"/>
        <v>948.27071999999976</v>
      </c>
      <c r="U202" s="11">
        <f t="shared" si="65"/>
        <v>0.57761133459614611</v>
      </c>
      <c r="V202" s="17">
        <v>45100</v>
      </c>
      <c r="W202" s="4" t="str">
        <f t="shared" si="66"/>
        <v>Q2-2025</v>
      </c>
      <c r="X202" t="str">
        <f t="shared" si="67"/>
        <v>Europe → France → Lyon</v>
      </c>
      <c r="Y202" t="str">
        <f t="shared" si="68"/>
        <v>Low</v>
      </c>
      <c r="Z202" s="20">
        <f t="shared" si="69"/>
        <v>45748</v>
      </c>
      <c r="AA202" s="4">
        <f t="array" ref="AA202">MIN(IF($F$2:$F$633=F202,$Z$2:$Z$633))</f>
        <v>44927</v>
      </c>
      <c r="AB202">
        <f t="shared" si="70"/>
        <v>27</v>
      </c>
      <c r="AC202">
        <f t="shared" si="71"/>
        <v>1</v>
      </c>
      <c r="AD202">
        <f t="shared" si="72"/>
        <v>0</v>
      </c>
      <c r="AE202" s="13">
        <f t="shared" si="73"/>
        <v>1</v>
      </c>
      <c r="AH202">
        <f t="shared" si="74"/>
        <v>9.6</v>
      </c>
      <c r="AI202">
        <f t="shared" si="75"/>
        <v>99.682000000000002</v>
      </c>
      <c r="AJ202" s="11">
        <f t="shared" si="76"/>
        <v>3.7999999999999999E-2</v>
      </c>
      <c r="AK202">
        <f t="shared" si="77"/>
        <v>1970.0528639999998</v>
      </c>
      <c r="AL202">
        <f t="shared" si="78"/>
        <v>956.94719999999995</v>
      </c>
      <c r="AM202">
        <f t="shared" si="79"/>
        <v>1013.1056639999998</v>
      </c>
    </row>
    <row r="203" spans="1:39" x14ac:dyDescent="0.25">
      <c r="A203" t="s">
        <v>546</v>
      </c>
      <c r="B203" s="4">
        <v>45769</v>
      </c>
      <c r="C203" s="4">
        <v>45789</v>
      </c>
      <c r="D203" s="13">
        <f t="shared" si="60"/>
        <v>20</v>
      </c>
      <c r="E203" s="6" t="s">
        <v>649</v>
      </c>
      <c r="F203" t="s">
        <v>657</v>
      </c>
      <c r="G203" t="s">
        <v>679</v>
      </c>
      <c r="H203" t="s">
        <v>706</v>
      </c>
      <c r="I203" t="s">
        <v>709</v>
      </c>
      <c r="J203" t="s">
        <v>723</v>
      </c>
      <c r="K203" t="s">
        <v>732</v>
      </c>
      <c r="L203" t="s">
        <v>1265</v>
      </c>
      <c r="M203" s="8">
        <v>59.51</v>
      </c>
      <c r="N203" s="8">
        <v>67.040000000000006</v>
      </c>
      <c r="O203" s="8">
        <f t="shared" si="61"/>
        <v>67.040000000000006</v>
      </c>
      <c r="P203" s="11">
        <v>0.114</v>
      </c>
      <c r="Q203" s="13">
        <v>9</v>
      </c>
      <c r="R203" s="8">
        <f t="shared" si="62"/>
        <v>534.57695999999999</v>
      </c>
      <c r="S203" s="8">
        <f t="shared" si="63"/>
        <v>535.59</v>
      </c>
      <c r="T203" s="8">
        <f t="shared" si="64"/>
        <v>-1.0130400000000463</v>
      </c>
      <c r="U203" s="11">
        <f t="shared" si="65"/>
        <v>-1.8950311663264469E-3</v>
      </c>
      <c r="V203" s="17">
        <v>45086</v>
      </c>
      <c r="W203" s="4" t="str">
        <f t="shared" si="66"/>
        <v>Q2-2025</v>
      </c>
      <c r="X203" t="str">
        <f t="shared" si="67"/>
        <v>Europe → France → Lyon</v>
      </c>
      <c r="Y203" t="str">
        <f t="shared" si="68"/>
        <v>Low</v>
      </c>
      <c r="Z203" s="20">
        <f t="shared" si="69"/>
        <v>45748</v>
      </c>
      <c r="AA203" s="4">
        <f t="array" ref="AA203">MIN(IF($F$2:$F$633=F203,$Z$2:$Z$633))</f>
        <v>44927</v>
      </c>
      <c r="AB203">
        <f t="shared" si="70"/>
        <v>27</v>
      </c>
      <c r="AC203">
        <f t="shared" si="71"/>
        <v>0</v>
      </c>
      <c r="AD203">
        <f t="shared" si="72"/>
        <v>0</v>
      </c>
      <c r="AE203" s="13">
        <f t="shared" si="73"/>
        <v>0</v>
      </c>
      <c r="AH203">
        <f t="shared" si="74"/>
        <v>10.799999999999999</v>
      </c>
      <c r="AI203">
        <f t="shared" si="75"/>
        <v>68.436499999999995</v>
      </c>
      <c r="AJ203" s="11">
        <f t="shared" si="76"/>
        <v>0.114</v>
      </c>
      <c r="AK203">
        <f t="shared" si="77"/>
        <v>641.4923520000001</v>
      </c>
      <c r="AL203">
        <f t="shared" si="78"/>
        <v>739.11419999999987</v>
      </c>
      <c r="AM203">
        <f t="shared" si="79"/>
        <v>-97.621847999999773</v>
      </c>
    </row>
    <row r="204" spans="1:39" x14ac:dyDescent="0.25">
      <c r="A204" t="s">
        <v>77</v>
      </c>
      <c r="B204" s="4">
        <v>45774</v>
      </c>
      <c r="C204" s="4">
        <v>45802</v>
      </c>
      <c r="D204" s="13">
        <f t="shared" si="60"/>
        <v>28</v>
      </c>
      <c r="E204" s="6" t="s">
        <v>649</v>
      </c>
      <c r="F204" t="s">
        <v>657</v>
      </c>
      <c r="G204" t="s">
        <v>690</v>
      </c>
      <c r="H204" t="s">
        <v>705</v>
      </c>
      <c r="I204" t="s">
        <v>709</v>
      </c>
      <c r="J204" t="s">
        <v>714</v>
      </c>
      <c r="K204" t="s">
        <v>730</v>
      </c>
      <c r="L204" t="s">
        <v>796</v>
      </c>
      <c r="M204" s="8">
        <v>603.45000000000005</v>
      </c>
      <c r="N204" s="8">
        <v>1244.08</v>
      </c>
      <c r="O204" s="8">
        <f t="shared" si="61"/>
        <v>1244.08</v>
      </c>
      <c r="P204" s="11">
        <v>0.2</v>
      </c>
      <c r="Q204" s="13">
        <v>11</v>
      </c>
      <c r="R204" s="8">
        <f t="shared" si="62"/>
        <v>10947.904</v>
      </c>
      <c r="S204" s="8">
        <f t="shared" si="63"/>
        <v>6637.9500000000007</v>
      </c>
      <c r="T204" s="8">
        <f t="shared" si="64"/>
        <v>4309.9539999999997</v>
      </c>
      <c r="U204" s="11">
        <f t="shared" si="65"/>
        <v>0.39367846119220623</v>
      </c>
      <c r="V204" s="17">
        <v>45063</v>
      </c>
      <c r="W204" s="4" t="str">
        <f t="shared" si="66"/>
        <v>Q2-2025</v>
      </c>
      <c r="X204" t="str">
        <f t="shared" si="67"/>
        <v>Europe → France → Paris</v>
      </c>
      <c r="Y204" t="str">
        <f t="shared" si="68"/>
        <v>Medium</v>
      </c>
      <c r="Z204" s="20">
        <f t="shared" si="69"/>
        <v>45748</v>
      </c>
      <c r="AA204" s="4">
        <f t="array" ref="AA204">MIN(IF($F$2:$F$633=F204,$Z$2:$Z$633))</f>
        <v>44927</v>
      </c>
      <c r="AB204">
        <f t="shared" si="70"/>
        <v>27</v>
      </c>
      <c r="AC204">
        <f t="shared" si="71"/>
        <v>0</v>
      </c>
      <c r="AD204">
        <f t="shared" si="72"/>
        <v>0</v>
      </c>
      <c r="AE204" s="13">
        <f t="shared" si="73"/>
        <v>0</v>
      </c>
      <c r="AH204">
        <f t="shared" si="74"/>
        <v>13.2</v>
      </c>
      <c r="AI204">
        <f t="shared" si="75"/>
        <v>693.96749999999997</v>
      </c>
      <c r="AJ204" s="11">
        <f t="shared" si="76"/>
        <v>0.2</v>
      </c>
      <c r="AK204">
        <f t="shared" si="77"/>
        <v>13137.4848</v>
      </c>
      <c r="AL204">
        <f t="shared" si="78"/>
        <v>9160.3709999999992</v>
      </c>
      <c r="AM204">
        <f t="shared" si="79"/>
        <v>3977.113800000001</v>
      </c>
    </row>
    <row r="205" spans="1:39" x14ac:dyDescent="0.25">
      <c r="A205" t="s">
        <v>97</v>
      </c>
      <c r="B205" s="4">
        <v>45791</v>
      </c>
      <c r="C205" s="4">
        <v>45801</v>
      </c>
      <c r="D205" s="13">
        <f t="shared" si="60"/>
        <v>10</v>
      </c>
      <c r="E205" s="6" t="s">
        <v>649</v>
      </c>
      <c r="F205" t="s">
        <v>657</v>
      </c>
      <c r="G205" t="s">
        <v>690</v>
      </c>
      <c r="H205" t="s">
        <v>705</v>
      </c>
      <c r="I205" t="s">
        <v>709</v>
      </c>
      <c r="J205" t="s">
        <v>723</v>
      </c>
      <c r="K205" t="s">
        <v>727</v>
      </c>
      <c r="L205" t="s">
        <v>816</v>
      </c>
      <c r="M205" s="8">
        <v>170.39</v>
      </c>
      <c r="N205" s="8">
        <v>388.04</v>
      </c>
      <c r="O205" s="8">
        <f t="shared" si="61"/>
        <v>388.04</v>
      </c>
      <c r="P205" s="11">
        <v>8.4000000000000005E-2</v>
      </c>
      <c r="Q205" s="13">
        <v>15</v>
      </c>
      <c r="R205" s="8">
        <f t="shared" si="62"/>
        <v>5331.6696000000002</v>
      </c>
      <c r="S205" s="8">
        <f t="shared" si="63"/>
        <v>2555.85</v>
      </c>
      <c r="T205" s="8">
        <f t="shared" si="64"/>
        <v>2775.8196000000003</v>
      </c>
      <c r="U205" s="11">
        <f t="shared" si="65"/>
        <v>0.52062858508711796</v>
      </c>
      <c r="V205" s="17">
        <v>45056</v>
      </c>
      <c r="W205" s="4" t="str">
        <f t="shared" si="66"/>
        <v>Q2-2025</v>
      </c>
      <c r="X205" t="str">
        <f t="shared" si="67"/>
        <v>Europe → France → Paris</v>
      </c>
      <c r="Y205" t="str">
        <f t="shared" si="68"/>
        <v>Low</v>
      </c>
      <c r="Z205" s="20">
        <f t="shared" si="69"/>
        <v>45778</v>
      </c>
      <c r="AA205" s="4">
        <f t="array" ref="AA205">MIN(IF($F$2:$F$633=F205,$Z$2:$Z$633))</f>
        <v>44927</v>
      </c>
      <c r="AB205">
        <f t="shared" si="70"/>
        <v>28</v>
      </c>
      <c r="AC205">
        <f t="shared" si="71"/>
        <v>0</v>
      </c>
      <c r="AD205">
        <f t="shared" si="72"/>
        <v>0</v>
      </c>
      <c r="AE205" s="13">
        <f t="shared" si="73"/>
        <v>0</v>
      </c>
      <c r="AH205">
        <f t="shared" si="74"/>
        <v>18</v>
      </c>
      <c r="AI205">
        <f t="shared" si="75"/>
        <v>195.94849999999997</v>
      </c>
      <c r="AJ205" s="11">
        <f t="shared" si="76"/>
        <v>8.4000000000000005E-2</v>
      </c>
      <c r="AK205">
        <f t="shared" si="77"/>
        <v>6398.0035200000002</v>
      </c>
      <c r="AL205">
        <f t="shared" si="78"/>
        <v>3527.0729999999994</v>
      </c>
      <c r="AM205">
        <f t="shared" si="79"/>
        <v>2870.9305200000008</v>
      </c>
    </row>
    <row r="206" spans="1:39" x14ac:dyDescent="0.25">
      <c r="A206" t="s">
        <v>329</v>
      </c>
      <c r="B206" s="4">
        <v>45809</v>
      </c>
      <c r="C206" s="4">
        <v>45814</v>
      </c>
      <c r="D206" s="13">
        <f t="shared" si="60"/>
        <v>5</v>
      </c>
      <c r="E206" s="6" t="s">
        <v>649</v>
      </c>
      <c r="F206" t="s">
        <v>657</v>
      </c>
      <c r="G206" t="s">
        <v>690</v>
      </c>
      <c r="H206" t="s">
        <v>704</v>
      </c>
      <c r="I206" t="s">
        <v>710</v>
      </c>
      <c r="J206" t="s">
        <v>715</v>
      </c>
      <c r="K206" t="s">
        <v>727</v>
      </c>
      <c r="L206" t="s">
        <v>1049</v>
      </c>
      <c r="M206" s="8">
        <v>379.45</v>
      </c>
      <c r="N206" s="8">
        <v>742.23</v>
      </c>
      <c r="O206" s="8">
        <f t="shared" si="61"/>
        <v>742.23</v>
      </c>
      <c r="P206" s="11">
        <v>0.09</v>
      </c>
      <c r="Q206" s="13">
        <v>13</v>
      </c>
      <c r="R206" s="8">
        <f t="shared" si="62"/>
        <v>8780.5809000000008</v>
      </c>
      <c r="S206" s="8">
        <f t="shared" si="63"/>
        <v>4932.8499999999995</v>
      </c>
      <c r="T206" s="8">
        <f t="shared" si="64"/>
        <v>3847.7309000000014</v>
      </c>
      <c r="U206" s="11">
        <f t="shared" si="65"/>
        <v>0.43820915083192286</v>
      </c>
      <c r="V206" s="17">
        <v>45052</v>
      </c>
      <c r="W206" s="4" t="str">
        <f t="shared" si="66"/>
        <v>Q2-2025</v>
      </c>
      <c r="X206" t="str">
        <f t="shared" si="67"/>
        <v>Europe → France → Paris</v>
      </c>
      <c r="Y206" t="str">
        <f t="shared" si="68"/>
        <v>Low</v>
      </c>
      <c r="Z206" s="20">
        <f t="shared" si="69"/>
        <v>45809</v>
      </c>
      <c r="AA206" s="4">
        <f t="array" ref="AA206">MIN(IF($F$2:$F$633=F206,$Z$2:$Z$633))</f>
        <v>44927</v>
      </c>
      <c r="AB206">
        <f t="shared" si="70"/>
        <v>29</v>
      </c>
      <c r="AC206">
        <f t="shared" si="71"/>
        <v>1</v>
      </c>
      <c r="AD206">
        <f t="shared" si="72"/>
        <v>0</v>
      </c>
      <c r="AE206" s="13">
        <f t="shared" si="73"/>
        <v>1</v>
      </c>
      <c r="AH206">
        <f t="shared" si="74"/>
        <v>15.6</v>
      </c>
      <c r="AI206">
        <f t="shared" si="75"/>
        <v>436.36749999999995</v>
      </c>
      <c r="AJ206" s="11">
        <f t="shared" si="76"/>
        <v>0.09</v>
      </c>
      <c r="AK206">
        <f t="shared" si="77"/>
        <v>10536.69708</v>
      </c>
      <c r="AL206">
        <f t="shared" si="78"/>
        <v>6807.3329999999987</v>
      </c>
      <c r="AM206">
        <f t="shared" si="79"/>
        <v>3729.3640800000012</v>
      </c>
    </row>
    <row r="207" spans="1:39" x14ac:dyDescent="0.25">
      <c r="A207" t="s">
        <v>73</v>
      </c>
      <c r="B207" s="4">
        <v>45817</v>
      </c>
      <c r="C207" s="4">
        <v>45826</v>
      </c>
      <c r="D207" s="13">
        <f t="shared" si="60"/>
        <v>9</v>
      </c>
      <c r="E207" s="6" t="s">
        <v>649</v>
      </c>
      <c r="F207" t="s">
        <v>657</v>
      </c>
      <c r="G207" t="s">
        <v>673</v>
      </c>
      <c r="H207" t="s">
        <v>705</v>
      </c>
      <c r="I207" t="s">
        <v>709</v>
      </c>
      <c r="J207" t="s">
        <v>722</v>
      </c>
      <c r="K207" t="s">
        <v>733</v>
      </c>
      <c r="L207" t="s">
        <v>792</v>
      </c>
      <c r="M207" s="8">
        <v>1225.5</v>
      </c>
      <c r="N207" s="8">
        <v>-5.27</v>
      </c>
      <c r="O207" s="8">
        <f t="shared" si="61"/>
        <v>5.27</v>
      </c>
      <c r="P207" s="11">
        <v>7.4999999999999997E-2</v>
      </c>
      <c r="Q207" s="13">
        <v>56</v>
      </c>
      <c r="R207" s="8">
        <f t="shared" si="62"/>
        <v>272.98599999999999</v>
      </c>
      <c r="S207" s="8">
        <f t="shared" si="63"/>
        <v>68628</v>
      </c>
      <c r="T207" s="8">
        <f t="shared" si="64"/>
        <v>-68355.013999999996</v>
      </c>
      <c r="U207" s="11">
        <f t="shared" si="65"/>
        <v>-250.39750756449047</v>
      </c>
      <c r="V207" s="17">
        <v>45035</v>
      </c>
      <c r="W207" s="4" t="str">
        <f t="shared" si="66"/>
        <v>Q2-2025</v>
      </c>
      <c r="X207" t="str">
        <f t="shared" si="67"/>
        <v>Europe → France → Marseille</v>
      </c>
      <c r="Y207" t="str">
        <f t="shared" si="68"/>
        <v>Low</v>
      </c>
      <c r="Z207" s="20">
        <f t="shared" si="69"/>
        <v>45809</v>
      </c>
      <c r="AA207" s="4">
        <f t="array" ref="AA207">MIN(IF($F$2:$F$633=F207,$Z$2:$Z$633))</f>
        <v>44927</v>
      </c>
      <c r="AB207">
        <f t="shared" si="70"/>
        <v>29</v>
      </c>
      <c r="AC207">
        <f t="shared" si="71"/>
        <v>0</v>
      </c>
      <c r="AD207">
        <f t="shared" si="72"/>
        <v>0</v>
      </c>
      <c r="AE207" s="13">
        <f t="shared" si="73"/>
        <v>0</v>
      </c>
      <c r="AH207">
        <f t="shared" si="74"/>
        <v>67.2</v>
      </c>
      <c r="AI207">
        <f t="shared" si="75"/>
        <v>1409.3249999999998</v>
      </c>
      <c r="AJ207" s="11">
        <f t="shared" si="76"/>
        <v>7.4999999999999997E-2</v>
      </c>
      <c r="AK207">
        <f t="shared" si="77"/>
        <v>327.58320000000003</v>
      </c>
      <c r="AL207">
        <f t="shared" si="78"/>
        <v>94706.639999999985</v>
      </c>
      <c r="AM207">
        <f t="shared" si="79"/>
        <v>-94379.056799999991</v>
      </c>
    </row>
    <row r="208" spans="1:39" x14ac:dyDescent="0.25">
      <c r="A208" t="s">
        <v>608</v>
      </c>
      <c r="B208" s="4">
        <v>45823</v>
      </c>
      <c r="C208" s="4">
        <v>45850</v>
      </c>
      <c r="D208" s="13">
        <f t="shared" si="60"/>
        <v>27</v>
      </c>
      <c r="E208" s="6" t="s">
        <v>649</v>
      </c>
      <c r="F208" t="s">
        <v>657</v>
      </c>
      <c r="G208" t="s">
        <v>673</v>
      </c>
      <c r="H208" t="s">
        <v>704</v>
      </c>
      <c r="I208" t="s">
        <v>711</v>
      </c>
      <c r="J208" t="s">
        <v>712</v>
      </c>
      <c r="K208" t="s">
        <v>733</v>
      </c>
      <c r="L208" t="s">
        <v>1326</v>
      </c>
      <c r="M208" s="8">
        <v>318.83</v>
      </c>
      <c r="N208" s="8">
        <v>699.5</v>
      </c>
      <c r="O208" s="8">
        <f t="shared" si="61"/>
        <v>699.5</v>
      </c>
      <c r="P208" s="11">
        <v>0.08</v>
      </c>
      <c r="Q208" s="13">
        <v>13</v>
      </c>
      <c r="R208" s="8">
        <f t="shared" si="62"/>
        <v>8366.02</v>
      </c>
      <c r="S208" s="8">
        <f t="shared" si="63"/>
        <v>4144.79</v>
      </c>
      <c r="T208" s="8">
        <f t="shared" si="64"/>
        <v>4221.2300000000005</v>
      </c>
      <c r="U208" s="11">
        <f t="shared" si="65"/>
        <v>0.50456848059172699</v>
      </c>
      <c r="V208" s="17">
        <v>45029</v>
      </c>
      <c r="W208" s="4" t="str">
        <f t="shared" si="66"/>
        <v>Q2-2025</v>
      </c>
      <c r="X208" t="str">
        <f t="shared" si="67"/>
        <v>Europe → France → Marseille</v>
      </c>
      <c r="Y208" t="str">
        <f t="shared" si="68"/>
        <v>Low</v>
      </c>
      <c r="Z208" s="20">
        <f t="shared" si="69"/>
        <v>45809</v>
      </c>
      <c r="AA208" s="4">
        <f t="array" ref="AA208">MIN(IF($F$2:$F$633=F208,$Z$2:$Z$633))</f>
        <v>44927</v>
      </c>
      <c r="AB208">
        <f t="shared" si="70"/>
        <v>29</v>
      </c>
      <c r="AC208">
        <f t="shared" si="71"/>
        <v>0</v>
      </c>
      <c r="AD208">
        <f t="shared" si="72"/>
        <v>0</v>
      </c>
      <c r="AE208" s="13">
        <f t="shared" si="73"/>
        <v>0</v>
      </c>
      <c r="AH208">
        <f t="shared" si="74"/>
        <v>15.6</v>
      </c>
      <c r="AI208">
        <f t="shared" si="75"/>
        <v>366.65449999999993</v>
      </c>
      <c r="AJ208" s="11">
        <f t="shared" si="76"/>
        <v>0.08</v>
      </c>
      <c r="AK208">
        <f t="shared" si="77"/>
        <v>10039.224</v>
      </c>
      <c r="AL208">
        <f t="shared" si="78"/>
        <v>5719.810199999999</v>
      </c>
      <c r="AM208">
        <f t="shared" si="79"/>
        <v>4319.4138000000012</v>
      </c>
    </row>
    <row r="209" spans="1:39" x14ac:dyDescent="0.25">
      <c r="A209" t="s">
        <v>616</v>
      </c>
      <c r="B209" s="4">
        <v>45880</v>
      </c>
      <c r="C209" s="4">
        <v>45897</v>
      </c>
      <c r="D209" s="13">
        <f t="shared" si="60"/>
        <v>17</v>
      </c>
      <c r="E209" s="6" t="s">
        <v>649</v>
      </c>
      <c r="F209" t="s">
        <v>657</v>
      </c>
      <c r="G209" t="s">
        <v>690</v>
      </c>
      <c r="H209" t="s">
        <v>702</v>
      </c>
      <c r="I209" t="s">
        <v>708</v>
      </c>
      <c r="J209" t="s">
        <v>721</v>
      </c>
      <c r="K209" t="s">
        <v>729</v>
      </c>
      <c r="L209" t="s">
        <v>1334</v>
      </c>
      <c r="M209" s="8">
        <v>416.16</v>
      </c>
      <c r="N209" s="8">
        <v>571.9</v>
      </c>
      <c r="O209" s="8">
        <f t="shared" si="61"/>
        <v>571.9</v>
      </c>
      <c r="P209" s="11">
        <v>7.0999999999999994E-2</v>
      </c>
      <c r="Q209" s="13">
        <v>2</v>
      </c>
      <c r="R209" s="8">
        <f t="shared" si="62"/>
        <v>1062.5902000000001</v>
      </c>
      <c r="S209" s="8">
        <f t="shared" si="63"/>
        <v>832.32</v>
      </c>
      <c r="T209" s="8">
        <f t="shared" si="64"/>
        <v>230.27020000000005</v>
      </c>
      <c r="U209" s="11">
        <f t="shared" si="65"/>
        <v>0.21670649701079497</v>
      </c>
      <c r="V209" s="17">
        <v>44977</v>
      </c>
      <c r="W209" s="4" t="str">
        <f t="shared" si="66"/>
        <v>Q3-2025</v>
      </c>
      <c r="X209" t="str">
        <f t="shared" si="67"/>
        <v>Europe → France → Paris</v>
      </c>
      <c r="Y209" t="str">
        <f t="shared" si="68"/>
        <v>Low</v>
      </c>
      <c r="Z209" s="20">
        <f t="shared" si="69"/>
        <v>45870</v>
      </c>
      <c r="AA209" s="4">
        <f t="array" ref="AA209">MIN(IF($F$2:$F$633=F209,$Z$2:$Z$633))</f>
        <v>44927</v>
      </c>
      <c r="AB209">
        <f t="shared" si="70"/>
        <v>31</v>
      </c>
      <c r="AC209">
        <f t="shared" si="71"/>
        <v>0</v>
      </c>
      <c r="AD209">
        <f t="shared" si="72"/>
        <v>0</v>
      </c>
      <c r="AE209" s="13">
        <f t="shared" si="73"/>
        <v>0</v>
      </c>
      <c r="AH209">
        <f t="shared" si="74"/>
        <v>2.4</v>
      </c>
      <c r="AI209">
        <f t="shared" si="75"/>
        <v>478.584</v>
      </c>
      <c r="AJ209" s="11">
        <f t="shared" si="76"/>
        <v>7.0999999999999994E-2</v>
      </c>
      <c r="AK209">
        <f t="shared" si="77"/>
        <v>1275.10824</v>
      </c>
      <c r="AL209">
        <f t="shared" si="78"/>
        <v>1148.6016</v>
      </c>
      <c r="AM209">
        <f t="shared" si="79"/>
        <v>126.50664000000006</v>
      </c>
    </row>
    <row r="210" spans="1:39" x14ac:dyDescent="0.25">
      <c r="A210" t="s">
        <v>488</v>
      </c>
      <c r="B210" s="4">
        <v>45882</v>
      </c>
      <c r="C210" s="4">
        <v>45903</v>
      </c>
      <c r="D210" s="13">
        <f t="shared" si="60"/>
        <v>21</v>
      </c>
      <c r="E210" s="6" t="s">
        <v>649</v>
      </c>
      <c r="F210" t="s">
        <v>657</v>
      </c>
      <c r="G210" t="s">
        <v>690</v>
      </c>
      <c r="H210" t="s">
        <v>702</v>
      </c>
      <c r="I210" t="s">
        <v>707</v>
      </c>
      <c r="J210" t="s">
        <v>714</v>
      </c>
      <c r="K210" t="s">
        <v>730</v>
      </c>
      <c r="L210" t="s">
        <v>1207</v>
      </c>
      <c r="M210" s="8">
        <v>603.47</v>
      </c>
      <c r="N210" s="8">
        <v>1344.05</v>
      </c>
      <c r="O210" s="8">
        <f t="shared" si="61"/>
        <v>1344.05</v>
      </c>
      <c r="P210" s="11">
        <v>0.20499999999999999</v>
      </c>
      <c r="Q210" s="13">
        <v>18</v>
      </c>
      <c r="R210" s="8">
        <f t="shared" si="62"/>
        <v>19233.355499999998</v>
      </c>
      <c r="S210" s="8">
        <f t="shared" si="63"/>
        <v>10862.460000000001</v>
      </c>
      <c r="T210" s="8">
        <f t="shared" si="64"/>
        <v>8370.8954999999969</v>
      </c>
      <c r="U210" s="11">
        <f t="shared" si="65"/>
        <v>0.43522803392262976</v>
      </c>
      <c r="V210" s="17">
        <v>44962</v>
      </c>
      <c r="W210" s="4" t="str">
        <f t="shared" si="66"/>
        <v>Q3-2025</v>
      </c>
      <c r="X210" t="str">
        <f t="shared" si="67"/>
        <v>Europe → France → Paris</v>
      </c>
      <c r="Y210" t="str">
        <f t="shared" si="68"/>
        <v>Medium</v>
      </c>
      <c r="Z210" s="20">
        <f t="shared" si="69"/>
        <v>45870</v>
      </c>
      <c r="AA210" s="4">
        <f t="array" ref="AA210">MIN(IF($F$2:$F$633=F210,$Z$2:$Z$633))</f>
        <v>44927</v>
      </c>
      <c r="AB210">
        <f t="shared" si="70"/>
        <v>31</v>
      </c>
      <c r="AC210">
        <f t="shared" si="71"/>
        <v>0</v>
      </c>
      <c r="AD210">
        <f t="shared" si="72"/>
        <v>1</v>
      </c>
      <c r="AE210" s="13">
        <f t="shared" si="73"/>
        <v>0</v>
      </c>
      <c r="AH210">
        <f t="shared" si="74"/>
        <v>21.599999999999998</v>
      </c>
      <c r="AI210">
        <f t="shared" si="75"/>
        <v>693.9905</v>
      </c>
      <c r="AJ210" s="11">
        <f t="shared" si="76"/>
        <v>0.20499999999999999</v>
      </c>
      <c r="AK210">
        <f t="shared" si="77"/>
        <v>23080.026599999997</v>
      </c>
      <c r="AL210">
        <f t="shared" si="78"/>
        <v>14990.194799999999</v>
      </c>
      <c r="AM210">
        <f t="shared" si="79"/>
        <v>8089.8317999999981</v>
      </c>
    </row>
    <row r="211" spans="1:39" x14ac:dyDescent="0.25">
      <c r="A211" t="s">
        <v>605</v>
      </c>
      <c r="B211" s="4">
        <v>45899</v>
      </c>
      <c r="C211" s="4">
        <v>45922</v>
      </c>
      <c r="D211" s="13">
        <f t="shared" si="60"/>
        <v>23</v>
      </c>
      <c r="E211" s="6" t="s">
        <v>649</v>
      </c>
      <c r="F211" t="s">
        <v>657</v>
      </c>
      <c r="G211" t="s">
        <v>673</v>
      </c>
      <c r="H211" t="s">
        <v>701</v>
      </c>
      <c r="I211" t="s">
        <v>711</v>
      </c>
      <c r="J211" t="s">
        <v>718</v>
      </c>
      <c r="K211" t="s">
        <v>727</v>
      </c>
      <c r="L211" t="s">
        <v>1323</v>
      </c>
      <c r="M211" s="8">
        <v>663.9</v>
      </c>
      <c r="N211" s="8">
        <v>947.77</v>
      </c>
      <c r="O211" s="8">
        <f t="shared" si="61"/>
        <v>947.77</v>
      </c>
      <c r="P211" s="11">
        <v>0.17399999999999999</v>
      </c>
      <c r="Q211" s="13">
        <v>15</v>
      </c>
      <c r="R211" s="8">
        <f t="shared" si="62"/>
        <v>11742.8703</v>
      </c>
      <c r="S211" s="8">
        <f t="shared" si="63"/>
        <v>9958.5</v>
      </c>
      <c r="T211" s="8">
        <f t="shared" si="64"/>
        <v>1784.3703000000005</v>
      </c>
      <c r="U211" s="11">
        <f t="shared" si="65"/>
        <v>0.1519535049280073</v>
      </c>
      <c r="V211" s="17">
        <v>44964</v>
      </c>
      <c r="W211" s="4" t="str">
        <f t="shared" si="66"/>
        <v>Q3-2025</v>
      </c>
      <c r="X211" t="str">
        <f t="shared" si="67"/>
        <v>Europe → France → Marseille</v>
      </c>
      <c r="Y211" t="str">
        <f t="shared" si="68"/>
        <v>Medium</v>
      </c>
      <c r="Z211" s="20">
        <f t="shared" si="69"/>
        <v>45870</v>
      </c>
      <c r="AA211" s="4">
        <f t="array" ref="AA211">MIN(IF($F$2:$F$633=F211,$Z$2:$Z$633))</f>
        <v>44927</v>
      </c>
      <c r="AB211">
        <f t="shared" si="70"/>
        <v>31</v>
      </c>
      <c r="AC211">
        <f t="shared" si="71"/>
        <v>0</v>
      </c>
      <c r="AD211">
        <f t="shared" si="72"/>
        <v>0</v>
      </c>
      <c r="AE211" s="13">
        <f t="shared" si="73"/>
        <v>0</v>
      </c>
      <c r="AH211">
        <f t="shared" si="74"/>
        <v>18</v>
      </c>
      <c r="AI211">
        <f t="shared" si="75"/>
        <v>763.4849999999999</v>
      </c>
      <c r="AJ211" s="11">
        <f t="shared" si="76"/>
        <v>0.17399999999999999</v>
      </c>
      <c r="AK211">
        <f t="shared" si="77"/>
        <v>14091.444360000001</v>
      </c>
      <c r="AL211">
        <f t="shared" si="78"/>
        <v>13742.729999999998</v>
      </c>
      <c r="AM211">
        <f t="shared" si="79"/>
        <v>348.71436000000358</v>
      </c>
    </row>
    <row r="212" spans="1:39" x14ac:dyDescent="0.25">
      <c r="A212" t="s">
        <v>496</v>
      </c>
      <c r="B212" s="4">
        <v>45899</v>
      </c>
      <c r="C212" s="4">
        <v>45903</v>
      </c>
      <c r="D212" s="13">
        <f t="shared" si="60"/>
        <v>4</v>
      </c>
      <c r="E212" s="6" t="s">
        <v>649</v>
      </c>
      <c r="F212" t="s">
        <v>657</v>
      </c>
      <c r="G212" t="s">
        <v>673</v>
      </c>
      <c r="H212" t="s">
        <v>705</v>
      </c>
      <c r="I212" t="s">
        <v>709</v>
      </c>
      <c r="J212" t="s">
        <v>713</v>
      </c>
      <c r="K212" t="s">
        <v>731</v>
      </c>
      <c r="L212" t="s">
        <v>1215</v>
      </c>
      <c r="M212" s="8">
        <v>1286.56</v>
      </c>
      <c r="N212" s="8">
        <v>2777.35</v>
      </c>
      <c r="O212" s="8">
        <f t="shared" si="61"/>
        <v>2777.35</v>
      </c>
      <c r="P212" s="11">
        <v>0.13200000000000001</v>
      </c>
      <c r="Q212" s="13">
        <v>15</v>
      </c>
      <c r="R212" s="8">
        <f t="shared" si="62"/>
        <v>36161.097000000002</v>
      </c>
      <c r="S212" s="8">
        <f t="shared" si="63"/>
        <v>19298.399999999998</v>
      </c>
      <c r="T212" s="8">
        <f t="shared" si="64"/>
        <v>16862.697000000004</v>
      </c>
      <c r="U212" s="11">
        <f t="shared" si="65"/>
        <v>0.46632150014696744</v>
      </c>
      <c r="V212" s="17">
        <v>44965</v>
      </c>
      <c r="W212" s="4" t="str">
        <f t="shared" si="66"/>
        <v>Q3-2025</v>
      </c>
      <c r="X212" t="str">
        <f t="shared" si="67"/>
        <v>Europe → France → Marseille</v>
      </c>
      <c r="Y212" t="str">
        <f t="shared" si="68"/>
        <v>High</v>
      </c>
      <c r="Z212" s="20">
        <f t="shared" si="69"/>
        <v>45870</v>
      </c>
      <c r="AA212" s="4">
        <f t="array" ref="AA212">MIN(IF($F$2:$F$633=F212,$Z$2:$Z$633))</f>
        <v>44927</v>
      </c>
      <c r="AB212">
        <f t="shared" si="70"/>
        <v>31</v>
      </c>
      <c r="AC212">
        <f t="shared" si="71"/>
        <v>1</v>
      </c>
      <c r="AD212">
        <f t="shared" si="72"/>
        <v>0</v>
      </c>
      <c r="AE212" s="13">
        <f t="shared" si="73"/>
        <v>1</v>
      </c>
      <c r="AH212">
        <f t="shared" si="74"/>
        <v>18</v>
      </c>
      <c r="AI212">
        <f t="shared" si="75"/>
        <v>1479.5439999999999</v>
      </c>
      <c r="AJ212" s="11">
        <f t="shared" si="76"/>
        <v>0.13200000000000001</v>
      </c>
      <c r="AK212">
        <f t="shared" si="77"/>
        <v>43393.316399999996</v>
      </c>
      <c r="AL212">
        <f t="shared" si="78"/>
        <v>26631.791999999998</v>
      </c>
      <c r="AM212">
        <f t="shared" si="79"/>
        <v>16761.524399999998</v>
      </c>
    </row>
    <row r="213" spans="1:39" x14ac:dyDescent="0.25">
      <c r="A213" t="s">
        <v>231</v>
      </c>
      <c r="B213" s="4">
        <v>44947</v>
      </c>
      <c r="C213" s="4">
        <v>44948</v>
      </c>
      <c r="D213" s="13">
        <f t="shared" si="60"/>
        <v>1</v>
      </c>
      <c r="E213" s="6" t="s">
        <v>649</v>
      </c>
      <c r="F213" t="s">
        <v>656</v>
      </c>
      <c r="G213" t="s">
        <v>684</v>
      </c>
      <c r="H213" t="s">
        <v>701</v>
      </c>
      <c r="I213" t="s">
        <v>711</v>
      </c>
      <c r="J213" t="s">
        <v>721</v>
      </c>
      <c r="K213" t="s">
        <v>732</v>
      </c>
      <c r="L213" t="s">
        <v>951</v>
      </c>
      <c r="M213" s="8">
        <v>150.86000000000001</v>
      </c>
      <c r="N213" s="8">
        <v>346.96</v>
      </c>
      <c r="O213" s="8">
        <f t="shared" si="61"/>
        <v>346.96</v>
      </c>
      <c r="P213" s="11">
        <v>0.19600000000000001</v>
      </c>
      <c r="Q213" s="13">
        <v>8</v>
      </c>
      <c r="R213" s="8">
        <f t="shared" si="62"/>
        <v>2231.6467200000002</v>
      </c>
      <c r="S213" s="8">
        <f t="shared" si="63"/>
        <v>1206.8800000000001</v>
      </c>
      <c r="T213" s="8">
        <f t="shared" si="64"/>
        <v>1024.7667200000001</v>
      </c>
      <c r="U213" s="11">
        <f t="shared" si="65"/>
        <v>0.45919755614365343</v>
      </c>
      <c r="V213" s="17">
        <v>45914</v>
      </c>
      <c r="W213" s="4" t="str">
        <f t="shared" si="66"/>
        <v>Q1-2023</v>
      </c>
      <c r="X213" t="str">
        <f t="shared" si="67"/>
        <v>Europe → Germany → Munich</v>
      </c>
      <c r="Y213" t="str">
        <f t="shared" si="68"/>
        <v>Low</v>
      </c>
      <c r="Z213" s="20">
        <f t="shared" si="69"/>
        <v>44927</v>
      </c>
      <c r="AA213" s="4">
        <f t="array" ref="AA213">MIN(IF($F$2:$F$633=F213,$Z$2:$Z$633))</f>
        <v>44927</v>
      </c>
      <c r="AB213">
        <f t="shared" si="70"/>
        <v>0</v>
      </c>
      <c r="AC213">
        <f t="shared" si="71"/>
        <v>1</v>
      </c>
      <c r="AD213">
        <f t="shared" si="72"/>
        <v>0</v>
      </c>
      <c r="AE213" s="13">
        <f t="shared" si="73"/>
        <v>1</v>
      </c>
      <c r="AH213">
        <f t="shared" si="74"/>
        <v>9.6</v>
      </c>
      <c r="AI213">
        <f t="shared" si="75"/>
        <v>173.489</v>
      </c>
      <c r="AJ213" s="11">
        <f t="shared" si="76"/>
        <v>0.19600000000000001</v>
      </c>
      <c r="AK213">
        <f t="shared" si="77"/>
        <v>2677.976064</v>
      </c>
      <c r="AL213">
        <f t="shared" si="78"/>
        <v>1665.4944</v>
      </c>
      <c r="AM213">
        <f t="shared" si="79"/>
        <v>1012.4816639999999</v>
      </c>
    </row>
    <row r="214" spans="1:39" x14ac:dyDescent="0.25">
      <c r="A214" t="s">
        <v>554</v>
      </c>
      <c r="B214" s="4">
        <v>44952</v>
      </c>
      <c r="C214" s="4">
        <v>44972</v>
      </c>
      <c r="D214" s="13">
        <f t="shared" si="60"/>
        <v>20</v>
      </c>
      <c r="E214" s="6" t="s">
        <v>649</v>
      </c>
      <c r="F214" t="s">
        <v>656</v>
      </c>
      <c r="G214" t="s">
        <v>671</v>
      </c>
      <c r="H214" t="s">
        <v>705</v>
      </c>
      <c r="I214" t="s">
        <v>708</v>
      </c>
      <c r="J214" t="s">
        <v>719</v>
      </c>
      <c r="K214" t="s">
        <v>729</v>
      </c>
      <c r="L214" t="s">
        <v>1272</v>
      </c>
      <c r="M214" s="8">
        <v>492.62</v>
      </c>
      <c r="N214" s="8">
        <v>366.7</v>
      </c>
      <c r="O214" s="8">
        <f t="shared" si="61"/>
        <v>366.7</v>
      </c>
      <c r="P214" s="11">
        <v>8.8999999999999996E-2</v>
      </c>
      <c r="Q214" s="13">
        <v>10</v>
      </c>
      <c r="R214" s="8">
        <f t="shared" si="62"/>
        <v>3340.6370000000002</v>
      </c>
      <c r="S214" s="8">
        <f t="shared" si="63"/>
        <v>4926.2</v>
      </c>
      <c r="T214" s="8">
        <f t="shared" si="64"/>
        <v>-1585.5629999999996</v>
      </c>
      <c r="U214" s="11">
        <f t="shared" si="65"/>
        <v>-0.47462894052840809</v>
      </c>
      <c r="V214" s="17">
        <v>45915</v>
      </c>
      <c r="W214" s="4" t="str">
        <f t="shared" si="66"/>
        <v>Q1-2023</v>
      </c>
      <c r="X214" t="str">
        <f t="shared" si="67"/>
        <v>Europe → Germany → Berlin</v>
      </c>
      <c r="Y214" t="str">
        <f t="shared" si="68"/>
        <v>Low</v>
      </c>
      <c r="Z214" s="20">
        <f t="shared" si="69"/>
        <v>44927</v>
      </c>
      <c r="AA214" s="4">
        <f t="array" ref="AA214">MIN(IF($F$2:$F$633=F214,$Z$2:$Z$633))</f>
        <v>44927</v>
      </c>
      <c r="AB214">
        <f t="shared" si="70"/>
        <v>0</v>
      </c>
      <c r="AC214">
        <f t="shared" si="71"/>
        <v>0</v>
      </c>
      <c r="AD214">
        <f t="shared" si="72"/>
        <v>0</v>
      </c>
      <c r="AE214" s="13">
        <f t="shared" si="73"/>
        <v>0</v>
      </c>
      <c r="AH214">
        <f t="shared" si="74"/>
        <v>12</v>
      </c>
      <c r="AI214">
        <f t="shared" si="75"/>
        <v>566.51299999999992</v>
      </c>
      <c r="AJ214" s="11">
        <f t="shared" si="76"/>
        <v>8.8999999999999996E-2</v>
      </c>
      <c r="AK214">
        <f t="shared" si="77"/>
        <v>4008.7644</v>
      </c>
      <c r="AL214">
        <f t="shared" si="78"/>
        <v>6798.155999999999</v>
      </c>
      <c r="AM214">
        <f t="shared" si="79"/>
        <v>-2789.391599999999</v>
      </c>
    </row>
    <row r="215" spans="1:39" x14ac:dyDescent="0.25">
      <c r="A215" t="s">
        <v>212</v>
      </c>
      <c r="B215" s="4">
        <v>44956</v>
      </c>
      <c r="C215" s="4">
        <v>44978</v>
      </c>
      <c r="D215" s="13">
        <f t="shared" si="60"/>
        <v>22</v>
      </c>
      <c r="E215" s="6" t="s">
        <v>649</v>
      </c>
      <c r="F215" t="s">
        <v>656</v>
      </c>
      <c r="G215" t="s">
        <v>684</v>
      </c>
      <c r="H215" t="s">
        <v>705</v>
      </c>
      <c r="I215" t="s">
        <v>709</v>
      </c>
      <c r="J215" t="s">
        <v>715</v>
      </c>
      <c r="K215" t="s">
        <v>729</v>
      </c>
      <c r="L215" t="s">
        <v>932</v>
      </c>
      <c r="M215" s="8">
        <v>1142.8800000000001</v>
      </c>
      <c r="N215" s="8">
        <v>1465.29</v>
      </c>
      <c r="O215" s="8">
        <f t="shared" si="61"/>
        <v>1465.29</v>
      </c>
      <c r="P215" s="11">
        <v>0.186</v>
      </c>
      <c r="Q215" s="13">
        <v>7</v>
      </c>
      <c r="R215" s="8">
        <f t="shared" si="62"/>
        <v>8349.2224200000001</v>
      </c>
      <c r="S215" s="8">
        <f t="shared" si="63"/>
        <v>8000.1600000000008</v>
      </c>
      <c r="T215" s="8">
        <f t="shared" si="64"/>
        <v>349.06241999999929</v>
      </c>
      <c r="U215" s="11">
        <f t="shared" si="65"/>
        <v>4.1807775915017401E-2</v>
      </c>
      <c r="V215" s="17">
        <v>45890</v>
      </c>
      <c r="W215" s="4" t="str">
        <f t="shared" si="66"/>
        <v>Q1-2023</v>
      </c>
      <c r="X215" t="str">
        <f t="shared" si="67"/>
        <v>Europe → Germany → Munich</v>
      </c>
      <c r="Y215" t="str">
        <f t="shared" si="68"/>
        <v>Medium</v>
      </c>
      <c r="Z215" s="20">
        <f t="shared" si="69"/>
        <v>44927</v>
      </c>
      <c r="AA215" s="4">
        <f t="array" ref="AA215">MIN(IF($F$2:$F$633=F215,$Z$2:$Z$633))</f>
        <v>44927</v>
      </c>
      <c r="AB215">
        <f t="shared" si="70"/>
        <v>0</v>
      </c>
      <c r="AC215">
        <f t="shared" si="71"/>
        <v>0</v>
      </c>
      <c r="AD215">
        <f t="shared" si="72"/>
        <v>0</v>
      </c>
      <c r="AE215" s="13">
        <f t="shared" si="73"/>
        <v>0</v>
      </c>
      <c r="AH215">
        <f t="shared" si="74"/>
        <v>8.4</v>
      </c>
      <c r="AI215">
        <f t="shared" si="75"/>
        <v>1314.3120000000001</v>
      </c>
      <c r="AJ215" s="11">
        <f t="shared" si="76"/>
        <v>0.186</v>
      </c>
      <c r="AK215">
        <f t="shared" si="77"/>
        <v>10019.066904000001</v>
      </c>
      <c r="AL215">
        <f t="shared" si="78"/>
        <v>11040.220800000001</v>
      </c>
      <c r="AM215">
        <f t="shared" si="79"/>
        <v>-1021.1538959999998</v>
      </c>
    </row>
    <row r="216" spans="1:39" x14ac:dyDescent="0.25">
      <c r="A216" t="s">
        <v>180</v>
      </c>
      <c r="B216" s="4">
        <v>44976</v>
      </c>
      <c r="C216" s="4">
        <v>44997</v>
      </c>
      <c r="D216" s="13">
        <f t="shared" si="60"/>
        <v>21</v>
      </c>
      <c r="E216" s="6" t="s">
        <v>649</v>
      </c>
      <c r="F216" t="s">
        <v>656</v>
      </c>
      <c r="G216" t="s">
        <v>671</v>
      </c>
      <c r="H216" t="s">
        <v>705</v>
      </c>
      <c r="I216" t="s">
        <v>711</v>
      </c>
      <c r="J216" t="s">
        <v>716</v>
      </c>
      <c r="K216" t="s">
        <v>732</v>
      </c>
      <c r="L216" t="s">
        <v>899</v>
      </c>
      <c r="M216" s="8">
        <v>1234.81</v>
      </c>
      <c r="N216" s="8">
        <v>2055.2399999999998</v>
      </c>
      <c r="O216" s="8">
        <f t="shared" si="61"/>
        <v>2055.2399999999998</v>
      </c>
      <c r="P216" s="11">
        <v>5.2999999999999999E-2</v>
      </c>
      <c r="Q216" s="13">
        <v>44</v>
      </c>
      <c r="R216" s="8">
        <f t="shared" si="62"/>
        <v>85637.740319999997</v>
      </c>
      <c r="S216" s="8">
        <f t="shared" si="63"/>
        <v>54331.64</v>
      </c>
      <c r="T216" s="8">
        <f t="shared" si="64"/>
        <v>31306.100319999998</v>
      </c>
      <c r="U216" s="11">
        <f t="shared" si="65"/>
        <v>0.36556429680441616</v>
      </c>
      <c r="V216" s="17">
        <v>45882</v>
      </c>
      <c r="W216" s="4" t="str">
        <f t="shared" si="66"/>
        <v>Q1-2023</v>
      </c>
      <c r="X216" t="str">
        <f t="shared" si="67"/>
        <v>Europe → Germany → Berlin</v>
      </c>
      <c r="Y216" t="str">
        <f t="shared" si="68"/>
        <v>High</v>
      </c>
      <c r="Z216" s="20">
        <f t="shared" si="69"/>
        <v>44958</v>
      </c>
      <c r="AA216" s="4">
        <f t="array" ref="AA216">MIN(IF($F$2:$F$633=F216,$Z$2:$Z$633))</f>
        <v>44927</v>
      </c>
      <c r="AB216">
        <f t="shared" si="70"/>
        <v>1</v>
      </c>
      <c r="AC216">
        <f t="shared" si="71"/>
        <v>0</v>
      </c>
      <c r="AD216">
        <f t="shared" si="72"/>
        <v>0</v>
      </c>
      <c r="AE216" s="13">
        <f t="shared" si="73"/>
        <v>0</v>
      </c>
      <c r="AH216">
        <f t="shared" si="74"/>
        <v>52.8</v>
      </c>
      <c r="AI216">
        <f t="shared" si="75"/>
        <v>1420.0314999999998</v>
      </c>
      <c r="AJ216" s="11">
        <f t="shared" si="76"/>
        <v>5.2999999999999999E-2</v>
      </c>
      <c r="AK216">
        <f t="shared" si="77"/>
        <v>102765.28838399997</v>
      </c>
      <c r="AL216">
        <f t="shared" si="78"/>
        <v>74977.663199999981</v>
      </c>
      <c r="AM216">
        <f t="shared" si="79"/>
        <v>27787.62518399999</v>
      </c>
    </row>
    <row r="217" spans="1:39" x14ac:dyDescent="0.25">
      <c r="A217" t="s">
        <v>114</v>
      </c>
      <c r="B217" s="4">
        <v>44985</v>
      </c>
      <c r="C217" s="4">
        <v>45005</v>
      </c>
      <c r="D217" s="13">
        <f t="shared" si="60"/>
        <v>20</v>
      </c>
      <c r="E217" s="6" t="s">
        <v>649</v>
      </c>
      <c r="F217" t="s">
        <v>656</v>
      </c>
      <c r="G217" t="s">
        <v>671</v>
      </c>
      <c r="H217" t="s">
        <v>705</v>
      </c>
      <c r="I217" t="s">
        <v>711</v>
      </c>
      <c r="J217" t="s">
        <v>722</v>
      </c>
      <c r="K217" t="s">
        <v>731</v>
      </c>
      <c r="L217" t="s">
        <v>833</v>
      </c>
      <c r="M217" s="8">
        <v>1200.78</v>
      </c>
      <c r="N217" s="8">
        <v>2001.17</v>
      </c>
      <c r="O217" s="8">
        <f t="shared" si="61"/>
        <v>2001.17</v>
      </c>
      <c r="P217" s="11">
        <v>0.29199999999999998</v>
      </c>
      <c r="Q217" s="13">
        <v>18</v>
      </c>
      <c r="R217" s="8">
        <f t="shared" si="62"/>
        <v>25502.910479999999</v>
      </c>
      <c r="S217" s="8">
        <f t="shared" si="63"/>
        <v>21614.04</v>
      </c>
      <c r="T217" s="8">
        <f t="shared" si="64"/>
        <v>3888.8704799999978</v>
      </c>
      <c r="U217" s="11">
        <f t="shared" si="65"/>
        <v>0.15248732034132906</v>
      </c>
      <c r="V217" s="17">
        <v>45860</v>
      </c>
      <c r="W217" s="4" t="str">
        <f t="shared" si="66"/>
        <v>Q1-2023</v>
      </c>
      <c r="X217" t="str">
        <f t="shared" si="67"/>
        <v>Europe → Germany → Berlin</v>
      </c>
      <c r="Y217" t="str">
        <f t="shared" si="68"/>
        <v>High</v>
      </c>
      <c r="Z217" s="20">
        <f t="shared" si="69"/>
        <v>44958</v>
      </c>
      <c r="AA217" s="4">
        <f t="array" ref="AA217">MIN(IF($F$2:$F$633=F217,$Z$2:$Z$633))</f>
        <v>44927</v>
      </c>
      <c r="AB217">
        <f t="shared" si="70"/>
        <v>1</v>
      </c>
      <c r="AC217">
        <f t="shared" si="71"/>
        <v>0</v>
      </c>
      <c r="AD217">
        <f t="shared" si="72"/>
        <v>1</v>
      </c>
      <c r="AE217" s="13">
        <f t="shared" si="73"/>
        <v>0</v>
      </c>
      <c r="AH217">
        <f t="shared" si="74"/>
        <v>21.599999999999998</v>
      </c>
      <c r="AI217">
        <f t="shared" si="75"/>
        <v>1380.8969999999999</v>
      </c>
      <c r="AJ217" s="11">
        <f t="shared" si="76"/>
        <v>0.25</v>
      </c>
      <c r="AK217">
        <f t="shared" si="77"/>
        <v>32418.953999999998</v>
      </c>
      <c r="AL217">
        <f t="shared" si="78"/>
        <v>29827.375199999995</v>
      </c>
      <c r="AM217">
        <f t="shared" si="79"/>
        <v>2591.578800000003</v>
      </c>
    </row>
    <row r="218" spans="1:39" x14ac:dyDescent="0.25">
      <c r="A218" t="s">
        <v>562</v>
      </c>
      <c r="B218" s="4">
        <v>44985</v>
      </c>
      <c r="C218" s="4">
        <v>44991</v>
      </c>
      <c r="D218" s="13">
        <f t="shared" si="60"/>
        <v>6</v>
      </c>
      <c r="E218" s="6" t="s">
        <v>649</v>
      </c>
      <c r="F218" t="s">
        <v>656</v>
      </c>
      <c r="G218" t="s">
        <v>698</v>
      </c>
      <c r="H218" t="s">
        <v>705</v>
      </c>
      <c r="I218" t="s">
        <v>709</v>
      </c>
      <c r="J218" t="s">
        <v>726</v>
      </c>
      <c r="K218" t="s">
        <v>728</v>
      </c>
      <c r="L218" t="s">
        <v>1280</v>
      </c>
      <c r="M218" s="8">
        <v>880.02</v>
      </c>
      <c r="N218" s="8">
        <v>1251.21</v>
      </c>
      <c r="O218" s="8">
        <f t="shared" si="61"/>
        <v>1251.21</v>
      </c>
      <c r="P218" s="11">
        <v>0.123</v>
      </c>
      <c r="Q218" s="13">
        <v>29</v>
      </c>
      <c r="R218" s="8">
        <f t="shared" si="62"/>
        <v>31822.023930000003</v>
      </c>
      <c r="S218" s="8">
        <f t="shared" si="63"/>
        <v>25520.579999999998</v>
      </c>
      <c r="T218" s="8">
        <f t="shared" si="64"/>
        <v>6301.4439300000049</v>
      </c>
      <c r="U218" s="11">
        <f t="shared" si="65"/>
        <v>0.19802146915172672</v>
      </c>
      <c r="V218" s="17">
        <v>45861</v>
      </c>
      <c r="W218" s="4" t="str">
        <f t="shared" si="66"/>
        <v>Q1-2023</v>
      </c>
      <c r="X218" t="str">
        <f t="shared" si="67"/>
        <v>Europe → Germany → Frankfurt</v>
      </c>
      <c r="Y218" t="str">
        <f t="shared" si="68"/>
        <v>Medium</v>
      </c>
      <c r="Z218" s="20">
        <f t="shared" si="69"/>
        <v>44958</v>
      </c>
      <c r="AA218" s="4">
        <f t="array" ref="AA218">MIN(IF($F$2:$F$633=F218,$Z$2:$Z$633))</f>
        <v>44927</v>
      </c>
      <c r="AB218">
        <f t="shared" si="70"/>
        <v>1</v>
      </c>
      <c r="AC218">
        <f t="shared" si="71"/>
        <v>1</v>
      </c>
      <c r="AD218">
        <f t="shared" si="72"/>
        <v>0</v>
      </c>
      <c r="AE218" s="13">
        <f t="shared" si="73"/>
        <v>1</v>
      </c>
      <c r="AH218">
        <f t="shared" si="74"/>
        <v>34.799999999999997</v>
      </c>
      <c r="AI218">
        <f t="shared" si="75"/>
        <v>1012.0229999999999</v>
      </c>
      <c r="AJ218" s="11">
        <f t="shared" si="76"/>
        <v>0.123</v>
      </c>
      <c r="AK218">
        <f t="shared" si="77"/>
        <v>38186.428716000002</v>
      </c>
      <c r="AL218">
        <f t="shared" si="78"/>
        <v>35218.400399999991</v>
      </c>
      <c r="AM218">
        <f t="shared" si="79"/>
        <v>2968.0283160000108</v>
      </c>
    </row>
    <row r="219" spans="1:39" x14ac:dyDescent="0.25">
      <c r="A219" t="s">
        <v>491</v>
      </c>
      <c r="B219" s="4">
        <v>44999</v>
      </c>
      <c r="C219" s="4">
        <v>45003</v>
      </c>
      <c r="D219" s="13">
        <f t="shared" si="60"/>
        <v>4</v>
      </c>
      <c r="E219" s="6" t="s">
        <v>649</v>
      </c>
      <c r="F219" t="s">
        <v>656</v>
      </c>
      <c r="G219" t="s">
        <v>698</v>
      </c>
      <c r="H219" t="s">
        <v>706</v>
      </c>
      <c r="I219" t="s">
        <v>711</v>
      </c>
      <c r="J219" t="s">
        <v>720</v>
      </c>
      <c r="K219" t="s">
        <v>727</v>
      </c>
      <c r="L219" t="s">
        <v>1210</v>
      </c>
      <c r="M219" s="8">
        <v>472.33</v>
      </c>
      <c r="N219" s="8">
        <v>360.34</v>
      </c>
      <c r="O219" s="8">
        <f t="shared" si="61"/>
        <v>360.34</v>
      </c>
      <c r="P219" s="11">
        <v>0.16500000000000001</v>
      </c>
      <c r="Q219" s="13">
        <v>14</v>
      </c>
      <c r="R219" s="8">
        <f t="shared" si="62"/>
        <v>4212.3745999999992</v>
      </c>
      <c r="S219" s="8">
        <f t="shared" si="63"/>
        <v>6612.62</v>
      </c>
      <c r="T219" s="8">
        <f t="shared" si="64"/>
        <v>-2400.2454000000007</v>
      </c>
      <c r="U219" s="11">
        <f t="shared" si="65"/>
        <v>-0.56980815523861561</v>
      </c>
      <c r="V219" s="17">
        <v>45858</v>
      </c>
      <c r="W219" s="4" t="str">
        <f t="shared" si="66"/>
        <v>Q1-2023</v>
      </c>
      <c r="X219" t="str">
        <f t="shared" si="67"/>
        <v>Europe → Germany → Frankfurt</v>
      </c>
      <c r="Y219" t="str">
        <f t="shared" si="68"/>
        <v>Low</v>
      </c>
      <c r="Z219" s="20">
        <f t="shared" si="69"/>
        <v>44986</v>
      </c>
      <c r="AA219" s="4">
        <f t="array" ref="AA219">MIN(IF($F$2:$F$633=F219,$Z$2:$Z$633))</f>
        <v>44927</v>
      </c>
      <c r="AB219">
        <f t="shared" si="70"/>
        <v>2</v>
      </c>
      <c r="AC219">
        <f t="shared" si="71"/>
        <v>1</v>
      </c>
      <c r="AD219">
        <f t="shared" si="72"/>
        <v>0</v>
      </c>
      <c r="AE219" s="13">
        <f t="shared" si="73"/>
        <v>1</v>
      </c>
      <c r="AH219">
        <f t="shared" si="74"/>
        <v>16.8</v>
      </c>
      <c r="AI219">
        <f t="shared" si="75"/>
        <v>543.17949999999996</v>
      </c>
      <c r="AJ219" s="11">
        <f t="shared" si="76"/>
        <v>0.16500000000000001</v>
      </c>
      <c r="AK219">
        <f t="shared" si="77"/>
        <v>5054.8495199999998</v>
      </c>
      <c r="AL219">
        <f t="shared" si="78"/>
        <v>9125.4156000000003</v>
      </c>
      <c r="AM219">
        <f t="shared" si="79"/>
        <v>-4070.5660800000005</v>
      </c>
    </row>
    <row r="220" spans="1:39" x14ac:dyDescent="0.25">
      <c r="A220" t="s">
        <v>426</v>
      </c>
      <c r="B220" s="4">
        <v>45002</v>
      </c>
      <c r="C220" s="4">
        <v>45022</v>
      </c>
      <c r="D220" s="13">
        <f t="shared" si="60"/>
        <v>20</v>
      </c>
      <c r="E220" s="6" t="s">
        <v>649</v>
      </c>
      <c r="F220" t="s">
        <v>656</v>
      </c>
      <c r="G220" t="s">
        <v>684</v>
      </c>
      <c r="H220" t="s">
        <v>704</v>
      </c>
      <c r="I220" t="s">
        <v>707</v>
      </c>
      <c r="J220" t="s">
        <v>719</v>
      </c>
      <c r="K220" t="s">
        <v>730</v>
      </c>
      <c r="L220" t="s">
        <v>1145</v>
      </c>
      <c r="M220" s="8">
        <v>692.18</v>
      </c>
      <c r="N220" s="8">
        <v>1159.3499999999999</v>
      </c>
      <c r="O220" s="8">
        <f t="shared" si="61"/>
        <v>1159.3499999999999</v>
      </c>
      <c r="P220" s="11">
        <v>0.112</v>
      </c>
      <c r="Q220" s="13">
        <v>2</v>
      </c>
      <c r="R220" s="8">
        <f t="shared" si="62"/>
        <v>2059.0056</v>
      </c>
      <c r="S220" s="8">
        <f t="shared" si="63"/>
        <v>1384.36</v>
      </c>
      <c r="T220" s="8">
        <f t="shared" si="64"/>
        <v>674.64560000000006</v>
      </c>
      <c r="U220" s="11">
        <f t="shared" si="65"/>
        <v>0.32765602968734037</v>
      </c>
      <c r="V220" s="17">
        <v>45852</v>
      </c>
      <c r="W220" s="4" t="str">
        <f t="shared" si="66"/>
        <v>Q1-2023</v>
      </c>
      <c r="X220" t="str">
        <f t="shared" si="67"/>
        <v>Europe → Germany → Munich</v>
      </c>
      <c r="Y220" t="str">
        <f t="shared" si="68"/>
        <v>Medium</v>
      </c>
      <c r="Z220" s="20">
        <f t="shared" si="69"/>
        <v>44986</v>
      </c>
      <c r="AA220" s="4">
        <f t="array" ref="AA220">MIN(IF($F$2:$F$633=F220,$Z$2:$Z$633))</f>
        <v>44927</v>
      </c>
      <c r="AB220">
        <f t="shared" si="70"/>
        <v>2</v>
      </c>
      <c r="AC220">
        <f t="shared" si="71"/>
        <v>0</v>
      </c>
      <c r="AD220">
        <f t="shared" si="72"/>
        <v>0</v>
      </c>
      <c r="AE220" s="13">
        <f t="shared" si="73"/>
        <v>0</v>
      </c>
      <c r="AH220">
        <f t="shared" si="74"/>
        <v>2.4</v>
      </c>
      <c r="AI220">
        <f t="shared" si="75"/>
        <v>796.00699999999983</v>
      </c>
      <c r="AJ220" s="11">
        <f t="shared" si="76"/>
        <v>0.112</v>
      </c>
      <c r="AK220">
        <f t="shared" si="77"/>
        <v>2470.8067199999996</v>
      </c>
      <c r="AL220">
        <f t="shared" si="78"/>
        <v>1910.4167999999995</v>
      </c>
      <c r="AM220">
        <f t="shared" si="79"/>
        <v>560.38992000000007</v>
      </c>
    </row>
    <row r="221" spans="1:39" x14ac:dyDescent="0.25">
      <c r="A221" t="s">
        <v>213</v>
      </c>
      <c r="B221" s="4">
        <v>45030</v>
      </c>
      <c r="C221" s="4">
        <v>45059</v>
      </c>
      <c r="D221" s="13">
        <f t="shared" si="60"/>
        <v>29</v>
      </c>
      <c r="E221" s="6" t="s">
        <v>649</v>
      </c>
      <c r="F221" t="s">
        <v>656</v>
      </c>
      <c r="G221" t="s">
        <v>698</v>
      </c>
      <c r="H221" t="s">
        <v>704</v>
      </c>
      <c r="I221" t="s">
        <v>711</v>
      </c>
      <c r="J221" t="s">
        <v>713</v>
      </c>
      <c r="K221" t="s">
        <v>728</v>
      </c>
      <c r="L221" t="s">
        <v>933</v>
      </c>
      <c r="M221" s="8">
        <v>1320.33</v>
      </c>
      <c r="N221" s="8">
        <v>2645.23</v>
      </c>
      <c r="O221" s="8">
        <f t="shared" si="61"/>
        <v>2645.23</v>
      </c>
      <c r="P221" s="11">
        <v>0.155</v>
      </c>
      <c r="Q221" s="13">
        <v>25</v>
      </c>
      <c r="R221" s="8">
        <f t="shared" si="62"/>
        <v>55880.483749999999</v>
      </c>
      <c r="S221" s="8">
        <f t="shared" si="63"/>
        <v>33008.25</v>
      </c>
      <c r="T221" s="8">
        <f t="shared" si="64"/>
        <v>22872.233749999999</v>
      </c>
      <c r="U221" s="11">
        <f t="shared" si="65"/>
        <v>0.40930629470436536</v>
      </c>
      <c r="V221" s="17">
        <v>45830</v>
      </c>
      <c r="W221" s="4" t="str">
        <f t="shared" si="66"/>
        <v>Q2-2023</v>
      </c>
      <c r="X221" t="str">
        <f t="shared" si="67"/>
        <v>Europe → Germany → Frankfurt</v>
      </c>
      <c r="Y221" t="str">
        <f t="shared" si="68"/>
        <v>High</v>
      </c>
      <c r="Z221" s="20">
        <f t="shared" si="69"/>
        <v>45017</v>
      </c>
      <c r="AA221" s="4">
        <f t="array" ref="AA221">MIN(IF($F$2:$F$633=F221,$Z$2:$Z$633))</f>
        <v>44927</v>
      </c>
      <c r="AB221">
        <f t="shared" si="70"/>
        <v>3</v>
      </c>
      <c r="AC221">
        <f t="shared" si="71"/>
        <v>0</v>
      </c>
      <c r="AD221">
        <f t="shared" si="72"/>
        <v>0</v>
      </c>
      <c r="AE221" s="13">
        <f t="shared" si="73"/>
        <v>0</v>
      </c>
      <c r="AH221">
        <f t="shared" si="74"/>
        <v>30</v>
      </c>
      <c r="AI221">
        <f t="shared" si="75"/>
        <v>1518.3794999999998</v>
      </c>
      <c r="AJ221" s="11">
        <f t="shared" si="76"/>
        <v>0.155</v>
      </c>
      <c r="AK221">
        <f t="shared" si="77"/>
        <v>67056.580499999996</v>
      </c>
      <c r="AL221">
        <f t="shared" si="78"/>
        <v>45551.384999999995</v>
      </c>
      <c r="AM221">
        <f t="shared" si="79"/>
        <v>21505.195500000002</v>
      </c>
    </row>
    <row r="222" spans="1:39" x14ac:dyDescent="0.25">
      <c r="A222" t="s">
        <v>493</v>
      </c>
      <c r="B222" s="4">
        <v>45032</v>
      </c>
      <c r="C222" s="4">
        <v>45035</v>
      </c>
      <c r="D222" s="13">
        <f t="shared" si="60"/>
        <v>3</v>
      </c>
      <c r="E222" s="6" t="s">
        <v>649</v>
      </c>
      <c r="F222" t="s">
        <v>656</v>
      </c>
      <c r="G222" t="s">
        <v>684</v>
      </c>
      <c r="H222" t="s">
        <v>701</v>
      </c>
      <c r="I222" t="s">
        <v>711</v>
      </c>
      <c r="J222" t="s">
        <v>717</v>
      </c>
      <c r="K222" t="s">
        <v>733</v>
      </c>
      <c r="L222" t="s">
        <v>1212</v>
      </c>
      <c r="M222" s="8">
        <v>553.61</v>
      </c>
      <c r="N222" s="8">
        <v>699.47</v>
      </c>
      <c r="O222" s="8">
        <f t="shared" si="61"/>
        <v>699.47</v>
      </c>
      <c r="P222" s="11">
        <v>0.02</v>
      </c>
      <c r="Q222" s="13">
        <v>33</v>
      </c>
      <c r="R222" s="8">
        <f t="shared" si="62"/>
        <v>22620.859800000002</v>
      </c>
      <c r="S222" s="8">
        <f t="shared" si="63"/>
        <v>18269.13</v>
      </c>
      <c r="T222" s="8">
        <f t="shared" si="64"/>
        <v>4351.729800000001</v>
      </c>
      <c r="U222" s="11">
        <f t="shared" si="65"/>
        <v>0.19237685209472014</v>
      </c>
      <c r="V222" s="17">
        <v>45835</v>
      </c>
      <c r="W222" s="4" t="str">
        <f t="shared" si="66"/>
        <v>Q2-2023</v>
      </c>
      <c r="X222" t="str">
        <f t="shared" si="67"/>
        <v>Europe → Germany → Munich</v>
      </c>
      <c r="Y222" t="str">
        <f t="shared" si="68"/>
        <v>Low</v>
      </c>
      <c r="Z222" s="20">
        <f t="shared" si="69"/>
        <v>45017</v>
      </c>
      <c r="AA222" s="4">
        <f t="array" ref="AA222">MIN(IF($F$2:$F$633=F222,$Z$2:$Z$633))</f>
        <v>44927</v>
      </c>
      <c r="AB222">
        <f t="shared" si="70"/>
        <v>3</v>
      </c>
      <c r="AC222">
        <f t="shared" si="71"/>
        <v>1</v>
      </c>
      <c r="AD222">
        <f t="shared" si="72"/>
        <v>0</v>
      </c>
      <c r="AE222" s="13">
        <f t="shared" si="73"/>
        <v>1</v>
      </c>
      <c r="AH222">
        <f t="shared" si="74"/>
        <v>39.6</v>
      </c>
      <c r="AI222">
        <f t="shared" si="75"/>
        <v>636.65149999999994</v>
      </c>
      <c r="AJ222" s="11">
        <f t="shared" si="76"/>
        <v>0.02</v>
      </c>
      <c r="AK222">
        <f t="shared" si="77"/>
        <v>27145.031760000002</v>
      </c>
      <c r="AL222">
        <f t="shared" si="78"/>
        <v>25211.399399999998</v>
      </c>
      <c r="AM222">
        <f t="shared" si="79"/>
        <v>1933.6323600000032</v>
      </c>
    </row>
    <row r="223" spans="1:39" x14ac:dyDescent="0.25">
      <c r="A223" t="s">
        <v>219</v>
      </c>
      <c r="B223" s="4">
        <v>45035</v>
      </c>
      <c r="C223" s="4">
        <v>45044</v>
      </c>
      <c r="D223" s="13">
        <f t="shared" si="60"/>
        <v>9</v>
      </c>
      <c r="E223" s="6" t="s">
        <v>649</v>
      </c>
      <c r="F223" t="s">
        <v>656</v>
      </c>
      <c r="G223" t="s">
        <v>671</v>
      </c>
      <c r="H223" t="s">
        <v>702</v>
      </c>
      <c r="I223" t="s">
        <v>708</v>
      </c>
      <c r="J223" t="s">
        <v>718</v>
      </c>
      <c r="K223" t="s">
        <v>732</v>
      </c>
      <c r="L223" t="s">
        <v>939</v>
      </c>
      <c r="M223" s="8">
        <v>1178.42</v>
      </c>
      <c r="N223" s="8">
        <v>2446.56</v>
      </c>
      <c r="O223" s="8">
        <f t="shared" si="61"/>
        <v>2446.56</v>
      </c>
      <c r="P223" s="11">
        <v>2.9000000000000001E-2</v>
      </c>
      <c r="Q223" s="13">
        <v>11</v>
      </c>
      <c r="R223" s="8">
        <f t="shared" si="62"/>
        <v>26131.70736</v>
      </c>
      <c r="S223" s="8">
        <f t="shared" si="63"/>
        <v>12962.62</v>
      </c>
      <c r="T223" s="8">
        <f t="shared" si="64"/>
        <v>13169.08736</v>
      </c>
      <c r="U223" s="11">
        <f t="shared" si="65"/>
        <v>0.5039505141618883</v>
      </c>
      <c r="V223" s="17">
        <v>45817</v>
      </c>
      <c r="W223" s="4" t="str">
        <f t="shared" si="66"/>
        <v>Q2-2023</v>
      </c>
      <c r="X223" t="str">
        <f t="shared" si="67"/>
        <v>Europe → Germany → Berlin</v>
      </c>
      <c r="Y223" t="str">
        <f t="shared" si="68"/>
        <v>High</v>
      </c>
      <c r="Z223" s="20">
        <f t="shared" si="69"/>
        <v>45017</v>
      </c>
      <c r="AA223" s="4">
        <f t="array" ref="AA223">MIN(IF($F$2:$F$633=F223,$Z$2:$Z$633))</f>
        <v>44927</v>
      </c>
      <c r="AB223">
        <f t="shared" si="70"/>
        <v>3</v>
      </c>
      <c r="AC223">
        <f t="shared" si="71"/>
        <v>0</v>
      </c>
      <c r="AD223">
        <f t="shared" si="72"/>
        <v>0</v>
      </c>
      <c r="AE223" s="13">
        <f t="shared" si="73"/>
        <v>0</v>
      </c>
      <c r="AH223">
        <f t="shared" si="74"/>
        <v>13.2</v>
      </c>
      <c r="AI223">
        <f t="shared" si="75"/>
        <v>1355.183</v>
      </c>
      <c r="AJ223" s="11">
        <f t="shared" si="76"/>
        <v>2.9000000000000001E-2</v>
      </c>
      <c r="AK223">
        <f t="shared" si="77"/>
        <v>31358.048831999997</v>
      </c>
      <c r="AL223">
        <f t="shared" si="78"/>
        <v>17888.4156</v>
      </c>
      <c r="AM223">
        <f t="shared" si="79"/>
        <v>13469.633231999996</v>
      </c>
    </row>
    <row r="224" spans="1:39" x14ac:dyDescent="0.25">
      <c r="A224" t="s">
        <v>275</v>
      </c>
      <c r="B224" s="4">
        <v>45073</v>
      </c>
      <c r="C224" s="4">
        <v>45096</v>
      </c>
      <c r="D224" s="13">
        <f t="shared" si="60"/>
        <v>23</v>
      </c>
      <c r="E224" s="6" t="s">
        <v>649</v>
      </c>
      <c r="F224" t="s">
        <v>656</v>
      </c>
      <c r="G224" t="s">
        <v>671</v>
      </c>
      <c r="H224" t="s">
        <v>702</v>
      </c>
      <c r="I224" t="s">
        <v>707</v>
      </c>
      <c r="J224" t="s">
        <v>719</v>
      </c>
      <c r="K224" t="s">
        <v>733</v>
      </c>
      <c r="L224" t="s">
        <v>995</v>
      </c>
      <c r="M224" s="8">
        <v>1471.58</v>
      </c>
      <c r="N224" s="8">
        <v>2576.65</v>
      </c>
      <c r="O224" s="8">
        <f t="shared" si="61"/>
        <v>2576.65</v>
      </c>
      <c r="P224" s="11">
        <v>4.0000000000000001E-3</v>
      </c>
      <c r="Q224" s="13">
        <v>7</v>
      </c>
      <c r="R224" s="8">
        <f t="shared" si="62"/>
        <v>17964.4038</v>
      </c>
      <c r="S224" s="8">
        <f t="shared" si="63"/>
        <v>10301.06</v>
      </c>
      <c r="T224" s="8">
        <f t="shared" si="64"/>
        <v>7663.3438000000006</v>
      </c>
      <c r="U224" s="11">
        <f t="shared" si="65"/>
        <v>0.4265849223451546</v>
      </c>
      <c r="V224" s="17">
        <v>45779</v>
      </c>
      <c r="W224" s="4" t="str">
        <f t="shared" si="66"/>
        <v>Q2-2023</v>
      </c>
      <c r="X224" t="str">
        <f t="shared" si="67"/>
        <v>Europe → Germany → Berlin</v>
      </c>
      <c r="Y224" t="str">
        <f t="shared" si="68"/>
        <v>High</v>
      </c>
      <c r="Z224" s="20">
        <f t="shared" si="69"/>
        <v>45047</v>
      </c>
      <c r="AA224" s="4">
        <f t="array" ref="AA224">MIN(IF($F$2:$F$633=F224,$Z$2:$Z$633))</f>
        <v>44927</v>
      </c>
      <c r="AB224">
        <f t="shared" si="70"/>
        <v>4</v>
      </c>
      <c r="AC224">
        <f t="shared" si="71"/>
        <v>0</v>
      </c>
      <c r="AD224">
        <f t="shared" si="72"/>
        <v>0</v>
      </c>
      <c r="AE224" s="13">
        <f t="shared" si="73"/>
        <v>0</v>
      </c>
      <c r="AH224">
        <f t="shared" si="74"/>
        <v>8.4</v>
      </c>
      <c r="AI224">
        <f t="shared" si="75"/>
        <v>1692.3169999999998</v>
      </c>
      <c r="AJ224" s="11">
        <f t="shared" si="76"/>
        <v>4.0000000000000001E-3</v>
      </c>
      <c r="AK224">
        <f t="shared" si="77"/>
        <v>21557.28456</v>
      </c>
      <c r="AL224">
        <f t="shared" si="78"/>
        <v>14215.462799999999</v>
      </c>
      <c r="AM224">
        <f t="shared" si="79"/>
        <v>7341.8217600000007</v>
      </c>
    </row>
    <row r="225" spans="1:39" x14ac:dyDescent="0.25">
      <c r="A225" t="s">
        <v>527</v>
      </c>
      <c r="B225" s="4">
        <v>45078</v>
      </c>
      <c r="C225" s="4">
        <v>45085</v>
      </c>
      <c r="D225" s="13">
        <f t="shared" si="60"/>
        <v>7</v>
      </c>
      <c r="E225" s="6" t="s">
        <v>649</v>
      </c>
      <c r="F225" t="s">
        <v>656</v>
      </c>
      <c r="G225" t="s">
        <v>698</v>
      </c>
      <c r="H225" t="s">
        <v>704</v>
      </c>
      <c r="I225" t="s">
        <v>708</v>
      </c>
      <c r="J225" t="s">
        <v>720</v>
      </c>
      <c r="K225" t="s">
        <v>730</v>
      </c>
      <c r="L225" t="s">
        <v>1246</v>
      </c>
      <c r="M225" s="8">
        <v>804.17</v>
      </c>
      <c r="N225" s="8">
        <v>1072.29</v>
      </c>
      <c r="O225" s="8">
        <f t="shared" si="61"/>
        <v>1072.29</v>
      </c>
      <c r="P225" s="11">
        <v>3.2000000000000001E-2</v>
      </c>
      <c r="Q225" s="13">
        <v>5</v>
      </c>
      <c r="R225" s="8">
        <f t="shared" si="62"/>
        <v>5189.8836000000001</v>
      </c>
      <c r="S225" s="8">
        <f t="shared" si="63"/>
        <v>4020.85</v>
      </c>
      <c r="T225" s="8">
        <f t="shared" si="64"/>
        <v>1169.0336000000002</v>
      </c>
      <c r="U225" s="11">
        <f t="shared" si="65"/>
        <v>0.2252523736755869</v>
      </c>
      <c r="V225" s="17">
        <v>45769</v>
      </c>
      <c r="W225" s="4" t="str">
        <f t="shared" si="66"/>
        <v>Q2-2023</v>
      </c>
      <c r="X225" t="str">
        <f t="shared" si="67"/>
        <v>Europe → Germany → Frankfurt</v>
      </c>
      <c r="Y225" t="str">
        <f t="shared" si="68"/>
        <v>Medium</v>
      </c>
      <c r="Z225" s="20">
        <f t="shared" si="69"/>
        <v>45078</v>
      </c>
      <c r="AA225" s="4">
        <f t="array" ref="AA225">MIN(IF($F$2:$F$633=F225,$Z$2:$Z$633))</f>
        <v>44927</v>
      </c>
      <c r="AB225">
        <f t="shared" si="70"/>
        <v>5</v>
      </c>
      <c r="AC225">
        <f t="shared" si="71"/>
        <v>1</v>
      </c>
      <c r="AD225">
        <f t="shared" si="72"/>
        <v>0</v>
      </c>
      <c r="AE225" s="13">
        <f t="shared" si="73"/>
        <v>1</v>
      </c>
      <c r="AH225">
        <f t="shared" si="74"/>
        <v>6</v>
      </c>
      <c r="AI225">
        <f t="shared" si="75"/>
        <v>924.79549999999983</v>
      </c>
      <c r="AJ225" s="11">
        <f t="shared" si="76"/>
        <v>3.2000000000000001E-2</v>
      </c>
      <c r="AK225">
        <f t="shared" si="77"/>
        <v>6227.8603199999998</v>
      </c>
      <c r="AL225">
        <f t="shared" si="78"/>
        <v>5548.7729999999992</v>
      </c>
      <c r="AM225">
        <f t="shared" si="79"/>
        <v>679.08732000000055</v>
      </c>
    </row>
    <row r="226" spans="1:39" x14ac:dyDescent="0.25">
      <c r="A226" t="s">
        <v>558</v>
      </c>
      <c r="B226" s="4">
        <v>45108</v>
      </c>
      <c r="C226" s="4">
        <v>45115</v>
      </c>
      <c r="D226" s="13">
        <f t="shared" si="60"/>
        <v>7</v>
      </c>
      <c r="E226" s="6" t="s">
        <v>649</v>
      </c>
      <c r="F226" t="s">
        <v>656</v>
      </c>
      <c r="G226" t="s">
        <v>698</v>
      </c>
      <c r="H226" t="s">
        <v>705</v>
      </c>
      <c r="I226" t="s">
        <v>710</v>
      </c>
      <c r="J226" t="s">
        <v>725</v>
      </c>
      <c r="K226" t="s">
        <v>731</v>
      </c>
      <c r="L226" t="s">
        <v>1276</v>
      </c>
      <c r="M226" s="8">
        <v>460.21</v>
      </c>
      <c r="N226" s="8">
        <v>1139.1500000000001</v>
      </c>
      <c r="O226" s="8">
        <f t="shared" si="61"/>
        <v>1139.1500000000001</v>
      </c>
      <c r="P226" s="11">
        <v>0.115</v>
      </c>
      <c r="Q226" s="13">
        <v>14</v>
      </c>
      <c r="R226" s="8">
        <f t="shared" si="62"/>
        <v>14114.068500000001</v>
      </c>
      <c r="S226" s="8">
        <f t="shared" si="63"/>
        <v>6442.94</v>
      </c>
      <c r="T226" s="8">
        <f t="shared" si="64"/>
        <v>7671.1285000000016</v>
      </c>
      <c r="U226" s="11">
        <f t="shared" si="65"/>
        <v>0.54350937151821255</v>
      </c>
      <c r="V226" s="17">
        <v>45730</v>
      </c>
      <c r="W226" s="4" t="str">
        <f t="shared" si="66"/>
        <v>Q3-2023</v>
      </c>
      <c r="X226" t="str">
        <f t="shared" si="67"/>
        <v>Europe → Germany → Frankfurt</v>
      </c>
      <c r="Y226" t="str">
        <f t="shared" si="68"/>
        <v>Medium</v>
      </c>
      <c r="Z226" s="20">
        <f t="shared" si="69"/>
        <v>45108</v>
      </c>
      <c r="AA226" s="4">
        <f t="array" ref="AA226">MIN(IF($F$2:$F$633=F226,$Z$2:$Z$633))</f>
        <v>44927</v>
      </c>
      <c r="AB226">
        <f t="shared" si="70"/>
        <v>6</v>
      </c>
      <c r="AC226">
        <f t="shared" si="71"/>
        <v>1</v>
      </c>
      <c r="AD226">
        <f t="shared" si="72"/>
        <v>0</v>
      </c>
      <c r="AE226" s="13">
        <f t="shared" si="73"/>
        <v>1</v>
      </c>
      <c r="AH226">
        <f t="shared" si="74"/>
        <v>16.8</v>
      </c>
      <c r="AI226">
        <f t="shared" si="75"/>
        <v>529.24149999999997</v>
      </c>
      <c r="AJ226" s="11">
        <f t="shared" si="76"/>
        <v>0.115</v>
      </c>
      <c r="AK226">
        <f t="shared" si="77"/>
        <v>16936.8822</v>
      </c>
      <c r="AL226">
        <f t="shared" si="78"/>
        <v>8891.2572</v>
      </c>
      <c r="AM226">
        <f t="shared" si="79"/>
        <v>8045.625</v>
      </c>
    </row>
    <row r="227" spans="1:39" x14ac:dyDescent="0.25">
      <c r="A227" t="s">
        <v>69</v>
      </c>
      <c r="B227" s="4">
        <v>45168</v>
      </c>
      <c r="C227" s="4">
        <v>45170</v>
      </c>
      <c r="D227" s="13">
        <f t="shared" si="60"/>
        <v>2</v>
      </c>
      <c r="E227" s="6" t="s">
        <v>649</v>
      </c>
      <c r="F227" t="s">
        <v>656</v>
      </c>
      <c r="G227" t="s">
        <v>684</v>
      </c>
      <c r="H227" t="s">
        <v>701</v>
      </c>
      <c r="I227" t="s">
        <v>711</v>
      </c>
      <c r="J227" t="s">
        <v>725</v>
      </c>
      <c r="K227" t="s">
        <v>729</v>
      </c>
      <c r="L227" t="s">
        <v>788</v>
      </c>
      <c r="M227" s="8">
        <v>44.42</v>
      </c>
      <c r="N227" s="8">
        <v>41.9</v>
      </c>
      <c r="O227" s="8">
        <f t="shared" si="61"/>
        <v>41.9</v>
      </c>
      <c r="P227" s="11">
        <v>0.14399999999999999</v>
      </c>
      <c r="Q227" s="13">
        <v>6</v>
      </c>
      <c r="R227" s="8">
        <f t="shared" si="62"/>
        <v>215.19839999999996</v>
      </c>
      <c r="S227" s="8">
        <f t="shared" si="63"/>
        <v>266.52</v>
      </c>
      <c r="T227" s="8">
        <f t="shared" si="64"/>
        <v>-51.321600000000018</v>
      </c>
      <c r="U227" s="11">
        <f t="shared" si="65"/>
        <v>-0.23848504449847224</v>
      </c>
      <c r="V227" s="17">
        <v>45679</v>
      </c>
      <c r="W227" s="4" t="str">
        <f t="shared" si="66"/>
        <v>Q3-2023</v>
      </c>
      <c r="X227" t="str">
        <f t="shared" si="67"/>
        <v>Europe → Germany → Munich</v>
      </c>
      <c r="Y227" t="str">
        <f t="shared" si="68"/>
        <v>Low</v>
      </c>
      <c r="Z227" s="20">
        <f t="shared" si="69"/>
        <v>45139</v>
      </c>
      <c r="AA227" s="4">
        <f t="array" ref="AA227">MIN(IF($F$2:$F$633=F227,$Z$2:$Z$633))</f>
        <v>44927</v>
      </c>
      <c r="AB227">
        <f t="shared" si="70"/>
        <v>7</v>
      </c>
      <c r="AC227">
        <f t="shared" si="71"/>
        <v>1</v>
      </c>
      <c r="AD227">
        <f t="shared" si="72"/>
        <v>0</v>
      </c>
      <c r="AE227" s="13">
        <f t="shared" si="73"/>
        <v>1</v>
      </c>
      <c r="AH227">
        <f t="shared" si="74"/>
        <v>7.1999999999999993</v>
      </c>
      <c r="AI227">
        <f t="shared" si="75"/>
        <v>51.082999999999998</v>
      </c>
      <c r="AJ227" s="11">
        <f t="shared" si="76"/>
        <v>0.14399999999999999</v>
      </c>
      <c r="AK227">
        <f t="shared" si="77"/>
        <v>258.23807999999997</v>
      </c>
      <c r="AL227">
        <f t="shared" si="78"/>
        <v>367.79759999999993</v>
      </c>
      <c r="AM227">
        <f t="shared" si="79"/>
        <v>-109.55951999999996</v>
      </c>
    </row>
    <row r="228" spans="1:39" x14ac:dyDescent="0.25">
      <c r="A228" t="s">
        <v>472</v>
      </c>
      <c r="B228" s="4">
        <v>45260</v>
      </c>
      <c r="C228" s="4">
        <v>45270</v>
      </c>
      <c r="D228" s="13">
        <f t="shared" si="60"/>
        <v>10</v>
      </c>
      <c r="E228" s="6" t="s">
        <v>649</v>
      </c>
      <c r="F228" t="s">
        <v>656</v>
      </c>
      <c r="G228" t="s">
        <v>684</v>
      </c>
      <c r="H228" t="s">
        <v>705</v>
      </c>
      <c r="I228" t="s">
        <v>711</v>
      </c>
      <c r="J228" t="s">
        <v>721</v>
      </c>
      <c r="K228" t="s">
        <v>731</v>
      </c>
      <c r="L228" t="s">
        <v>1191</v>
      </c>
      <c r="M228" s="8">
        <v>174.74</v>
      </c>
      <c r="N228" s="8">
        <v>415.96</v>
      </c>
      <c r="O228" s="8">
        <f t="shared" si="61"/>
        <v>415.96</v>
      </c>
      <c r="P228" s="11">
        <v>0.125</v>
      </c>
      <c r="Q228" s="13">
        <v>21</v>
      </c>
      <c r="R228" s="8">
        <f t="shared" si="62"/>
        <v>7643.2649999999994</v>
      </c>
      <c r="S228" s="8">
        <f t="shared" si="63"/>
        <v>3669.54</v>
      </c>
      <c r="T228" s="8">
        <f t="shared" si="64"/>
        <v>3973.7249999999995</v>
      </c>
      <c r="U228" s="11">
        <f t="shared" si="65"/>
        <v>0.51989889137691803</v>
      </c>
      <c r="V228" s="17">
        <v>45592</v>
      </c>
      <c r="W228" s="4" t="str">
        <f t="shared" si="66"/>
        <v>Q4-2023</v>
      </c>
      <c r="X228" t="str">
        <f t="shared" si="67"/>
        <v>Europe → Germany → Munich</v>
      </c>
      <c r="Y228" t="str">
        <f t="shared" si="68"/>
        <v>Low</v>
      </c>
      <c r="Z228" s="20">
        <f t="shared" si="69"/>
        <v>45231</v>
      </c>
      <c r="AA228" s="4">
        <f t="array" ref="AA228">MIN(IF($F$2:$F$633=F228,$Z$2:$Z$633))</f>
        <v>44927</v>
      </c>
      <c r="AB228">
        <f t="shared" si="70"/>
        <v>10</v>
      </c>
      <c r="AC228">
        <f t="shared" si="71"/>
        <v>0</v>
      </c>
      <c r="AD228">
        <f t="shared" si="72"/>
        <v>0</v>
      </c>
      <c r="AE228" s="13">
        <f t="shared" si="73"/>
        <v>0</v>
      </c>
      <c r="AH228">
        <f t="shared" si="74"/>
        <v>25.2</v>
      </c>
      <c r="AI228">
        <f t="shared" si="75"/>
        <v>200.95099999999999</v>
      </c>
      <c r="AJ228" s="11">
        <f t="shared" si="76"/>
        <v>0.125</v>
      </c>
      <c r="AK228">
        <f t="shared" si="77"/>
        <v>9171.9179999999997</v>
      </c>
      <c r="AL228">
        <f t="shared" si="78"/>
        <v>5063.9651999999996</v>
      </c>
      <c r="AM228">
        <f t="shared" si="79"/>
        <v>4107.9528</v>
      </c>
    </row>
    <row r="229" spans="1:39" x14ac:dyDescent="0.25">
      <c r="A229" t="s">
        <v>365</v>
      </c>
      <c r="B229" s="4">
        <v>45262</v>
      </c>
      <c r="C229" s="4">
        <v>45276</v>
      </c>
      <c r="D229" s="13">
        <f t="shared" si="60"/>
        <v>14</v>
      </c>
      <c r="E229" s="6" t="s">
        <v>649</v>
      </c>
      <c r="F229" t="s">
        <v>656</v>
      </c>
      <c r="G229" t="s">
        <v>698</v>
      </c>
      <c r="H229" t="s">
        <v>702</v>
      </c>
      <c r="I229" t="s">
        <v>711</v>
      </c>
      <c r="J229" t="s">
        <v>725</v>
      </c>
      <c r="K229" t="s">
        <v>732</v>
      </c>
      <c r="L229" t="s">
        <v>1085</v>
      </c>
      <c r="M229" s="8">
        <v>879.08</v>
      </c>
      <c r="N229" s="8">
        <v>1093.3900000000001</v>
      </c>
      <c r="O229" s="8">
        <f t="shared" si="61"/>
        <v>1093.3900000000001</v>
      </c>
      <c r="P229" s="11">
        <v>0.113</v>
      </c>
      <c r="Q229" s="13">
        <v>17</v>
      </c>
      <c r="R229" s="8">
        <f t="shared" si="62"/>
        <v>16487.22781</v>
      </c>
      <c r="S229" s="8">
        <f t="shared" si="63"/>
        <v>14944.36</v>
      </c>
      <c r="T229" s="8">
        <f t="shared" si="64"/>
        <v>1542.8678099999997</v>
      </c>
      <c r="U229" s="11">
        <f t="shared" si="65"/>
        <v>9.3579577341935186E-2</v>
      </c>
      <c r="V229" s="17">
        <v>45590</v>
      </c>
      <c r="W229" s="4" t="str">
        <f t="shared" si="66"/>
        <v>Q4-2023</v>
      </c>
      <c r="X229" t="str">
        <f t="shared" si="67"/>
        <v>Europe → Germany → Frankfurt</v>
      </c>
      <c r="Y229" t="str">
        <f t="shared" si="68"/>
        <v>Medium</v>
      </c>
      <c r="Z229" s="20">
        <f t="shared" si="69"/>
        <v>45261</v>
      </c>
      <c r="AA229" s="4">
        <f t="array" ref="AA229">MIN(IF($F$2:$F$633=F229,$Z$2:$Z$633))</f>
        <v>44927</v>
      </c>
      <c r="AB229">
        <f t="shared" si="70"/>
        <v>11</v>
      </c>
      <c r="AC229">
        <f t="shared" si="71"/>
        <v>0</v>
      </c>
      <c r="AD229">
        <f t="shared" si="72"/>
        <v>0</v>
      </c>
      <c r="AE229" s="13">
        <f t="shared" si="73"/>
        <v>0</v>
      </c>
      <c r="AH229">
        <f t="shared" si="74"/>
        <v>20.399999999999999</v>
      </c>
      <c r="AI229">
        <f t="shared" si="75"/>
        <v>1010.942</v>
      </c>
      <c r="AJ229" s="11">
        <f t="shared" si="76"/>
        <v>0.113</v>
      </c>
      <c r="AK229">
        <f t="shared" si="77"/>
        <v>19784.673372000001</v>
      </c>
      <c r="AL229">
        <f t="shared" si="78"/>
        <v>20623.216799999998</v>
      </c>
      <c r="AM229">
        <f t="shared" si="79"/>
        <v>-838.54342799999722</v>
      </c>
    </row>
    <row r="230" spans="1:39" x14ac:dyDescent="0.25">
      <c r="A230" t="s">
        <v>643</v>
      </c>
      <c r="B230" s="4">
        <v>45267</v>
      </c>
      <c r="C230" s="4">
        <v>45293</v>
      </c>
      <c r="D230" s="13">
        <f t="shared" si="60"/>
        <v>26</v>
      </c>
      <c r="E230" s="6" t="s">
        <v>649</v>
      </c>
      <c r="F230" t="s">
        <v>656</v>
      </c>
      <c r="G230" t="s">
        <v>698</v>
      </c>
      <c r="H230" t="s">
        <v>706</v>
      </c>
      <c r="I230" t="s">
        <v>710</v>
      </c>
      <c r="J230" t="s">
        <v>718</v>
      </c>
      <c r="K230" t="s">
        <v>727</v>
      </c>
      <c r="L230" t="s">
        <v>1361</v>
      </c>
      <c r="M230" s="8">
        <v>1071.99</v>
      </c>
      <c r="N230" s="8">
        <v>2397.3000000000002</v>
      </c>
      <c r="O230" s="8">
        <f t="shared" si="61"/>
        <v>2397.3000000000002</v>
      </c>
      <c r="P230" s="11">
        <v>6.2E-2</v>
      </c>
      <c r="Q230" s="13">
        <v>18</v>
      </c>
      <c r="R230" s="8">
        <f t="shared" si="62"/>
        <v>40476.013200000001</v>
      </c>
      <c r="S230" s="8">
        <f t="shared" si="63"/>
        <v>19295.82</v>
      </c>
      <c r="T230" s="8">
        <f t="shared" si="64"/>
        <v>21180.193200000002</v>
      </c>
      <c r="U230" s="11">
        <f t="shared" si="65"/>
        <v>0.52327765324476183</v>
      </c>
      <c r="V230" s="17">
        <v>45601</v>
      </c>
      <c r="W230" s="4" t="str">
        <f t="shared" si="66"/>
        <v>Q4-2023</v>
      </c>
      <c r="X230" t="str">
        <f t="shared" si="67"/>
        <v>Europe → Germany → Frankfurt</v>
      </c>
      <c r="Y230" t="str">
        <f t="shared" si="68"/>
        <v>High</v>
      </c>
      <c r="Z230" s="20">
        <f t="shared" si="69"/>
        <v>45261</v>
      </c>
      <c r="AA230" s="4">
        <f t="array" ref="AA230">MIN(IF($F$2:$F$633=F230,$Z$2:$Z$633))</f>
        <v>44927</v>
      </c>
      <c r="AB230">
        <f t="shared" si="70"/>
        <v>11</v>
      </c>
      <c r="AC230">
        <f t="shared" si="71"/>
        <v>0</v>
      </c>
      <c r="AD230">
        <f t="shared" si="72"/>
        <v>0</v>
      </c>
      <c r="AE230" s="13">
        <f t="shared" si="73"/>
        <v>0</v>
      </c>
      <c r="AH230">
        <f t="shared" si="74"/>
        <v>21.599999999999998</v>
      </c>
      <c r="AI230">
        <f t="shared" si="75"/>
        <v>1232.7884999999999</v>
      </c>
      <c r="AJ230" s="11">
        <f t="shared" si="76"/>
        <v>6.2E-2</v>
      </c>
      <c r="AK230">
        <f t="shared" si="77"/>
        <v>48571.215839999997</v>
      </c>
      <c r="AL230">
        <f t="shared" si="78"/>
        <v>26628.231599999996</v>
      </c>
      <c r="AM230">
        <f t="shared" si="79"/>
        <v>21942.984240000002</v>
      </c>
    </row>
    <row r="231" spans="1:39" x14ac:dyDescent="0.25">
      <c r="A231" t="s">
        <v>298</v>
      </c>
      <c r="B231" s="4">
        <v>45304</v>
      </c>
      <c r="C231" s="4">
        <v>45327</v>
      </c>
      <c r="D231" s="13">
        <f t="shared" si="60"/>
        <v>23</v>
      </c>
      <c r="E231" s="6" t="s">
        <v>649</v>
      </c>
      <c r="F231" t="s">
        <v>656</v>
      </c>
      <c r="G231" t="s">
        <v>698</v>
      </c>
      <c r="H231" t="s">
        <v>702</v>
      </c>
      <c r="I231" t="s">
        <v>711</v>
      </c>
      <c r="J231" t="s">
        <v>717</v>
      </c>
      <c r="K231" t="s">
        <v>731</v>
      </c>
      <c r="L231" t="s">
        <v>1018</v>
      </c>
      <c r="M231" s="8">
        <v>1017.93</v>
      </c>
      <c r="N231" s="8">
        <v>1529.14</v>
      </c>
      <c r="O231" s="8">
        <f t="shared" si="61"/>
        <v>1529.14</v>
      </c>
      <c r="P231" s="11">
        <v>0.155</v>
      </c>
      <c r="Q231" s="13">
        <v>12</v>
      </c>
      <c r="R231" s="8">
        <f t="shared" si="62"/>
        <v>15505.479600000001</v>
      </c>
      <c r="S231" s="8">
        <f t="shared" si="63"/>
        <v>12215.16</v>
      </c>
      <c r="T231" s="8">
        <f t="shared" si="64"/>
        <v>3290.3196000000007</v>
      </c>
      <c r="U231" s="11">
        <f t="shared" si="65"/>
        <v>0.21220366508366503</v>
      </c>
      <c r="V231" s="17">
        <v>45560</v>
      </c>
      <c r="W231" s="4" t="str">
        <f t="shared" si="66"/>
        <v>Q1-2024</v>
      </c>
      <c r="X231" t="str">
        <f t="shared" si="67"/>
        <v>Europe → Germany → Frankfurt</v>
      </c>
      <c r="Y231" t="str">
        <f t="shared" si="68"/>
        <v>Medium</v>
      </c>
      <c r="Z231" s="20">
        <f t="shared" si="69"/>
        <v>45292</v>
      </c>
      <c r="AA231" s="4">
        <f t="array" ref="AA231">MIN(IF($F$2:$F$633=F231,$Z$2:$Z$633))</f>
        <v>44927</v>
      </c>
      <c r="AB231">
        <f t="shared" si="70"/>
        <v>12</v>
      </c>
      <c r="AC231">
        <f t="shared" si="71"/>
        <v>0</v>
      </c>
      <c r="AD231">
        <f t="shared" si="72"/>
        <v>0</v>
      </c>
      <c r="AE231" s="13">
        <f t="shared" si="73"/>
        <v>0</v>
      </c>
      <c r="AH231">
        <f t="shared" si="74"/>
        <v>14.399999999999999</v>
      </c>
      <c r="AI231">
        <f t="shared" si="75"/>
        <v>1170.6194999999998</v>
      </c>
      <c r="AJ231" s="11">
        <f t="shared" si="76"/>
        <v>0.155</v>
      </c>
      <c r="AK231">
        <f t="shared" si="77"/>
        <v>18606.575519999999</v>
      </c>
      <c r="AL231">
        <f t="shared" si="78"/>
        <v>16856.920799999996</v>
      </c>
      <c r="AM231">
        <f t="shared" si="79"/>
        <v>1749.6547200000023</v>
      </c>
    </row>
    <row r="232" spans="1:39" x14ac:dyDescent="0.25">
      <c r="A232" t="s">
        <v>433</v>
      </c>
      <c r="B232" s="4">
        <v>45307</v>
      </c>
      <c r="C232" s="4">
        <v>45333</v>
      </c>
      <c r="D232" s="13">
        <f t="shared" si="60"/>
        <v>26</v>
      </c>
      <c r="E232" s="6" t="s">
        <v>649</v>
      </c>
      <c r="F232" t="s">
        <v>656</v>
      </c>
      <c r="G232" t="s">
        <v>698</v>
      </c>
      <c r="H232" t="s">
        <v>703</v>
      </c>
      <c r="I232" t="s">
        <v>710</v>
      </c>
      <c r="J232" t="s">
        <v>718</v>
      </c>
      <c r="K232" t="s">
        <v>732</v>
      </c>
      <c r="L232" t="s">
        <v>1152</v>
      </c>
      <c r="M232" s="8">
        <v>504.93</v>
      </c>
      <c r="N232" s="8">
        <v>819.06</v>
      </c>
      <c r="O232" s="8">
        <f t="shared" si="61"/>
        <v>819.06</v>
      </c>
      <c r="P232" s="11">
        <v>0.22600000000000001</v>
      </c>
      <c r="Q232" s="13">
        <v>15</v>
      </c>
      <c r="R232" s="8">
        <f t="shared" si="62"/>
        <v>9509.2865999999995</v>
      </c>
      <c r="S232" s="8">
        <f t="shared" si="63"/>
        <v>7573.95</v>
      </c>
      <c r="T232" s="8">
        <f t="shared" si="64"/>
        <v>1935.3365999999996</v>
      </c>
      <c r="U232" s="11">
        <f t="shared" si="65"/>
        <v>0.20352069312959814</v>
      </c>
      <c r="V232" s="17">
        <v>45544</v>
      </c>
      <c r="W232" s="4" t="str">
        <f t="shared" si="66"/>
        <v>Q1-2024</v>
      </c>
      <c r="X232" t="str">
        <f t="shared" si="67"/>
        <v>Europe → Germany → Frankfurt</v>
      </c>
      <c r="Y232" t="str">
        <f t="shared" si="68"/>
        <v>Medium</v>
      </c>
      <c r="Z232" s="20">
        <f t="shared" si="69"/>
        <v>45292</v>
      </c>
      <c r="AA232" s="4">
        <f t="array" ref="AA232">MIN(IF($F$2:$F$633=F232,$Z$2:$Z$633))</f>
        <v>44927</v>
      </c>
      <c r="AB232">
        <f t="shared" si="70"/>
        <v>12</v>
      </c>
      <c r="AC232">
        <f t="shared" si="71"/>
        <v>0</v>
      </c>
      <c r="AD232">
        <f t="shared" si="72"/>
        <v>1</v>
      </c>
      <c r="AE232" s="13">
        <f t="shared" si="73"/>
        <v>0</v>
      </c>
      <c r="AH232">
        <f t="shared" si="74"/>
        <v>18</v>
      </c>
      <c r="AI232">
        <f t="shared" si="75"/>
        <v>580.66949999999997</v>
      </c>
      <c r="AJ232" s="11">
        <f t="shared" si="76"/>
        <v>0.22600000000000001</v>
      </c>
      <c r="AK232">
        <f t="shared" si="77"/>
        <v>11411.143919999999</v>
      </c>
      <c r="AL232">
        <f t="shared" si="78"/>
        <v>10452.050999999999</v>
      </c>
      <c r="AM232">
        <f t="shared" si="79"/>
        <v>959.09291999999914</v>
      </c>
    </row>
    <row r="233" spans="1:39" x14ac:dyDescent="0.25">
      <c r="A233" t="s">
        <v>25</v>
      </c>
      <c r="B233" s="4">
        <v>45319</v>
      </c>
      <c r="C233" s="4">
        <v>45331</v>
      </c>
      <c r="D233" s="13">
        <f t="shared" si="60"/>
        <v>12</v>
      </c>
      <c r="E233" s="6" t="s">
        <v>649</v>
      </c>
      <c r="F233" t="s">
        <v>656</v>
      </c>
      <c r="G233" t="s">
        <v>671</v>
      </c>
      <c r="H233" t="s">
        <v>701</v>
      </c>
      <c r="I233" t="s">
        <v>708</v>
      </c>
      <c r="J233" t="s">
        <v>715</v>
      </c>
      <c r="K233" t="s">
        <v>733</v>
      </c>
      <c r="L233" t="s">
        <v>744</v>
      </c>
      <c r="M233" s="8">
        <v>644.16999999999996</v>
      </c>
      <c r="N233" s="8">
        <v>700.12</v>
      </c>
      <c r="O233" s="8">
        <f t="shared" si="61"/>
        <v>700.12</v>
      </c>
      <c r="P233" s="11">
        <v>6.0000000000000001E-3</v>
      </c>
      <c r="Q233" s="13">
        <v>23</v>
      </c>
      <c r="R233" s="8">
        <f t="shared" si="62"/>
        <v>16006.14344</v>
      </c>
      <c r="S233" s="8">
        <f t="shared" si="63"/>
        <v>14815.91</v>
      </c>
      <c r="T233" s="8">
        <f t="shared" si="64"/>
        <v>1190.23344</v>
      </c>
      <c r="U233" s="11">
        <f t="shared" si="65"/>
        <v>7.436103796405813E-2</v>
      </c>
      <c r="V233" s="17">
        <v>45522</v>
      </c>
      <c r="W233" s="4" t="str">
        <f t="shared" si="66"/>
        <v>Q1-2024</v>
      </c>
      <c r="X233" t="str">
        <f t="shared" si="67"/>
        <v>Europe → Germany → Berlin</v>
      </c>
      <c r="Y233" t="str">
        <f t="shared" si="68"/>
        <v>Low</v>
      </c>
      <c r="Z233" s="20">
        <f t="shared" si="69"/>
        <v>45292</v>
      </c>
      <c r="AA233" s="4">
        <f t="array" ref="AA233">MIN(IF($F$2:$F$633=F233,$Z$2:$Z$633))</f>
        <v>44927</v>
      </c>
      <c r="AB233">
        <f t="shared" si="70"/>
        <v>12</v>
      </c>
      <c r="AC233">
        <f t="shared" si="71"/>
        <v>0</v>
      </c>
      <c r="AD233">
        <f t="shared" si="72"/>
        <v>0</v>
      </c>
      <c r="AE233" s="13">
        <f t="shared" si="73"/>
        <v>0</v>
      </c>
      <c r="AH233">
        <f t="shared" si="74"/>
        <v>27.599999999999998</v>
      </c>
      <c r="AI233">
        <f t="shared" si="75"/>
        <v>740.79549999999995</v>
      </c>
      <c r="AJ233" s="11">
        <f t="shared" si="76"/>
        <v>6.0000000000000001E-3</v>
      </c>
      <c r="AK233">
        <f t="shared" si="77"/>
        <v>19207.372127999999</v>
      </c>
      <c r="AL233">
        <f t="shared" si="78"/>
        <v>20445.955799999996</v>
      </c>
      <c r="AM233">
        <f t="shared" si="79"/>
        <v>-1238.583671999997</v>
      </c>
    </row>
    <row r="234" spans="1:39" x14ac:dyDescent="0.25">
      <c r="A234" t="s">
        <v>192</v>
      </c>
      <c r="B234" s="4">
        <v>45325</v>
      </c>
      <c r="C234" s="4">
        <v>45343</v>
      </c>
      <c r="D234" s="13">
        <f t="shared" si="60"/>
        <v>18</v>
      </c>
      <c r="E234" s="6" t="s">
        <v>649</v>
      </c>
      <c r="F234" t="s">
        <v>656</v>
      </c>
      <c r="G234" t="s">
        <v>698</v>
      </c>
      <c r="H234" t="s">
        <v>701</v>
      </c>
      <c r="I234" t="s">
        <v>707</v>
      </c>
      <c r="J234" t="s">
        <v>722</v>
      </c>
      <c r="K234" t="s">
        <v>727</v>
      </c>
      <c r="L234" t="s">
        <v>911</v>
      </c>
      <c r="M234" s="8">
        <v>39.229999999999997</v>
      </c>
      <c r="N234" s="8">
        <v>30.09</v>
      </c>
      <c r="O234" s="8">
        <f t="shared" si="61"/>
        <v>30.09</v>
      </c>
      <c r="P234" s="11">
        <v>0.17699999999999999</v>
      </c>
      <c r="Q234" s="13">
        <v>13</v>
      </c>
      <c r="R234" s="8">
        <f t="shared" si="62"/>
        <v>321.93290999999999</v>
      </c>
      <c r="S234" s="8">
        <f t="shared" si="63"/>
        <v>509.98999999999995</v>
      </c>
      <c r="T234" s="8">
        <f t="shared" si="64"/>
        <v>-188.05708999999996</v>
      </c>
      <c r="U234" s="11">
        <f t="shared" si="65"/>
        <v>-0.58414993981199359</v>
      </c>
      <c r="V234" s="17">
        <v>45538</v>
      </c>
      <c r="W234" s="4" t="str">
        <f t="shared" si="66"/>
        <v>Q1-2024</v>
      </c>
      <c r="X234" t="str">
        <f t="shared" si="67"/>
        <v>Europe → Germany → Frankfurt</v>
      </c>
      <c r="Y234" t="str">
        <f t="shared" si="68"/>
        <v>Low</v>
      </c>
      <c r="Z234" s="20">
        <f t="shared" si="69"/>
        <v>45323</v>
      </c>
      <c r="AA234" s="4">
        <f t="array" ref="AA234">MIN(IF($F$2:$F$633=F234,$Z$2:$Z$633))</f>
        <v>44927</v>
      </c>
      <c r="AB234">
        <f t="shared" si="70"/>
        <v>13</v>
      </c>
      <c r="AC234">
        <f t="shared" si="71"/>
        <v>0</v>
      </c>
      <c r="AD234">
        <f t="shared" si="72"/>
        <v>0</v>
      </c>
      <c r="AE234" s="13">
        <f t="shared" si="73"/>
        <v>0</v>
      </c>
      <c r="AH234">
        <f t="shared" si="74"/>
        <v>15.6</v>
      </c>
      <c r="AI234">
        <f t="shared" si="75"/>
        <v>45.114499999999992</v>
      </c>
      <c r="AJ234" s="11">
        <f t="shared" si="76"/>
        <v>0.17699999999999999</v>
      </c>
      <c r="AK234">
        <f t="shared" si="77"/>
        <v>386.31949199999997</v>
      </c>
      <c r="AL234">
        <f t="shared" si="78"/>
        <v>703.78619999999989</v>
      </c>
      <c r="AM234">
        <f t="shared" si="79"/>
        <v>-317.46670799999993</v>
      </c>
    </row>
    <row r="235" spans="1:39" x14ac:dyDescent="0.25">
      <c r="A235" t="s">
        <v>476</v>
      </c>
      <c r="B235" s="4">
        <v>45358</v>
      </c>
      <c r="C235" s="4">
        <v>45385</v>
      </c>
      <c r="D235" s="13">
        <f t="shared" si="60"/>
        <v>27</v>
      </c>
      <c r="E235" s="6" t="s">
        <v>649</v>
      </c>
      <c r="F235" t="s">
        <v>656</v>
      </c>
      <c r="G235" t="s">
        <v>698</v>
      </c>
      <c r="H235" t="s">
        <v>701</v>
      </c>
      <c r="I235" t="s">
        <v>711</v>
      </c>
      <c r="J235" t="s">
        <v>724</v>
      </c>
      <c r="K235" t="s">
        <v>728</v>
      </c>
      <c r="L235" t="s">
        <v>1195</v>
      </c>
      <c r="M235" s="8">
        <v>738.16</v>
      </c>
      <c r="N235" s="8">
        <v>956.49</v>
      </c>
      <c r="O235" s="8">
        <f t="shared" si="61"/>
        <v>956.49</v>
      </c>
      <c r="P235" s="11">
        <v>0.152</v>
      </c>
      <c r="Q235" s="13">
        <v>5</v>
      </c>
      <c r="R235" s="8">
        <f t="shared" si="62"/>
        <v>4055.5175999999997</v>
      </c>
      <c r="S235" s="8">
        <f t="shared" si="63"/>
        <v>3690.7999999999997</v>
      </c>
      <c r="T235" s="8">
        <f t="shared" si="64"/>
        <v>364.71759999999995</v>
      </c>
      <c r="U235" s="11">
        <f t="shared" si="65"/>
        <v>8.9931208780847108E-2</v>
      </c>
      <c r="V235" s="17">
        <v>45486</v>
      </c>
      <c r="W235" s="4" t="str">
        <f t="shared" si="66"/>
        <v>Q1-2024</v>
      </c>
      <c r="X235" t="str">
        <f t="shared" si="67"/>
        <v>Europe → Germany → Frankfurt</v>
      </c>
      <c r="Y235" t="str">
        <f t="shared" si="68"/>
        <v>Medium</v>
      </c>
      <c r="Z235" s="20">
        <f t="shared" si="69"/>
        <v>45352</v>
      </c>
      <c r="AA235" s="4">
        <f t="array" ref="AA235">MIN(IF($F$2:$F$633=F235,$Z$2:$Z$633))</f>
        <v>44927</v>
      </c>
      <c r="AB235">
        <f t="shared" si="70"/>
        <v>14</v>
      </c>
      <c r="AC235">
        <f t="shared" si="71"/>
        <v>0</v>
      </c>
      <c r="AD235">
        <f t="shared" si="72"/>
        <v>0</v>
      </c>
      <c r="AE235" s="13">
        <f t="shared" si="73"/>
        <v>0</v>
      </c>
      <c r="AH235">
        <f t="shared" si="74"/>
        <v>6</v>
      </c>
      <c r="AI235">
        <f t="shared" si="75"/>
        <v>848.8839999999999</v>
      </c>
      <c r="AJ235" s="11">
        <f t="shared" si="76"/>
        <v>0.152</v>
      </c>
      <c r="AK235">
        <f t="shared" si="77"/>
        <v>4866.6211200000007</v>
      </c>
      <c r="AL235">
        <f t="shared" si="78"/>
        <v>5093.3039999999992</v>
      </c>
      <c r="AM235">
        <f t="shared" si="79"/>
        <v>-226.68287999999848</v>
      </c>
    </row>
    <row r="236" spans="1:39" x14ac:dyDescent="0.25">
      <c r="A236" t="s">
        <v>51</v>
      </c>
      <c r="B236" s="4">
        <v>45358</v>
      </c>
      <c r="C236" s="4">
        <v>45376</v>
      </c>
      <c r="D236" s="13">
        <f t="shared" si="60"/>
        <v>18</v>
      </c>
      <c r="E236" s="6" t="s">
        <v>649</v>
      </c>
      <c r="F236" t="s">
        <v>656</v>
      </c>
      <c r="G236" t="s">
        <v>684</v>
      </c>
      <c r="H236" t="s">
        <v>701</v>
      </c>
      <c r="I236" t="s">
        <v>708</v>
      </c>
      <c r="J236" t="s">
        <v>717</v>
      </c>
      <c r="K236" t="s">
        <v>727</v>
      </c>
      <c r="L236" t="s">
        <v>770</v>
      </c>
      <c r="M236" s="8">
        <v>712.84</v>
      </c>
      <c r="N236" s="8">
        <v>927.51</v>
      </c>
      <c r="O236" s="8">
        <f t="shared" si="61"/>
        <v>927.51</v>
      </c>
      <c r="P236" s="11">
        <v>0.24299999999999999</v>
      </c>
      <c r="Q236" s="13">
        <v>27</v>
      </c>
      <c r="R236" s="8">
        <f t="shared" si="62"/>
        <v>18957.37689</v>
      </c>
      <c r="S236" s="8">
        <f t="shared" si="63"/>
        <v>19246.68</v>
      </c>
      <c r="T236" s="8">
        <f t="shared" si="64"/>
        <v>-289.30311000000074</v>
      </c>
      <c r="U236" s="11">
        <f t="shared" si="65"/>
        <v>-1.5260714163076427E-2</v>
      </c>
      <c r="V236" s="17">
        <v>45498</v>
      </c>
      <c r="W236" s="4" t="str">
        <f t="shared" si="66"/>
        <v>Q1-2024</v>
      </c>
      <c r="X236" t="str">
        <f t="shared" si="67"/>
        <v>Europe → Germany → Munich</v>
      </c>
      <c r="Y236" t="str">
        <f t="shared" si="68"/>
        <v>Medium</v>
      </c>
      <c r="Z236" s="20">
        <f t="shared" si="69"/>
        <v>45352</v>
      </c>
      <c r="AA236" s="4">
        <f t="array" ref="AA236">MIN(IF($F$2:$F$633=F236,$Z$2:$Z$633))</f>
        <v>44927</v>
      </c>
      <c r="AB236">
        <f t="shared" si="70"/>
        <v>14</v>
      </c>
      <c r="AC236">
        <f t="shared" si="71"/>
        <v>0</v>
      </c>
      <c r="AD236">
        <f t="shared" si="72"/>
        <v>1</v>
      </c>
      <c r="AE236" s="13">
        <f t="shared" si="73"/>
        <v>0</v>
      </c>
      <c r="AH236">
        <f t="shared" si="74"/>
        <v>32.4</v>
      </c>
      <c r="AI236">
        <f t="shared" si="75"/>
        <v>819.76599999999996</v>
      </c>
      <c r="AJ236" s="11">
        <f t="shared" si="76"/>
        <v>0.24299999999999999</v>
      </c>
      <c r="AK236">
        <f t="shared" si="77"/>
        <v>22748.852267999999</v>
      </c>
      <c r="AL236">
        <f t="shared" si="78"/>
        <v>26560.418399999999</v>
      </c>
      <c r="AM236">
        <f t="shared" si="79"/>
        <v>-3811.5661319999999</v>
      </c>
    </row>
    <row r="237" spans="1:39" x14ac:dyDescent="0.25">
      <c r="A237" t="s">
        <v>85</v>
      </c>
      <c r="B237" s="4">
        <v>45369</v>
      </c>
      <c r="C237" s="4">
        <v>45372</v>
      </c>
      <c r="D237" s="13">
        <f t="shared" si="60"/>
        <v>3</v>
      </c>
      <c r="E237" s="6" t="s">
        <v>649</v>
      </c>
      <c r="F237" t="s">
        <v>656</v>
      </c>
      <c r="G237" t="s">
        <v>684</v>
      </c>
      <c r="H237" t="s">
        <v>705</v>
      </c>
      <c r="I237" t="s">
        <v>708</v>
      </c>
      <c r="J237" t="s">
        <v>724</v>
      </c>
      <c r="K237" t="s">
        <v>733</v>
      </c>
      <c r="L237" t="s">
        <v>804</v>
      </c>
      <c r="M237" s="8">
        <v>910.63</v>
      </c>
      <c r="N237" s="8">
        <v>1269.4000000000001</v>
      </c>
      <c r="O237" s="8">
        <f t="shared" si="61"/>
        <v>1269.4000000000001</v>
      </c>
      <c r="P237" s="11">
        <v>6.8000000000000005E-2</v>
      </c>
      <c r="Q237" s="13">
        <v>9</v>
      </c>
      <c r="R237" s="8">
        <f t="shared" si="62"/>
        <v>10647.727199999999</v>
      </c>
      <c r="S237" s="8">
        <f t="shared" si="63"/>
        <v>8195.67</v>
      </c>
      <c r="T237" s="8">
        <f t="shared" si="64"/>
        <v>2452.0571999999993</v>
      </c>
      <c r="U237" s="11">
        <f t="shared" si="65"/>
        <v>0.23028925834989455</v>
      </c>
      <c r="V237" s="17">
        <v>45482</v>
      </c>
      <c r="W237" s="4" t="str">
        <f t="shared" si="66"/>
        <v>Q1-2024</v>
      </c>
      <c r="X237" t="str">
        <f t="shared" si="67"/>
        <v>Europe → Germany → Munich</v>
      </c>
      <c r="Y237" t="str">
        <f t="shared" si="68"/>
        <v>Medium</v>
      </c>
      <c r="Z237" s="20">
        <f t="shared" si="69"/>
        <v>45352</v>
      </c>
      <c r="AA237" s="4">
        <f t="array" ref="AA237">MIN(IF($F$2:$F$633=F237,$Z$2:$Z$633))</f>
        <v>44927</v>
      </c>
      <c r="AB237">
        <f t="shared" si="70"/>
        <v>14</v>
      </c>
      <c r="AC237">
        <f t="shared" si="71"/>
        <v>1</v>
      </c>
      <c r="AD237">
        <f t="shared" si="72"/>
        <v>0</v>
      </c>
      <c r="AE237" s="13">
        <f t="shared" si="73"/>
        <v>1</v>
      </c>
      <c r="AH237">
        <f t="shared" si="74"/>
        <v>10.799999999999999</v>
      </c>
      <c r="AI237">
        <f t="shared" si="75"/>
        <v>1047.2244999999998</v>
      </c>
      <c r="AJ237" s="11">
        <f t="shared" si="76"/>
        <v>6.8000000000000005E-2</v>
      </c>
      <c r="AK237">
        <f t="shared" si="77"/>
        <v>12777.272639999999</v>
      </c>
      <c r="AL237">
        <f t="shared" si="78"/>
        <v>11310.024599999997</v>
      </c>
      <c r="AM237">
        <f t="shared" si="79"/>
        <v>1467.2480400000022</v>
      </c>
    </row>
    <row r="238" spans="1:39" x14ac:dyDescent="0.25">
      <c r="A238" t="s">
        <v>286</v>
      </c>
      <c r="B238" s="4">
        <v>45382</v>
      </c>
      <c r="C238" s="4">
        <v>45399</v>
      </c>
      <c r="D238" s="13">
        <f t="shared" si="60"/>
        <v>17</v>
      </c>
      <c r="E238" s="6" t="s">
        <v>649</v>
      </c>
      <c r="F238" t="s">
        <v>656</v>
      </c>
      <c r="G238" t="s">
        <v>698</v>
      </c>
      <c r="H238" t="s">
        <v>702</v>
      </c>
      <c r="I238" t="s">
        <v>711</v>
      </c>
      <c r="J238" t="s">
        <v>722</v>
      </c>
      <c r="K238" t="s">
        <v>732</v>
      </c>
      <c r="L238" t="s">
        <v>1006</v>
      </c>
      <c r="M238" s="8">
        <v>1025.51</v>
      </c>
      <c r="N238" s="8">
        <v>1436.54</v>
      </c>
      <c r="O238" s="8">
        <f t="shared" si="61"/>
        <v>1436.54</v>
      </c>
      <c r="P238" s="11">
        <v>0.13900000000000001</v>
      </c>
      <c r="Q238" s="13">
        <v>28</v>
      </c>
      <c r="R238" s="8">
        <f t="shared" si="62"/>
        <v>34632.106319999999</v>
      </c>
      <c r="S238" s="8">
        <f t="shared" si="63"/>
        <v>28714.28</v>
      </c>
      <c r="T238" s="8">
        <f t="shared" si="64"/>
        <v>5917.8263200000001</v>
      </c>
      <c r="U238" s="11">
        <f t="shared" si="65"/>
        <v>0.17087688127656453</v>
      </c>
      <c r="V238" s="17">
        <v>45468</v>
      </c>
      <c r="W238" s="4" t="str">
        <f t="shared" si="66"/>
        <v>Q1-2024</v>
      </c>
      <c r="X238" t="str">
        <f t="shared" si="67"/>
        <v>Europe → Germany → Frankfurt</v>
      </c>
      <c r="Y238" t="str">
        <f t="shared" si="68"/>
        <v>Medium</v>
      </c>
      <c r="Z238" s="20">
        <f t="shared" si="69"/>
        <v>45352</v>
      </c>
      <c r="AA238" s="4">
        <f t="array" ref="AA238">MIN(IF($F$2:$F$633=F238,$Z$2:$Z$633))</f>
        <v>44927</v>
      </c>
      <c r="AB238">
        <f t="shared" si="70"/>
        <v>14</v>
      </c>
      <c r="AC238">
        <f t="shared" si="71"/>
        <v>0</v>
      </c>
      <c r="AD238">
        <f t="shared" si="72"/>
        <v>0</v>
      </c>
      <c r="AE238" s="13">
        <f t="shared" si="73"/>
        <v>0</v>
      </c>
      <c r="AH238">
        <f t="shared" si="74"/>
        <v>33.6</v>
      </c>
      <c r="AI238">
        <f t="shared" si="75"/>
        <v>1179.3364999999999</v>
      </c>
      <c r="AJ238" s="11">
        <f t="shared" si="76"/>
        <v>0.13900000000000001</v>
      </c>
      <c r="AK238">
        <f t="shared" si="77"/>
        <v>41558.527583999996</v>
      </c>
      <c r="AL238">
        <f t="shared" si="78"/>
        <v>39625.706399999995</v>
      </c>
      <c r="AM238">
        <f t="shared" si="79"/>
        <v>1932.8211840000004</v>
      </c>
    </row>
    <row r="239" spans="1:39" x14ac:dyDescent="0.25">
      <c r="A239" t="s">
        <v>162</v>
      </c>
      <c r="B239" s="4">
        <v>45386</v>
      </c>
      <c r="C239" s="4">
        <v>45406</v>
      </c>
      <c r="D239" s="13">
        <f t="shared" si="60"/>
        <v>20</v>
      </c>
      <c r="E239" s="6" t="s">
        <v>649</v>
      </c>
      <c r="F239" t="s">
        <v>656</v>
      </c>
      <c r="G239" t="s">
        <v>698</v>
      </c>
      <c r="H239" t="s">
        <v>703</v>
      </c>
      <c r="I239" t="s">
        <v>711</v>
      </c>
      <c r="J239" t="s">
        <v>719</v>
      </c>
      <c r="K239" t="s">
        <v>733</v>
      </c>
      <c r="L239" t="s">
        <v>881</v>
      </c>
      <c r="M239" s="8">
        <v>683.42</v>
      </c>
      <c r="N239" s="8">
        <v>951.51</v>
      </c>
      <c r="O239" s="8">
        <f t="shared" si="61"/>
        <v>951.51</v>
      </c>
      <c r="P239" s="11">
        <v>0</v>
      </c>
      <c r="Q239" s="13">
        <v>14</v>
      </c>
      <c r="R239" s="8">
        <f t="shared" si="62"/>
        <v>13321.14</v>
      </c>
      <c r="S239" s="8">
        <f t="shared" si="63"/>
        <v>9567.8799999999992</v>
      </c>
      <c r="T239" s="8">
        <f t="shared" si="64"/>
        <v>3753.26</v>
      </c>
      <c r="U239" s="11">
        <f t="shared" si="65"/>
        <v>0.28175216235247136</v>
      </c>
      <c r="V239" s="17">
        <v>45450</v>
      </c>
      <c r="W239" s="4" t="str">
        <f t="shared" si="66"/>
        <v>Q2-2024</v>
      </c>
      <c r="X239" t="str">
        <f t="shared" si="67"/>
        <v>Europe → Germany → Frankfurt</v>
      </c>
      <c r="Y239" t="str">
        <f t="shared" si="68"/>
        <v>Medium</v>
      </c>
      <c r="Z239" s="20">
        <f t="shared" si="69"/>
        <v>45383</v>
      </c>
      <c r="AA239" s="4">
        <f t="array" ref="AA239">MIN(IF($F$2:$F$633=F239,$Z$2:$Z$633))</f>
        <v>44927</v>
      </c>
      <c r="AB239">
        <f t="shared" si="70"/>
        <v>15</v>
      </c>
      <c r="AC239">
        <f t="shared" si="71"/>
        <v>0</v>
      </c>
      <c r="AD239">
        <f t="shared" si="72"/>
        <v>0</v>
      </c>
      <c r="AE239" s="13">
        <f t="shared" si="73"/>
        <v>0</v>
      </c>
      <c r="AH239">
        <f t="shared" si="74"/>
        <v>16.8</v>
      </c>
      <c r="AI239">
        <f t="shared" si="75"/>
        <v>785.93299999999988</v>
      </c>
      <c r="AJ239" s="11">
        <f t="shared" si="76"/>
        <v>0</v>
      </c>
      <c r="AK239">
        <f t="shared" si="77"/>
        <v>15985.368</v>
      </c>
      <c r="AL239">
        <f t="shared" si="78"/>
        <v>13203.674399999998</v>
      </c>
      <c r="AM239">
        <f t="shared" si="79"/>
        <v>2781.6936000000023</v>
      </c>
    </row>
    <row r="240" spans="1:39" x14ac:dyDescent="0.25">
      <c r="A240" t="s">
        <v>269</v>
      </c>
      <c r="B240" s="4">
        <v>45411</v>
      </c>
      <c r="C240" s="4">
        <v>45431</v>
      </c>
      <c r="D240" s="13">
        <f t="shared" si="60"/>
        <v>20</v>
      </c>
      <c r="E240" s="6" t="s">
        <v>649</v>
      </c>
      <c r="F240" t="s">
        <v>656</v>
      </c>
      <c r="G240" t="s">
        <v>698</v>
      </c>
      <c r="H240" t="s">
        <v>706</v>
      </c>
      <c r="I240" t="s">
        <v>709</v>
      </c>
      <c r="J240" t="s">
        <v>712</v>
      </c>
      <c r="K240" t="s">
        <v>731</v>
      </c>
      <c r="L240" t="s">
        <v>989</v>
      </c>
      <c r="M240" s="8">
        <v>668.97</v>
      </c>
      <c r="N240" s="8">
        <v>1667.44</v>
      </c>
      <c r="O240" s="8">
        <f t="shared" si="61"/>
        <v>1667.44</v>
      </c>
      <c r="P240" s="11">
        <v>3.4000000000000002E-2</v>
      </c>
      <c r="Q240" s="13">
        <v>15</v>
      </c>
      <c r="R240" s="8">
        <f t="shared" si="62"/>
        <v>24161.205600000001</v>
      </c>
      <c r="S240" s="8">
        <f t="shared" si="63"/>
        <v>10034.550000000001</v>
      </c>
      <c r="T240" s="8">
        <f t="shared" si="64"/>
        <v>14126.6556</v>
      </c>
      <c r="U240" s="11">
        <f t="shared" si="65"/>
        <v>0.58468339013679016</v>
      </c>
      <c r="V240" s="17">
        <v>45445</v>
      </c>
      <c r="W240" s="4" t="str">
        <f t="shared" si="66"/>
        <v>Q2-2024</v>
      </c>
      <c r="X240" t="str">
        <f t="shared" si="67"/>
        <v>Europe → Germany → Frankfurt</v>
      </c>
      <c r="Y240" t="str">
        <f t="shared" si="68"/>
        <v>High</v>
      </c>
      <c r="Z240" s="20">
        <f t="shared" si="69"/>
        <v>45383</v>
      </c>
      <c r="AA240" s="4">
        <f t="array" ref="AA240">MIN(IF($F$2:$F$633=F240,$Z$2:$Z$633))</f>
        <v>44927</v>
      </c>
      <c r="AB240">
        <f t="shared" si="70"/>
        <v>15</v>
      </c>
      <c r="AC240">
        <f t="shared" si="71"/>
        <v>0</v>
      </c>
      <c r="AD240">
        <f t="shared" si="72"/>
        <v>0</v>
      </c>
      <c r="AE240" s="13">
        <f t="shared" si="73"/>
        <v>0</v>
      </c>
      <c r="AH240">
        <f t="shared" si="74"/>
        <v>18</v>
      </c>
      <c r="AI240">
        <f t="shared" si="75"/>
        <v>769.31549999999993</v>
      </c>
      <c r="AJ240" s="11">
        <f t="shared" si="76"/>
        <v>3.4000000000000002E-2</v>
      </c>
      <c r="AK240">
        <f t="shared" si="77"/>
        <v>28993.44672</v>
      </c>
      <c r="AL240">
        <f t="shared" si="78"/>
        <v>13847.678999999998</v>
      </c>
      <c r="AM240">
        <f t="shared" si="79"/>
        <v>15145.767720000002</v>
      </c>
    </row>
    <row r="241" spans="1:39" x14ac:dyDescent="0.25">
      <c r="A241" t="s">
        <v>532</v>
      </c>
      <c r="B241" s="4">
        <v>45413</v>
      </c>
      <c r="C241" s="4">
        <v>45438</v>
      </c>
      <c r="D241" s="13">
        <f t="shared" si="60"/>
        <v>25</v>
      </c>
      <c r="E241" s="6" t="s">
        <v>649</v>
      </c>
      <c r="F241" t="s">
        <v>656</v>
      </c>
      <c r="G241" t="s">
        <v>671</v>
      </c>
      <c r="H241" t="s">
        <v>703</v>
      </c>
      <c r="I241" t="s">
        <v>707</v>
      </c>
      <c r="J241" t="s">
        <v>717</v>
      </c>
      <c r="K241" t="s">
        <v>729</v>
      </c>
      <c r="L241" t="s">
        <v>1251</v>
      </c>
      <c r="M241" s="8">
        <v>930.71</v>
      </c>
      <c r="N241" s="8">
        <v>1625.42</v>
      </c>
      <c r="O241" s="8">
        <f t="shared" si="61"/>
        <v>1625.42</v>
      </c>
      <c r="P241" s="11">
        <v>0.13800000000000001</v>
      </c>
      <c r="Q241" s="13">
        <v>7</v>
      </c>
      <c r="R241" s="8">
        <f t="shared" si="62"/>
        <v>9807.7842799999999</v>
      </c>
      <c r="S241" s="8">
        <f t="shared" si="63"/>
        <v>6514.97</v>
      </c>
      <c r="T241" s="8">
        <f t="shared" si="64"/>
        <v>3292.8142799999996</v>
      </c>
      <c r="U241" s="11">
        <f t="shared" si="65"/>
        <v>0.33573477821231196</v>
      </c>
      <c r="V241" s="17">
        <v>45435</v>
      </c>
      <c r="W241" s="4" t="str">
        <f t="shared" si="66"/>
        <v>Q2-2024</v>
      </c>
      <c r="X241" t="str">
        <f t="shared" si="67"/>
        <v>Europe → Germany → Berlin</v>
      </c>
      <c r="Y241" t="str">
        <f t="shared" si="68"/>
        <v>Medium</v>
      </c>
      <c r="Z241" s="20">
        <f t="shared" si="69"/>
        <v>45413</v>
      </c>
      <c r="AA241" s="4">
        <f t="array" ref="AA241">MIN(IF($F$2:$F$633=F241,$Z$2:$Z$633))</f>
        <v>44927</v>
      </c>
      <c r="AB241">
        <f t="shared" si="70"/>
        <v>16</v>
      </c>
      <c r="AC241">
        <f t="shared" si="71"/>
        <v>0</v>
      </c>
      <c r="AD241">
        <f t="shared" si="72"/>
        <v>0</v>
      </c>
      <c r="AE241" s="13">
        <f t="shared" si="73"/>
        <v>0</v>
      </c>
      <c r="AH241">
        <f t="shared" si="74"/>
        <v>8.4</v>
      </c>
      <c r="AI241">
        <f t="shared" si="75"/>
        <v>1070.3164999999999</v>
      </c>
      <c r="AJ241" s="11">
        <f t="shared" si="76"/>
        <v>0.13800000000000001</v>
      </c>
      <c r="AK241">
        <f t="shared" si="77"/>
        <v>11769.341136000001</v>
      </c>
      <c r="AL241">
        <f t="shared" si="78"/>
        <v>8990.6585999999988</v>
      </c>
      <c r="AM241">
        <f t="shared" si="79"/>
        <v>2778.6825360000021</v>
      </c>
    </row>
    <row r="242" spans="1:39" x14ac:dyDescent="0.25">
      <c r="A242" t="s">
        <v>334</v>
      </c>
      <c r="B242" s="4">
        <v>45440</v>
      </c>
      <c r="C242" s="4">
        <v>45461</v>
      </c>
      <c r="D242" s="13">
        <f t="shared" si="60"/>
        <v>21</v>
      </c>
      <c r="E242" s="6" t="s">
        <v>649</v>
      </c>
      <c r="F242" t="s">
        <v>656</v>
      </c>
      <c r="G242" t="s">
        <v>698</v>
      </c>
      <c r="H242" t="s">
        <v>705</v>
      </c>
      <c r="I242" t="s">
        <v>708</v>
      </c>
      <c r="J242" t="s">
        <v>718</v>
      </c>
      <c r="K242" t="s">
        <v>730</v>
      </c>
      <c r="L242" t="s">
        <v>1054</v>
      </c>
      <c r="M242" s="8">
        <v>986.85</v>
      </c>
      <c r="N242" s="8">
        <v>2422.1</v>
      </c>
      <c r="O242" s="8">
        <f t="shared" si="61"/>
        <v>2422.1</v>
      </c>
      <c r="P242" s="11">
        <v>7.5999999999999998E-2</v>
      </c>
      <c r="Q242" s="13">
        <v>10</v>
      </c>
      <c r="R242" s="8">
        <f t="shared" si="62"/>
        <v>22380.204000000002</v>
      </c>
      <c r="S242" s="8">
        <f t="shared" si="63"/>
        <v>9868.5</v>
      </c>
      <c r="T242" s="8">
        <f t="shared" si="64"/>
        <v>12511.704000000002</v>
      </c>
      <c r="U242" s="11">
        <f t="shared" si="65"/>
        <v>0.55905227673527913</v>
      </c>
      <c r="V242" s="17">
        <v>45403</v>
      </c>
      <c r="W242" s="4" t="str">
        <f t="shared" si="66"/>
        <v>Q2-2024</v>
      </c>
      <c r="X242" t="str">
        <f t="shared" si="67"/>
        <v>Europe → Germany → Frankfurt</v>
      </c>
      <c r="Y242" t="str">
        <f t="shared" si="68"/>
        <v>High</v>
      </c>
      <c r="Z242" s="20">
        <f t="shared" si="69"/>
        <v>45413</v>
      </c>
      <c r="AA242" s="4">
        <f t="array" ref="AA242">MIN(IF($F$2:$F$633=F242,$Z$2:$Z$633))</f>
        <v>44927</v>
      </c>
      <c r="AB242">
        <f t="shared" si="70"/>
        <v>16</v>
      </c>
      <c r="AC242">
        <f t="shared" si="71"/>
        <v>0</v>
      </c>
      <c r="AD242">
        <f t="shared" si="72"/>
        <v>0</v>
      </c>
      <c r="AE242" s="13">
        <f t="shared" si="73"/>
        <v>0</v>
      </c>
      <c r="AH242">
        <f t="shared" si="74"/>
        <v>12</v>
      </c>
      <c r="AI242">
        <f t="shared" si="75"/>
        <v>1134.8774999999998</v>
      </c>
      <c r="AJ242" s="11">
        <f t="shared" si="76"/>
        <v>7.5999999999999998E-2</v>
      </c>
      <c r="AK242">
        <f t="shared" si="77"/>
        <v>26856.244799999997</v>
      </c>
      <c r="AL242">
        <f t="shared" si="78"/>
        <v>13618.529999999999</v>
      </c>
      <c r="AM242">
        <f t="shared" si="79"/>
        <v>13237.714799999998</v>
      </c>
    </row>
    <row r="243" spans="1:39" x14ac:dyDescent="0.25">
      <c r="A243" t="s">
        <v>141</v>
      </c>
      <c r="B243" s="4">
        <v>45450</v>
      </c>
      <c r="C243" s="4">
        <v>45469</v>
      </c>
      <c r="D243" s="13">
        <f t="shared" si="60"/>
        <v>19</v>
      </c>
      <c r="E243" s="6" t="s">
        <v>649</v>
      </c>
      <c r="F243" t="s">
        <v>656</v>
      </c>
      <c r="G243" t="s">
        <v>671</v>
      </c>
      <c r="H243" t="s">
        <v>703</v>
      </c>
      <c r="I243" t="s">
        <v>709</v>
      </c>
      <c r="J243" t="s">
        <v>724</v>
      </c>
      <c r="K243" t="s">
        <v>727</v>
      </c>
      <c r="L243" t="s">
        <v>860</v>
      </c>
      <c r="M243" s="8">
        <v>1064.32</v>
      </c>
      <c r="N243" s="8">
        <v>1848.39</v>
      </c>
      <c r="O243" s="8">
        <f t="shared" si="61"/>
        <v>1848.39</v>
      </c>
      <c r="P243" s="11">
        <v>7.2999999999999995E-2</v>
      </c>
      <c r="Q243" s="13">
        <v>38</v>
      </c>
      <c r="R243" s="8">
        <f t="shared" si="62"/>
        <v>65111.38614000001</v>
      </c>
      <c r="S243" s="8">
        <f t="shared" si="63"/>
        <v>40444.159999999996</v>
      </c>
      <c r="T243" s="8">
        <f t="shared" si="64"/>
        <v>24667.226140000013</v>
      </c>
      <c r="U243" s="11">
        <f t="shared" si="65"/>
        <v>0.3788465827921631</v>
      </c>
      <c r="V243" s="17">
        <v>45401</v>
      </c>
      <c r="W243" s="4" t="str">
        <f t="shared" si="66"/>
        <v>Q2-2024</v>
      </c>
      <c r="X243" t="str">
        <f t="shared" si="67"/>
        <v>Europe → Germany → Berlin</v>
      </c>
      <c r="Y243" t="str">
        <f t="shared" si="68"/>
        <v>High</v>
      </c>
      <c r="Z243" s="20">
        <f t="shared" si="69"/>
        <v>45444</v>
      </c>
      <c r="AA243" s="4">
        <f t="array" ref="AA243">MIN(IF($F$2:$F$633=F243,$Z$2:$Z$633))</f>
        <v>44927</v>
      </c>
      <c r="AB243">
        <f t="shared" si="70"/>
        <v>17</v>
      </c>
      <c r="AC243">
        <f t="shared" si="71"/>
        <v>0</v>
      </c>
      <c r="AD243">
        <f t="shared" si="72"/>
        <v>0</v>
      </c>
      <c r="AE243" s="13">
        <f t="shared" si="73"/>
        <v>0</v>
      </c>
      <c r="AH243">
        <f t="shared" si="74"/>
        <v>45.6</v>
      </c>
      <c r="AI243">
        <f t="shared" si="75"/>
        <v>1223.9679999999998</v>
      </c>
      <c r="AJ243" s="11">
        <f t="shared" si="76"/>
        <v>7.2999999999999995E-2</v>
      </c>
      <c r="AK243">
        <f t="shared" si="77"/>
        <v>78133.663368000009</v>
      </c>
      <c r="AL243">
        <f t="shared" si="78"/>
        <v>55812.940799999997</v>
      </c>
      <c r="AM243">
        <f t="shared" si="79"/>
        <v>22320.722568000012</v>
      </c>
    </row>
    <row r="244" spans="1:39" x14ac:dyDescent="0.25">
      <c r="A244" t="s">
        <v>457</v>
      </c>
      <c r="B244" s="4">
        <v>45526</v>
      </c>
      <c r="C244" s="4">
        <v>45539</v>
      </c>
      <c r="D244" s="13">
        <f t="shared" si="60"/>
        <v>13</v>
      </c>
      <c r="E244" s="6" t="s">
        <v>649</v>
      </c>
      <c r="F244" t="s">
        <v>656</v>
      </c>
      <c r="G244" t="s">
        <v>698</v>
      </c>
      <c r="H244" t="s">
        <v>703</v>
      </c>
      <c r="I244" t="s">
        <v>707</v>
      </c>
      <c r="J244" t="s">
        <v>716</v>
      </c>
      <c r="K244" t="s">
        <v>728</v>
      </c>
      <c r="L244" t="s">
        <v>1176</v>
      </c>
      <c r="M244" s="8">
        <v>90.04</v>
      </c>
      <c r="N244" s="8">
        <v>194.62</v>
      </c>
      <c r="O244" s="8">
        <f t="shared" si="61"/>
        <v>194.62</v>
      </c>
      <c r="P244" s="11">
        <v>4.2999999999999997E-2</v>
      </c>
      <c r="Q244" s="13">
        <v>32</v>
      </c>
      <c r="R244" s="8">
        <f t="shared" si="62"/>
        <v>5960.04288</v>
      </c>
      <c r="S244" s="8">
        <f t="shared" si="63"/>
        <v>2881.28</v>
      </c>
      <c r="T244" s="8">
        <f t="shared" si="64"/>
        <v>3078.7628799999998</v>
      </c>
      <c r="U244" s="11">
        <f t="shared" si="65"/>
        <v>0.51656723650954672</v>
      </c>
      <c r="V244" s="17">
        <v>45342</v>
      </c>
      <c r="W244" s="4" t="str">
        <f t="shared" si="66"/>
        <v>Q3-2024</v>
      </c>
      <c r="X244" t="str">
        <f t="shared" si="67"/>
        <v>Europe → Germany → Frankfurt</v>
      </c>
      <c r="Y244" t="str">
        <f t="shared" si="68"/>
        <v>Low</v>
      </c>
      <c r="Z244" s="20">
        <f t="shared" si="69"/>
        <v>45505</v>
      </c>
      <c r="AA244" s="4">
        <f t="array" ref="AA244">MIN(IF($F$2:$F$633=F244,$Z$2:$Z$633))</f>
        <v>44927</v>
      </c>
      <c r="AB244">
        <f t="shared" si="70"/>
        <v>19</v>
      </c>
      <c r="AC244">
        <f t="shared" si="71"/>
        <v>0</v>
      </c>
      <c r="AD244">
        <f t="shared" si="72"/>
        <v>0</v>
      </c>
      <c r="AE244" s="13">
        <f t="shared" si="73"/>
        <v>0</v>
      </c>
      <c r="AH244">
        <f t="shared" si="74"/>
        <v>38.4</v>
      </c>
      <c r="AI244">
        <f t="shared" si="75"/>
        <v>103.54599999999999</v>
      </c>
      <c r="AJ244" s="11">
        <f t="shared" si="76"/>
        <v>4.2999999999999997E-2</v>
      </c>
      <c r="AK244">
        <f t="shared" si="77"/>
        <v>7152.0514559999992</v>
      </c>
      <c r="AL244">
        <f t="shared" si="78"/>
        <v>3976.1663999999996</v>
      </c>
      <c r="AM244">
        <f t="shared" si="79"/>
        <v>3175.8850559999996</v>
      </c>
    </row>
    <row r="245" spans="1:39" x14ac:dyDescent="0.25">
      <c r="A245" t="s">
        <v>55</v>
      </c>
      <c r="B245" s="4">
        <v>45531</v>
      </c>
      <c r="C245" s="4">
        <v>45554</v>
      </c>
      <c r="D245" s="13">
        <f t="shared" si="60"/>
        <v>23</v>
      </c>
      <c r="E245" s="6" t="s">
        <v>649</v>
      </c>
      <c r="F245" t="s">
        <v>656</v>
      </c>
      <c r="G245" t="s">
        <v>671</v>
      </c>
      <c r="H245" t="s">
        <v>705</v>
      </c>
      <c r="I245" t="s">
        <v>711</v>
      </c>
      <c r="J245" t="s">
        <v>726</v>
      </c>
      <c r="K245" t="s">
        <v>732</v>
      </c>
      <c r="L245" t="s">
        <v>774</v>
      </c>
      <c r="M245" s="8">
        <v>1024.01</v>
      </c>
      <c r="N245" s="8">
        <v>1580.97</v>
      </c>
      <c r="O245" s="8">
        <f t="shared" si="61"/>
        <v>1580.97</v>
      </c>
      <c r="P245" s="11">
        <v>3.6999999999999998E-2</v>
      </c>
      <c r="Q245" s="13">
        <v>27</v>
      </c>
      <c r="R245" s="8">
        <f t="shared" si="62"/>
        <v>41106.800970000004</v>
      </c>
      <c r="S245" s="8">
        <f t="shared" si="63"/>
        <v>27648.27</v>
      </c>
      <c r="T245" s="8">
        <f t="shared" si="64"/>
        <v>13458.530970000003</v>
      </c>
      <c r="U245" s="11">
        <f t="shared" si="65"/>
        <v>0.3274039976942531</v>
      </c>
      <c r="V245" s="17">
        <v>45325</v>
      </c>
      <c r="W245" s="4" t="str">
        <f t="shared" si="66"/>
        <v>Q3-2024</v>
      </c>
      <c r="X245" t="str">
        <f t="shared" si="67"/>
        <v>Europe → Germany → Berlin</v>
      </c>
      <c r="Y245" t="str">
        <f t="shared" si="68"/>
        <v>Medium</v>
      </c>
      <c r="Z245" s="20">
        <f t="shared" si="69"/>
        <v>45505</v>
      </c>
      <c r="AA245" s="4">
        <f t="array" ref="AA245">MIN(IF($F$2:$F$633=F245,$Z$2:$Z$633))</f>
        <v>44927</v>
      </c>
      <c r="AB245">
        <f t="shared" si="70"/>
        <v>19</v>
      </c>
      <c r="AC245">
        <f t="shared" si="71"/>
        <v>0</v>
      </c>
      <c r="AD245">
        <f t="shared" si="72"/>
        <v>0</v>
      </c>
      <c r="AE245" s="13">
        <f t="shared" si="73"/>
        <v>0</v>
      </c>
      <c r="AH245">
        <f t="shared" si="74"/>
        <v>32.4</v>
      </c>
      <c r="AI245">
        <f t="shared" si="75"/>
        <v>1177.6115</v>
      </c>
      <c r="AJ245" s="11">
        <f t="shared" si="76"/>
        <v>3.6999999999999998E-2</v>
      </c>
      <c r="AK245">
        <f t="shared" si="77"/>
        <v>49328.161163999997</v>
      </c>
      <c r="AL245">
        <f t="shared" si="78"/>
        <v>38154.6126</v>
      </c>
      <c r="AM245">
        <f t="shared" si="79"/>
        <v>11173.548563999997</v>
      </c>
    </row>
    <row r="246" spans="1:39" x14ac:dyDescent="0.25">
      <c r="A246" t="s">
        <v>444</v>
      </c>
      <c r="B246" s="4">
        <v>45597</v>
      </c>
      <c r="C246" s="4">
        <v>45608</v>
      </c>
      <c r="D246" s="13">
        <f t="shared" si="60"/>
        <v>11</v>
      </c>
      <c r="E246" s="6" t="s">
        <v>649</v>
      </c>
      <c r="F246" t="s">
        <v>656</v>
      </c>
      <c r="G246" t="s">
        <v>698</v>
      </c>
      <c r="H246" t="s">
        <v>704</v>
      </c>
      <c r="I246" t="s">
        <v>708</v>
      </c>
      <c r="J246" t="s">
        <v>717</v>
      </c>
      <c r="K246" t="s">
        <v>728</v>
      </c>
      <c r="L246" t="s">
        <v>1163</v>
      </c>
      <c r="M246" s="8">
        <v>599.84</v>
      </c>
      <c r="N246" s="8">
        <v>1330.85</v>
      </c>
      <c r="O246" s="8">
        <f t="shared" si="61"/>
        <v>1330.85</v>
      </c>
      <c r="P246" s="11">
        <v>0.115</v>
      </c>
      <c r="Q246" s="13">
        <v>11</v>
      </c>
      <c r="R246" s="8">
        <f t="shared" si="62"/>
        <v>12955.824749999998</v>
      </c>
      <c r="S246" s="8">
        <f t="shared" si="63"/>
        <v>6598.2400000000007</v>
      </c>
      <c r="T246" s="8">
        <f t="shared" si="64"/>
        <v>6357.5847499999973</v>
      </c>
      <c r="U246" s="11">
        <f t="shared" si="65"/>
        <v>0.49071246892252063</v>
      </c>
      <c r="V246" s="17">
        <v>45249</v>
      </c>
      <c r="W246" s="4" t="str">
        <f t="shared" si="66"/>
        <v>Q4-2024</v>
      </c>
      <c r="X246" t="str">
        <f t="shared" si="67"/>
        <v>Europe → Germany → Frankfurt</v>
      </c>
      <c r="Y246" t="str">
        <f t="shared" si="68"/>
        <v>Medium</v>
      </c>
      <c r="Z246" s="20">
        <f t="shared" si="69"/>
        <v>45597</v>
      </c>
      <c r="AA246" s="4">
        <f t="array" ref="AA246">MIN(IF($F$2:$F$633=F246,$Z$2:$Z$633))</f>
        <v>44927</v>
      </c>
      <c r="AB246">
        <f t="shared" si="70"/>
        <v>22</v>
      </c>
      <c r="AC246">
        <f t="shared" si="71"/>
        <v>0</v>
      </c>
      <c r="AD246">
        <f t="shared" si="72"/>
        <v>0</v>
      </c>
      <c r="AE246" s="13">
        <f t="shared" si="73"/>
        <v>0</v>
      </c>
      <c r="AH246">
        <f t="shared" si="74"/>
        <v>13.2</v>
      </c>
      <c r="AI246">
        <f t="shared" si="75"/>
        <v>689.81600000000003</v>
      </c>
      <c r="AJ246" s="11">
        <f t="shared" si="76"/>
        <v>0.115</v>
      </c>
      <c r="AK246">
        <f t="shared" si="77"/>
        <v>15546.989699999998</v>
      </c>
      <c r="AL246">
        <f t="shared" si="78"/>
        <v>9105.5712000000003</v>
      </c>
      <c r="AM246">
        <f t="shared" si="79"/>
        <v>6441.4184999999979</v>
      </c>
    </row>
    <row r="247" spans="1:39" x14ac:dyDescent="0.25">
      <c r="A247" t="s">
        <v>257</v>
      </c>
      <c r="B247" s="4">
        <v>45630</v>
      </c>
      <c r="C247" s="4">
        <v>45638</v>
      </c>
      <c r="D247" s="13">
        <f t="shared" si="60"/>
        <v>8</v>
      </c>
      <c r="E247" s="6" t="s">
        <v>649</v>
      </c>
      <c r="F247" t="s">
        <v>656</v>
      </c>
      <c r="G247" t="s">
        <v>698</v>
      </c>
      <c r="H247" t="s">
        <v>706</v>
      </c>
      <c r="I247" t="s">
        <v>709</v>
      </c>
      <c r="J247" t="s">
        <v>717</v>
      </c>
      <c r="K247" t="s">
        <v>728</v>
      </c>
      <c r="L247" t="s">
        <v>977</v>
      </c>
      <c r="M247" s="8">
        <v>72.06</v>
      </c>
      <c r="N247" s="8">
        <v>122.74</v>
      </c>
      <c r="O247" s="8">
        <f t="shared" si="61"/>
        <v>122.74</v>
      </c>
      <c r="P247" s="11">
        <v>0.23799999999999999</v>
      </c>
      <c r="Q247" s="13">
        <v>8</v>
      </c>
      <c r="R247" s="8">
        <f t="shared" si="62"/>
        <v>748.22303999999997</v>
      </c>
      <c r="S247" s="8">
        <f t="shared" si="63"/>
        <v>576.48</v>
      </c>
      <c r="T247" s="8">
        <f t="shared" si="64"/>
        <v>171.74303999999995</v>
      </c>
      <c r="U247" s="11">
        <f t="shared" si="65"/>
        <v>0.22953455162246802</v>
      </c>
      <c r="V247" s="17">
        <v>45230</v>
      </c>
      <c r="W247" s="4" t="str">
        <f t="shared" si="66"/>
        <v>Q4-2024</v>
      </c>
      <c r="X247" t="str">
        <f t="shared" si="67"/>
        <v>Europe → Germany → Frankfurt</v>
      </c>
      <c r="Y247" t="str">
        <f t="shared" si="68"/>
        <v>Low</v>
      </c>
      <c r="Z247" s="20">
        <f t="shared" si="69"/>
        <v>45627</v>
      </c>
      <c r="AA247" s="4">
        <f t="array" ref="AA247">MIN(IF($F$2:$F$633=F247,$Z$2:$Z$633))</f>
        <v>44927</v>
      </c>
      <c r="AB247">
        <f t="shared" si="70"/>
        <v>23</v>
      </c>
      <c r="AC247">
        <f t="shared" si="71"/>
        <v>0</v>
      </c>
      <c r="AD247">
        <f t="shared" si="72"/>
        <v>1</v>
      </c>
      <c r="AE247" s="13">
        <f t="shared" si="73"/>
        <v>0</v>
      </c>
      <c r="AH247">
        <f t="shared" si="74"/>
        <v>9.6</v>
      </c>
      <c r="AI247">
        <f t="shared" si="75"/>
        <v>82.869</v>
      </c>
      <c r="AJ247" s="11">
        <f t="shared" si="76"/>
        <v>0.23799999999999999</v>
      </c>
      <c r="AK247">
        <f t="shared" si="77"/>
        <v>897.86764799999992</v>
      </c>
      <c r="AL247">
        <f t="shared" si="78"/>
        <v>795.54239999999993</v>
      </c>
      <c r="AM247">
        <f t="shared" si="79"/>
        <v>102.32524799999999</v>
      </c>
    </row>
    <row r="248" spans="1:39" x14ac:dyDescent="0.25">
      <c r="A248" t="s">
        <v>72</v>
      </c>
      <c r="B248" s="4">
        <v>45643</v>
      </c>
      <c r="C248" s="4">
        <v>45644</v>
      </c>
      <c r="D248" s="13">
        <f t="shared" si="60"/>
        <v>1</v>
      </c>
      <c r="E248" s="6" t="s">
        <v>649</v>
      </c>
      <c r="F248" t="s">
        <v>656</v>
      </c>
      <c r="G248" t="s">
        <v>684</v>
      </c>
      <c r="H248" t="s">
        <v>702</v>
      </c>
      <c r="I248" t="s">
        <v>707</v>
      </c>
      <c r="J248" t="s">
        <v>716</v>
      </c>
      <c r="K248" t="s">
        <v>733</v>
      </c>
      <c r="L248" t="s">
        <v>791</v>
      </c>
      <c r="M248" s="8">
        <v>346.82</v>
      </c>
      <c r="N248" s="8">
        <v>701.95</v>
      </c>
      <c r="O248" s="8">
        <f t="shared" si="61"/>
        <v>701.95</v>
      </c>
      <c r="P248" s="11">
        <v>0.14699999999999999</v>
      </c>
      <c r="Q248" s="13">
        <v>8</v>
      </c>
      <c r="R248" s="8">
        <f t="shared" si="62"/>
        <v>4790.1068000000005</v>
      </c>
      <c r="S248" s="8">
        <f t="shared" si="63"/>
        <v>2774.56</v>
      </c>
      <c r="T248" s="8">
        <f t="shared" si="64"/>
        <v>2015.5468000000005</v>
      </c>
      <c r="U248" s="11">
        <f t="shared" si="65"/>
        <v>0.42077283120284509</v>
      </c>
      <c r="V248" s="17">
        <v>45210</v>
      </c>
      <c r="W248" s="4" t="str">
        <f t="shared" si="66"/>
        <v>Q4-2024</v>
      </c>
      <c r="X248" t="str">
        <f t="shared" si="67"/>
        <v>Europe → Germany → Munich</v>
      </c>
      <c r="Y248" t="str">
        <f t="shared" si="68"/>
        <v>Low</v>
      </c>
      <c r="Z248" s="20">
        <f t="shared" si="69"/>
        <v>45627</v>
      </c>
      <c r="AA248" s="4">
        <f t="array" ref="AA248">MIN(IF($F$2:$F$633=F248,$Z$2:$Z$633))</f>
        <v>44927</v>
      </c>
      <c r="AB248">
        <f t="shared" si="70"/>
        <v>23</v>
      </c>
      <c r="AC248">
        <f t="shared" si="71"/>
        <v>1</v>
      </c>
      <c r="AD248">
        <f t="shared" si="72"/>
        <v>0</v>
      </c>
      <c r="AE248" s="13">
        <f t="shared" si="73"/>
        <v>1</v>
      </c>
      <c r="AH248">
        <f t="shared" si="74"/>
        <v>9.6</v>
      </c>
      <c r="AI248">
        <f t="shared" si="75"/>
        <v>398.84299999999996</v>
      </c>
      <c r="AJ248" s="11">
        <f t="shared" si="76"/>
        <v>0.14699999999999999</v>
      </c>
      <c r="AK248">
        <f t="shared" si="77"/>
        <v>5748.1281600000002</v>
      </c>
      <c r="AL248">
        <f t="shared" si="78"/>
        <v>3828.8927999999996</v>
      </c>
      <c r="AM248">
        <f t="shared" si="79"/>
        <v>1919.2353600000006</v>
      </c>
    </row>
    <row r="249" spans="1:39" x14ac:dyDescent="0.25">
      <c r="A249" t="s">
        <v>156</v>
      </c>
      <c r="B249" s="4">
        <v>45649</v>
      </c>
      <c r="C249" s="4">
        <v>45668</v>
      </c>
      <c r="D249" s="13">
        <f t="shared" si="60"/>
        <v>19</v>
      </c>
      <c r="E249" s="6" t="s">
        <v>649</v>
      </c>
      <c r="F249" t="s">
        <v>656</v>
      </c>
      <c r="G249" t="s">
        <v>671</v>
      </c>
      <c r="H249" t="s">
        <v>702</v>
      </c>
      <c r="I249" t="s">
        <v>707</v>
      </c>
      <c r="J249" t="s">
        <v>723</v>
      </c>
      <c r="K249" t="s">
        <v>730</v>
      </c>
      <c r="L249" t="s">
        <v>875</v>
      </c>
      <c r="M249" s="8">
        <v>501.81</v>
      </c>
      <c r="N249" s="8">
        <v>921.62</v>
      </c>
      <c r="O249" s="8">
        <f t="shared" si="61"/>
        <v>921.62</v>
      </c>
      <c r="P249" s="11">
        <v>0.01</v>
      </c>
      <c r="Q249" s="13">
        <v>9</v>
      </c>
      <c r="R249" s="8">
        <f t="shared" si="62"/>
        <v>8211.6342000000004</v>
      </c>
      <c r="S249" s="8">
        <f t="shared" si="63"/>
        <v>4516.29</v>
      </c>
      <c r="T249" s="8">
        <f t="shared" si="64"/>
        <v>3695.3442000000005</v>
      </c>
      <c r="U249" s="11">
        <f t="shared" si="65"/>
        <v>0.45001325071202031</v>
      </c>
      <c r="V249" s="17">
        <v>45194</v>
      </c>
      <c r="W249" s="4" t="str">
        <f t="shared" si="66"/>
        <v>Q4-2024</v>
      </c>
      <c r="X249" t="str">
        <f t="shared" si="67"/>
        <v>Europe → Germany → Berlin</v>
      </c>
      <c r="Y249" t="str">
        <f t="shared" si="68"/>
        <v>Medium</v>
      </c>
      <c r="Z249" s="20">
        <f t="shared" si="69"/>
        <v>45627</v>
      </c>
      <c r="AA249" s="4">
        <f t="array" ref="AA249">MIN(IF($F$2:$F$633=F249,$Z$2:$Z$633))</f>
        <v>44927</v>
      </c>
      <c r="AB249">
        <f t="shared" si="70"/>
        <v>23</v>
      </c>
      <c r="AC249">
        <f t="shared" si="71"/>
        <v>0</v>
      </c>
      <c r="AD249">
        <f t="shared" si="72"/>
        <v>0</v>
      </c>
      <c r="AE249" s="13">
        <f t="shared" si="73"/>
        <v>0</v>
      </c>
      <c r="AH249">
        <f t="shared" si="74"/>
        <v>10.799999999999999</v>
      </c>
      <c r="AI249">
        <f t="shared" si="75"/>
        <v>577.08150000000001</v>
      </c>
      <c r="AJ249" s="11">
        <f t="shared" si="76"/>
        <v>0.01</v>
      </c>
      <c r="AK249">
        <f t="shared" si="77"/>
        <v>9853.9610399999983</v>
      </c>
      <c r="AL249">
        <f t="shared" si="78"/>
        <v>6232.4801999999991</v>
      </c>
      <c r="AM249">
        <f t="shared" si="79"/>
        <v>3621.4808399999993</v>
      </c>
    </row>
    <row r="250" spans="1:39" x14ac:dyDescent="0.25">
      <c r="A250" t="s">
        <v>132</v>
      </c>
      <c r="B250" s="4">
        <v>45653</v>
      </c>
      <c r="C250" s="4">
        <v>45659</v>
      </c>
      <c r="D250" s="13">
        <f t="shared" si="60"/>
        <v>6</v>
      </c>
      <c r="E250" s="6" t="s">
        <v>649</v>
      </c>
      <c r="F250" t="s">
        <v>656</v>
      </c>
      <c r="G250" t="s">
        <v>698</v>
      </c>
      <c r="H250" t="s">
        <v>702</v>
      </c>
      <c r="I250" t="s">
        <v>711</v>
      </c>
      <c r="J250" t="s">
        <v>721</v>
      </c>
      <c r="K250" t="s">
        <v>731</v>
      </c>
      <c r="L250" t="s">
        <v>851</v>
      </c>
      <c r="M250" s="8">
        <v>1391.99</v>
      </c>
      <c r="N250" s="8">
        <v>3469.7</v>
      </c>
      <c r="O250" s="8">
        <f t="shared" si="61"/>
        <v>3469.7</v>
      </c>
      <c r="P250" s="11">
        <v>0.184</v>
      </c>
      <c r="Q250" s="13">
        <v>23</v>
      </c>
      <c r="R250" s="8">
        <f t="shared" si="62"/>
        <v>65119.329599999997</v>
      </c>
      <c r="S250" s="8">
        <f t="shared" si="63"/>
        <v>32015.77</v>
      </c>
      <c r="T250" s="8">
        <f t="shared" si="64"/>
        <v>33103.559599999993</v>
      </c>
      <c r="U250" s="11">
        <f t="shared" si="65"/>
        <v>0.50835227886006973</v>
      </c>
      <c r="V250" s="17">
        <v>45199</v>
      </c>
      <c r="W250" s="4" t="str">
        <f t="shared" si="66"/>
        <v>Q4-2024</v>
      </c>
      <c r="X250" t="str">
        <f t="shared" si="67"/>
        <v>Europe → Germany → Frankfurt</v>
      </c>
      <c r="Y250" t="str">
        <f t="shared" si="68"/>
        <v>High</v>
      </c>
      <c r="Z250" s="20">
        <f t="shared" si="69"/>
        <v>45627</v>
      </c>
      <c r="AA250" s="4">
        <f t="array" ref="AA250">MIN(IF($F$2:$F$633=F250,$Z$2:$Z$633))</f>
        <v>44927</v>
      </c>
      <c r="AB250">
        <f t="shared" si="70"/>
        <v>23</v>
      </c>
      <c r="AC250">
        <f t="shared" si="71"/>
        <v>1</v>
      </c>
      <c r="AD250">
        <f t="shared" si="72"/>
        <v>0</v>
      </c>
      <c r="AE250" s="13">
        <f t="shared" si="73"/>
        <v>1</v>
      </c>
      <c r="AH250">
        <f t="shared" si="74"/>
        <v>27.599999999999998</v>
      </c>
      <c r="AI250">
        <f t="shared" si="75"/>
        <v>1600.7884999999999</v>
      </c>
      <c r="AJ250" s="11">
        <f t="shared" si="76"/>
        <v>0.184</v>
      </c>
      <c r="AK250">
        <f t="shared" si="77"/>
        <v>78143.195519999994</v>
      </c>
      <c r="AL250">
        <f t="shared" si="78"/>
        <v>44181.762599999995</v>
      </c>
      <c r="AM250">
        <f t="shared" si="79"/>
        <v>33961.432919999999</v>
      </c>
    </row>
    <row r="251" spans="1:39" x14ac:dyDescent="0.25">
      <c r="A251" t="s">
        <v>173</v>
      </c>
      <c r="B251" s="4">
        <v>45703</v>
      </c>
      <c r="C251" s="4">
        <v>45703</v>
      </c>
      <c r="D251" s="13">
        <f t="shared" si="60"/>
        <v>0</v>
      </c>
      <c r="E251" s="6" t="s">
        <v>649</v>
      </c>
      <c r="F251" t="s">
        <v>656</v>
      </c>
      <c r="G251" t="s">
        <v>698</v>
      </c>
      <c r="H251" t="s">
        <v>705</v>
      </c>
      <c r="I251" t="s">
        <v>709</v>
      </c>
      <c r="J251" t="s">
        <v>716</v>
      </c>
      <c r="K251" t="s">
        <v>733</v>
      </c>
      <c r="L251" t="s">
        <v>892</v>
      </c>
      <c r="M251" s="8">
        <v>815.83</v>
      </c>
      <c r="N251" s="8">
        <v>1982.18</v>
      </c>
      <c r="O251" s="8">
        <f t="shared" si="61"/>
        <v>1982.18</v>
      </c>
      <c r="P251" s="11">
        <v>0.127</v>
      </c>
      <c r="Q251" s="13">
        <v>6</v>
      </c>
      <c r="R251" s="8">
        <f t="shared" si="62"/>
        <v>10382.65884</v>
      </c>
      <c r="S251" s="8">
        <f t="shared" si="63"/>
        <v>4894.9800000000005</v>
      </c>
      <c r="T251" s="8">
        <f t="shared" si="64"/>
        <v>5487.6788399999996</v>
      </c>
      <c r="U251" s="11">
        <f t="shared" si="65"/>
        <v>0.52854272923408507</v>
      </c>
      <c r="V251" s="17">
        <v>45131</v>
      </c>
      <c r="W251" s="4" t="str">
        <f t="shared" si="66"/>
        <v>Q1-2025</v>
      </c>
      <c r="X251" t="str">
        <f t="shared" si="67"/>
        <v>Europe → Germany → Frankfurt</v>
      </c>
      <c r="Y251" t="str">
        <f t="shared" si="68"/>
        <v>High</v>
      </c>
      <c r="Z251" s="20">
        <f t="shared" si="69"/>
        <v>45689</v>
      </c>
      <c r="AA251" s="4">
        <f t="array" ref="AA251">MIN(IF($F$2:$F$633=F251,$Z$2:$Z$633))</f>
        <v>44927</v>
      </c>
      <c r="AB251">
        <f t="shared" si="70"/>
        <v>25</v>
      </c>
      <c r="AC251">
        <f t="shared" si="71"/>
        <v>1</v>
      </c>
      <c r="AD251">
        <f t="shared" si="72"/>
        <v>0</v>
      </c>
      <c r="AE251" s="13">
        <f t="shared" si="73"/>
        <v>1</v>
      </c>
      <c r="AH251">
        <f t="shared" si="74"/>
        <v>7.1999999999999993</v>
      </c>
      <c r="AI251">
        <f t="shared" si="75"/>
        <v>938.20449999999994</v>
      </c>
      <c r="AJ251" s="11">
        <f t="shared" si="76"/>
        <v>0.127</v>
      </c>
      <c r="AK251">
        <f t="shared" si="77"/>
        <v>12459.190608000001</v>
      </c>
      <c r="AL251">
        <f t="shared" si="78"/>
        <v>6755.0723999999991</v>
      </c>
      <c r="AM251">
        <f t="shared" si="79"/>
        <v>5704.1182080000017</v>
      </c>
    </row>
    <row r="252" spans="1:39" x14ac:dyDescent="0.25">
      <c r="A252" t="s">
        <v>567</v>
      </c>
      <c r="B252" s="4">
        <v>45704</v>
      </c>
      <c r="C252" s="4">
        <v>45733</v>
      </c>
      <c r="D252" s="13">
        <f t="shared" si="60"/>
        <v>29</v>
      </c>
      <c r="E252" s="6" t="s">
        <v>649</v>
      </c>
      <c r="F252" t="s">
        <v>656</v>
      </c>
      <c r="G252" t="s">
        <v>684</v>
      </c>
      <c r="H252" t="s">
        <v>704</v>
      </c>
      <c r="I252" t="s">
        <v>707</v>
      </c>
      <c r="J252" t="s">
        <v>716</v>
      </c>
      <c r="K252" t="s">
        <v>733</v>
      </c>
      <c r="L252" t="s">
        <v>1285</v>
      </c>
      <c r="M252" s="8">
        <v>730.42</v>
      </c>
      <c r="N252" s="8">
        <v>956.7</v>
      </c>
      <c r="O252" s="8">
        <f t="shared" si="61"/>
        <v>956.7</v>
      </c>
      <c r="P252" s="11">
        <v>4.2000000000000003E-2</v>
      </c>
      <c r="Q252" s="13">
        <v>22</v>
      </c>
      <c r="R252" s="8">
        <f t="shared" si="62"/>
        <v>20163.409200000002</v>
      </c>
      <c r="S252" s="8">
        <f t="shared" si="63"/>
        <v>16069.24</v>
      </c>
      <c r="T252" s="8">
        <f t="shared" si="64"/>
        <v>4094.1692000000021</v>
      </c>
      <c r="U252" s="11">
        <f t="shared" si="65"/>
        <v>0.20304945256975698</v>
      </c>
      <c r="V252" s="17">
        <v>45148</v>
      </c>
      <c r="W252" s="4" t="str">
        <f t="shared" si="66"/>
        <v>Q1-2025</v>
      </c>
      <c r="X252" t="str">
        <f t="shared" si="67"/>
        <v>Europe → Germany → Munich</v>
      </c>
      <c r="Y252" t="str">
        <f t="shared" si="68"/>
        <v>Medium</v>
      </c>
      <c r="Z252" s="20">
        <f t="shared" si="69"/>
        <v>45689</v>
      </c>
      <c r="AA252" s="4">
        <f t="array" ref="AA252">MIN(IF($F$2:$F$633=F252,$Z$2:$Z$633))</f>
        <v>44927</v>
      </c>
      <c r="AB252">
        <f t="shared" si="70"/>
        <v>25</v>
      </c>
      <c r="AC252">
        <f t="shared" si="71"/>
        <v>0</v>
      </c>
      <c r="AD252">
        <f t="shared" si="72"/>
        <v>0</v>
      </c>
      <c r="AE252" s="13">
        <f t="shared" si="73"/>
        <v>0</v>
      </c>
      <c r="AH252">
        <f t="shared" si="74"/>
        <v>26.4</v>
      </c>
      <c r="AI252">
        <f t="shared" si="75"/>
        <v>839.98299999999983</v>
      </c>
      <c r="AJ252" s="11">
        <f t="shared" si="76"/>
        <v>4.2000000000000003E-2</v>
      </c>
      <c r="AK252">
        <f t="shared" si="77"/>
        <v>24196.091039999999</v>
      </c>
      <c r="AL252">
        <f t="shared" si="78"/>
        <v>22175.551199999994</v>
      </c>
      <c r="AM252">
        <f t="shared" si="79"/>
        <v>2020.5398400000049</v>
      </c>
    </row>
    <row r="253" spans="1:39" x14ac:dyDescent="0.25">
      <c r="A253" t="s">
        <v>545</v>
      </c>
      <c r="B253" s="4">
        <v>45727</v>
      </c>
      <c r="C253" s="4">
        <v>45742</v>
      </c>
      <c r="D253" s="13">
        <f t="shared" si="60"/>
        <v>15</v>
      </c>
      <c r="E253" s="6" t="s">
        <v>649</v>
      </c>
      <c r="F253" t="s">
        <v>656</v>
      </c>
      <c r="G253" t="s">
        <v>671</v>
      </c>
      <c r="H253" t="s">
        <v>705</v>
      </c>
      <c r="I253" t="s">
        <v>708</v>
      </c>
      <c r="J253" t="s">
        <v>714</v>
      </c>
      <c r="K253" t="s">
        <v>730</v>
      </c>
      <c r="L253" t="s">
        <v>1264</v>
      </c>
      <c r="M253" s="8">
        <v>116.97</v>
      </c>
      <c r="N253" s="8">
        <v>140.82</v>
      </c>
      <c r="O253" s="8">
        <f t="shared" si="61"/>
        <v>140.82</v>
      </c>
      <c r="P253" s="11">
        <v>0.122</v>
      </c>
      <c r="Q253" s="13">
        <v>5</v>
      </c>
      <c r="R253" s="8">
        <f t="shared" si="62"/>
        <v>618.19979999999987</v>
      </c>
      <c r="S253" s="8">
        <f t="shared" si="63"/>
        <v>584.85</v>
      </c>
      <c r="T253" s="8">
        <f t="shared" si="64"/>
        <v>33.349799999999846</v>
      </c>
      <c r="U253" s="11">
        <f t="shared" si="65"/>
        <v>5.3946636669891926E-2</v>
      </c>
      <c r="V253" s="17">
        <v>45110</v>
      </c>
      <c r="W253" s="4" t="str">
        <f t="shared" si="66"/>
        <v>Q1-2025</v>
      </c>
      <c r="X253" t="str">
        <f t="shared" si="67"/>
        <v>Europe → Germany → Berlin</v>
      </c>
      <c r="Y253" t="str">
        <f t="shared" si="68"/>
        <v>Low</v>
      </c>
      <c r="Z253" s="20">
        <f t="shared" si="69"/>
        <v>45717</v>
      </c>
      <c r="AA253" s="4">
        <f t="array" ref="AA253">MIN(IF($F$2:$F$633=F253,$Z$2:$Z$633))</f>
        <v>44927</v>
      </c>
      <c r="AB253">
        <f t="shared" si="70"/>
        <v>26</v>
      </c>
      <c r="AC253">
        <f t="shared" si="71"/>
        <v>0</v>
      </c>
      <c r="AD253">
        <f t="shared" si="72"/>
        <v>0</v>
      </c>
      <c r="AE253" s="13">
        <f t="shared" si="73"/>
        <v>0</v>
      </c>
      <c r="AH253">
        <f t="shared" si="74"/>
        <v>6</v>
      </c>
      <c r="AI253">
        <f t="shared" si="75"/>
        <v>134.51549999999997</v>
      </c>
      <c r="AJ253" s="11">
        <f t="shared" si="76"/>
        <v>0.122</v>
      </c>
      <c r="AK253">
        <f t="shared" si="77"/>
        <v>741.83975999999996</v>
      </c>
      <c r="AL253">
        <f t="shared" si="78"/>
        <v>807.09299999999985</v>
      </c>
      <c r="AM253">
        <f t="shared" si="79"/>
        <v>-65.253239999999892</v>
      </c>
    </row>
    <row r="254" spans="1:39" x14ac:dyDescent="0.25">
      <c r="A254" t="s">
        <v>483</v>
      </c>
      <c r="B254" s="4">
        <v>45739</v>
      </c>
      <c r="C254" s="4">
        <v>45749</v>
      </c>
      <c r="D254" s="13">
        <f t="shared" si="60"/>
        <v>10</v>
      </c>
      <c r="E254" s="6" t="s">
        <v>649</v>
      </c>
      <c r="F254" t="s">
        <v>656</v>
      </c>
      <c r="G254" t="s">
        <v>671</v>
      </c>
      <c r="H254" t="s">
        <v>706</v>
      </c>
      <c r="I254" t="s">
        <v>708</v>
      </c>
      <c r="J254" t="s">
        <v>718</v>
      </c>
      <c r="K254" t="s">
        <v>728</v>
      </c>
      <c r="L254" t="s">
        <v>1202</v>
      </c>
      <c r="M254" s="8">
        <v>663.61</v>
      </c>
      <c r="N254" s="8">
        <v>1002.11</v>
      </c>
      <c r="O254" s="8">
        <f t="shared" si="61"/>
        <v>1002.11</v>
      </c>
      <c r="P254" s="11">
        <v>4.5999999999999999E-2</v>
      </c>
      <c r="Q254" s="13">
        <v>17</v>
      </c>
      <c r="R254" s="8">
        <f t="shared" si="62"/>
        <v>16252.219979999998</v>
      </c>
      <c r="S254" s="8">
        <f t="shared" si="63"/>
        <v>11281.37</v>
      </c>
      <c r="T254" s="8">
        <f t="shared" si="64"/>
        <v>4970.8499799999972</v>
      </c>
      <c r="U254" s="11">
        <f t="shared" si="65"/>
        <v>0.30585667595670812</v>
      </c>
      <c r="V254" s="17">
        <v>45099</v>
      </c>
      <c r="W254" s="4" t="str">
        <f t="shared" si="66"/>
        <v>Q1-2025</v>
      </c>
      <c r="X254" t="str">
        <f t="shared" si="67"/>
        <v>Europe → Germany → Berlin</v>
      </c>
      <c r="Y254" t="str">
        <f t="shared" si="68"/>
        <v>Medium</v>
      </c>
      <c r="Z254" s="20">
        <f t="shared" si="69"/>
        <v>45717</v>
      </c>
      <c r="AA254" s="4">
        <f t="array" ref="AA254">MIN(IF($F$2:$F$633=F254,$Z$2:$Z$633))</f>
        <v>44927</v>
      </c>
      <c r="AB254">
        <f t="shared" si="70"/>
        <v>26</v>
      </c>
      <c r="AC254">
        <f t="shared" si="71"/>
        <v>0</v>
      </c>
      <c r="AD254">
        <f t="shared" si="72"/>
        <v>0</v>
      </c>
      <c r="AE254" s="13">
        <f t="shared" si="73"/>
        <v>0</v>
      </c>
      <c r="AH254">
        <f t="shared" si="74"/>
        <v>20.399999999999999</v>
      </c>
      <c r="AI254">
        <f t="shared" si="75"/>
        <v>763.15149999999994</v>
      </c>
      <c r="AJ254" s="11">
        <f t="shared" si="76"/>
        <v>4.5999999999999999E-2</v>
      </c>
      <c r="AK254">
        <f t="shared" si="77"/>
        <v>19502.663975999996</v>
      </c>
      <c r="AL254">
        <f t="shared" si="78"/>
        <v>15568.290599999998</v>
      </c>
      <c r="AM254">
        <f t="shared" si="79"/>
        <v>3934.3733759999977</v>
      </c>
    </row>
    <row r="255" spans="1:39" x14ac:dyDescent="0.25">
      <c r="A255" t="s">
        <v>300</v>
      </c>
      <c r="B255" s="4">
        <v>45751</v>
      </c>
      <c r="C255" s="4">
        <v>45760</v>
      </c>
      <c r="D255" s="13">
        <f t="shared" si="60"/>
        <v>9</v>
      </c>
      <c r="E255" s="6" t="s">
        <v>649</v>
      </c>
      <c r="F255" t="s">
        <v>656</v>
      </c>
      <c r="G255" t="s">
        <v>684</v>
      </c>
      <c r="H255" t="s">
        <v>704</v>
      </c>
      <c r="I255" t="s">
        <v>709</v>
      </c>
      <c r="J255" t="s">
        <v>721</v>
      </c>
      <c r="K255" t="s">
        <v>730</v>
      </c>
      <c r="L255" t="s">
        <v>1020</v>
      </c>
      <c r="M255" s="8">
        <v>7.02</v>
      </c>
      <c r="N255" s="8">
        <v>6.28</v>
      </c>
      <c r="O255" s="8">
        <f t="shared" si="61"/>
        <v>6.28</v>
      </c>
      <c r="P255" s="11">
        <v>0.13400000000000001</v>
      </c>
      <c r="Q255" s="13">
        <v>14</v>
      </c>
      <c r="R255" s="8">
        <f t="shared" si="62"/>
        <v>76.138720000000006</v>
      </c>
      <c r="S255" s="8">
        <f t="shared" si="63"/>
        <v>98.28</v>
      </c>
      <c r="T255" s="8">
        <f t="shared" si="64"/>
        <v>-22.141279999999995</v>
      </c>
      <c r="U255" s="11">
        <f t="shared" si="65"/>
        <v>-0.29080184169106066</v>
      </c>
      <c r="V255" s="17">
        <v>45108</v>
      </c>
      <c r="W255" s="4" t="str">
        <f t="shared" si="66"/>
        <v>Q2-2025</v>
      </c>
      <c r="X255" t="str">
        <f t="shared" si="67"/>
        <v>Europe → Germany → Munich</v>
      </c>
      <c r="Y255" t="str">
        <f t="shared" si="68"/>
        <v>Low</v>
      </c>
      <c r="Z255" s="20">
        <f t="shared" si="69"/>
        <v>45748</v>
      </c>
      <c r="AA255" s="4">
        <f t="array" ref="AA255">MIN(IF($F$2:$F$633=F255,$Z$2:$Z$633))</f>
        <v>44927</v>
      </c>
      <c r="AB255">
        <f t="shared" si="70"/>
        <v>27</v>
      </c>
      <c r="AC255">
        <f t="shared" si="71"/>
        <v>0</v>
      </c>
      <c r="AD255">
        <f t="shared" si="72"/>
        <v>0</v>
      </c>
      <c r="AE255" s="13">
        <f t="shared" si="73"/>
        <v>0</v>
      </c>
      <c r="AH255">
        <f t="shared" si="74"/>
        <v>16.8</v>
      </c>
      <c r="AI255">
        <f t="shared" si="75"/>
        <v>8.0729999999999986</v>
      </c>
      <c r="AJ255" s="11">
        <f t="shared" si="76"/>
        <v>0.13400000000000001</v>
      </c>
      <c r="AK255">
        <f t="shared" si="77"/>
        <v>91.366464000000008</v>
      </c>
      <c r="AL255">
        <f t="shared" si="78"/>
        <v>135.62639999999999</v>
      </c>
      <c r="AM255">
        <f t="shared" si="79"/>
        <v>-44.259935999999982</v>
      </c>
    </row>
    <row r="256" spans="1:39" x14ac:dyDescent="0.25">
      <c r="A256" t="s">
        <v>261</v>
      </c>
      <c r="B256" s="4">
        <v>45769</v>
      </c>
      <c r="C256" s="4">
        <v>45779</v>
      </c>
      <c r="D256" s="13">
        <f t="shared" si="60"/>
        <v>10</v>
      </c>
      <c r="E256" s="6" t="s">
        <v>649</v>
      </c>
      <c r="F256" t="s">
        <v>656</v>
      </c>
      <c r="G256" t="s">
        <v>671</v>
      </c>
      <c r="H256" t="s">
        <v>701</v>
      </c>
      <c r="I256" t="s">
        <v>709</v>
      </c>
      <c r="J256" t="s">
        <v>712</v>
      </c>
      <c r="K256" t="s">
        <v>732</v>
      </c>
      <c r="L256" t="s">
        <v>981</v>
      </c>
      <c r="M256" s="8">
        <v>20.149999999999999</v>
      </c>
      <c r="N256" s="8">
        <v>39.74</v>
      </c>
      <c r="O256" s="8">
        <f t="shared" si="61"/>
        <v>39.74</v>
      </c>
      <c r="P256" s="11">
        <v>0.151</v>
      </c>
      <c r="Q256" s="13">
        <v>18</v>
      </c>
      <c r="R256" s="8">
        <f t="shared" si="62"/>
        <v>607.30668000000003</v>
      </c>
      <c r="S256" s="8">
        <f t="shared" si="63"/>
        <v>362.7</v>
      </c>
      <c r="T256" s="8">
        <f t="shared" si="64"/>
        <v>244.60668000000004</v>
      </c>
      <c r="U256" s="11">
        <f t="shared" si="65"/>
        <v>0.4027729120318585</v>
      </c>
      <c r="V256" s="17">
        <v>45073</v>
      </c>
      <c r="W256" s="4" t="str">
        <f t="shared" si="66"/>
        <v>Q2-2025</v>
      </c>
      <c r="X256" t="str">
        <f t="shared" si="67"/>
        <v>Europe → Germany → Berlin</v>
      </c>
      <c r="Y256" t="str">
        <f t="shared" si="68"/>
        <v>Low</v>
      </c>
      <c r="Z256" s="20">
        <f t="shared" si="69"/>
        <v>45748</v>
      </c>
      <c r="AA256" s="4">
        <f t="array" ref="AA256">MIN(IF($F$2:$F$633=F256,$Z$2:$Z$633))</f>
        <v>44927</v>
      </c>
      <c r="AB256">
        <f t="shared" si="70"/>
        <v>27</v>
      </c>
      <c r="AC256">
        <f t="shared" si="71"/>
        <v>0</v>
      </c>
      <c r="AD256">
        <f t="shared" si="72"/>
        <v>0</v>
      </c>
      <c r="AE256" s="13">
        <f t="shared" si="73"/>
        <v>0</v>
      </c>
      <c r="AH256">
        <f t="shared" si="74"/>
        <v>21.599999999999998</v>
      </c>
      <c r="AI256">
        <f t="shared" si="75"/>
        <v>23.172499999999996</v>
      </c>
      <c r="AJ256" s="11">
        <f t="shared" si="76"/>
        <v>0.151</v>
      </c>
      <c r="AK256">
        <f t="shared" si="77"/>
        <v>728.76801599999999</v>
      </c>
      <c r="AL256">
        <f t="shared" si="78"/>
        <v>500.52599999999984</v>
      </c>
      <c r="AM256">
        <f t="shared" si="79"/>
        <v>228.24201600000015</v>
      </c>
    </row>
    <row r="257" spans="1:39" x14ac:dyDescent="0.25">
      <c r="A257" t="s">
        <v>497</v>
      </c>
      <c r="B257" s="4">
        <v>45775</v>
      </c>
      <c r="C257" s="4">
        <v>45796</v>
      </c>
      <c r="D257" s="13">
        <f t="shared" si="60"/>
        <v>21</v>
      </c>
      <c r="E257" s="6" t="s">
        <v>649</v>
      </c>
      <c r="F257" t="s">
        <v>656</v>
      </c>
      <c r="G257" t="s">
        <v>671</v>
      </c>
      <c r="H257" t="s">
        <v>701</v>
      </c>
      <c r="I257" t="s">
        <v>710</v>
      </c>
      <c r="J257" t="s">
        <v>717</v>
      </c>
      <c r="K257" t="s">
        <v>730</v>
      </c>
      <c r="L257" t="s">
        <v>1216</v>
      </c>
      <c r="M257" s="8">
        <v>350.76</v>
      </c>
      <c r="N257" s="8">
        <v>492.18</v>
      </c>
      <c r="O257" s="8">
        <f t="shared" si="61"/>
        <v>492.18</v>
      </c>
      <c r="P257" s="11">
        <v>5.2999999999999999E-2</v>
      </c>
      <c r="Q257" s="13">
        <v>11</v>
      </c>
      <c r="R257" s="8">
        <f t="shared" si="62"/>
        <v>5127.0390600000001</v>
      </c>
      <c r="S257" s="8">
        <f t="shared" si="63"/>
        <v>3858.3599999999997</v>
      </c>
      <c r="T257" s="8">
        <f t="shared" si="64"/>
        <v>1268.6790600000004</v>
      </c>
      <c r="U257" s="11">
        <f t="shared" si="65"/>
        <v>0.24744868239798437</v>
      </c>
      <c r="V257" s="17">
        <v>45078</v>
      </c>
      <c r="W257" s="4" t="str">
        <f t="shared" si="66"/>
        <v>Q2-2025</v>
      </c>
      <c r="X257" t="str">
        <f t="shared" si="67"/>
        <v>Europe → Germany → Berlin</v>
      </c>
      <c r="Y257" t="str">
        <f t="shared" si="68"/>
        <v>Low</v>
      </c>
      <c r="Z257" s="20">
        <f t="shared" si="69"/>
        <v>45748</v>
      </c>
      <c r="AA257" s="4">
        <f t="array" ref="AA257">MIN(IF($F$2:$F$633=F257,$Z$2:$Z$633))</f>
        <v>44927</v>
      </c>
      <c r="AB257">
        <f t="shared" si="70"/>
        <v>27</v>
      </c>
      <c r="AC257">
        <f t="shared" si="71"/>
        <v>0</v>
      </c>
      <c r="AD257">
        <f t="shared" si="72"/>
        <v>0</v>
      </c>
      <c r="AE257" s="13">
        <f t="shared" si="73"/>
        <v>0</v>
      </c>
      <c r="AH257">
        <f t="shared" si="74"/>
        <v>13.2</v>
      </c>
      <c r="AI257">
        <f t="shared" si="75"/>
        <v>403.37399999999997</v>
      </c>
      <c r="AJ257" s="11">
        <f t="shared" si="76"/>
        <v>5.2999999999999999E-2</v>
      </c>
      <c r="AK257">
        <f t="shared" si="77"/>
        <v>6152.4468719999995</v>
      </c>
      <c r="AL257">
        <f t="shared" si="78"/>
        <v>5324.5367999999989</v>
      </c>
      <c r="AM257">
        <f t="shared" si="79"/>
        <v>827.91007200000058</v>
      </c>
    </row>
    <row r="258" spans="1:39" x14ac:dyDescent="0.25">
      <c r="A258" t="s">
        <v>58</v>
      </c>
      <c r="B258" s="4">
        <v>45806</v>
      </c>
      <c r="C258" s="4">
        <v>45828</v>
      </c>
      <c r="D258" s="13">
        <f t="shared" ref="D258:D321" si="80">C258-B258</f>
        <v>22</v>
      </c>
      <c r="E258" s="6" t="s">
        <v>649</v>
      </c>
      <c r="F258" t="s">
        <v>656</v>
      </c>
      <c r="G258" t="s">
        <v>671</v>
      </c>
      <c r="H258" t="s">
        <v>701</v>
      </c>
      <c r="I258" t="s">
        <v>711</v>
      </c>
      <c r="J258" t="s">
        <v>720</v>
      </c>
      <c r="K258" t="s">
        <v>728</v>
      </c>
      <c r="L258" t="s">
        <v>777</v>
      </c>
      <c r="M258" s="8">
        <v>483.47</v>
      </c>
      <c r="N258" s="8">
        <v>1135.43</v>
      </c>
      <c r="O258" s="8">
        <f t="shared" ref="O258:O321" si="81">ABS(N:N)</f>
        <v>1135.43</v>
      </c>
      <c r="P258" s="11">
        <v>0.14599999999999999</v>
      </c>
      <c r="Q258" s="13">
        <v>11</v>
      </c>
      <c r="R258" s="8">
        <f t="shared" ref="R258:R321" si="82">O258*Q258*(1-P258)</f>
        <v>10666.229420000001</v>
      </c>
      <c r="S258" s="8">
        <f t="shared" ref="S258:S321" si="83">PRODUCT(M258*Q258)</f>
        <v>5318.17</v>
      </c>
      <c r="T258" s="8">
        <f t="shared" ref="T258:T321" si="84">R258-S258</f>
        <v>5348.0594200000014</v>
      </c>
      <c r="U258" s="11">
        <f t="shared" ref="U258:U321" si="85">IF(T258=0, "0", T258/R258)</f>
        <v>0.50140112399719983</v>
      </c>
      <c r="V258" s="17">
        <v>45048</v>
      </c>
      <c r="W258" s="4" t="str">
        <f t="shared" ref="W258:W321" si="86">"Q"&amp;ROUNDUP(MONTH(B258)/3,0)&amp;"-"&amp;YEAR(B258)</f>
        <v>Q2-2025</v>
      </c>
      <c r="X258" t="str">
        <f t="shared" ref="X258:X321" si="87">E258 &amp; " → " &amp; F258 &amp; " → " &amp; G258</f>
        <v>Europe → Germany → Berlin</v>
      </c>
      <c r="Y258" t="str">
        <f t="shared" ref="Y258:Y321" si="88">IF(O258&lt;=_xlfn.PERCENTILE.INC($O:$O,0.33),"Low",
IF(O258&lt;=_xlfn.PERCENTILE.INC($O:$O,0.67),"Medium","High"))</f>
        <v>Medium</v>
      </c>
      <c r="Z258" s="20">
        <f t="shared" ref="Z258:Z321" si="89">DATE(YEAR(B258),MONTH(B258),1)</f>
        <v>45778</v>
      </c>
      <c r="AA258" s="4">
        <f t="array" ref="AA258">MIN(IF($F$2:$F$633=F258,$Z$2:$Z$633))</f>
        <v>44927</v>
      </c>
      <c r="AB258">
        <f t="shared" si="70"/>
        <v>28</v>
      </c>
      <c r="AC258">
        <f t="shared" si="71"/>
        <v>0</v>
      </c>
      <c r="AD258">
        <f t="shared" si="72"/>
        <v>0</v>
      </c>
      <c r="AE258" s="13">
        <f t="shared" si="73"/>
        <v>0</v>
      </c>
      <c r="AH258">
        <f t="shared" si="74"/>
        <v>13.2</v>
      </c>
      <c r="AI258">
        <f t="shared" si="75"/>
        <v>555.9905</v>
      </c>
      <c r="AJ258" s="11">
        <f t="shared" si="76"/>
        <v>0.14599999999999999</v>
      </c>
      <c r="AK258">
        <f t="shared" si="77"/>
        <v>12799.475304</v>
      </c>
      <c r="AL258">
        <f t="shared" si="78"/>
        <v>7339.0745999999999</v>
      </c>
      <c r="AM258">
        <f t="shared" si="79"/>
        <v>5460.4007039999997</v>
      </c>
    </row>
    <row r="259" spans="1:39" x14ac:dyDescent="0.25">
      <c r="A259" t="s">
        <v>309</v>
      </c>
      <c r="B259" s="4">
        <v>45809</v>
      </c>
      <c r="C259" s="4">
        <v>45835</v>
      </c>
      <c r="D259" s="13">
        <f t="shared" si="80"/>
        <v>26</v>
      </c>
      <c r="E259" s="6" t="s">
        <v>649</v>
      </c>
      <c r="F259" t="s">
        <v>656</v>
      </c>
      <c r="G259" t="s">
        <v>684</v>
      </c>
      <c r="H259" t="s">
        <v>704</v>
      </c>
      <c r="I259" t="s">
        <v>710</v>
      </c>
      <c r="J259" t="s">
        <v>718</v>
      </c>
      <c r="K259" t="s">
        <v>731</v>
      </c>
      <c r="L259" t="s">
        <v>1029</v>
      </c>
      <c r="M259" s="8">
        <v>1362.31</v>
      </c>
      <c r="N259" s="8">
        <v>3294.57</v>
      </c>
      <c r="O259" s="8">
        <f t="shared" si="81"/>
        <v>3294.57</v>
      </c>
      <c r="P259" s="11">
        <v>0.113</v>
      </c>
      <c r="Q259" s="13">
        <v>7</v>
      </c>
      <c r="R259" s="8">
        <f t="shared" si="82"/>
        <v>20455.985130000001</v>
      </c>
      <c r="S259" s="8">
        <f t="shared" si="83"/>
        <v>9536.17</v>
      </c>
      <c r="T259" s="8">
        <f t="shared" si="84"/>
        <v>10919.815130000001</v>
      </c>
      <c r="U259" s="11">
        <f t="shared" si="85"/>
        <v>0.5338200561157721</v>
      </c>
      <c r="V259" s="17">
        <v>45056</v>
      </c>
      <c r="W259" s="4" t="str">
        <f t="shared" si="86"/>
        <v>Q2-2025</v>
      </c>
      <c r="X259" t="str">
        <f t="shared" si="87"/>
        <v>Europe → Germany → Munich</v>
      </c>
      <c r="Y259" t="str">
        <f t="shared" si="88"/>
        <v>High</v>
      </c>
      <c r="Z259" s="20">
        <f t="shared" si="89"/>
        <v>45809</v>
      </c>
      <c r="AA259" s="4">
        <f t="array" ref="AA259">MIN(IF($F$2:$F$633=F259,$Z$2:$Z$633))</f>
        <v>44927</v>
      </c>
      <c r="AB259">
        <f t="shared" ref="AB259:AB322" si="90">DATEDIF(AA259,Z259,"m")</f>
        <v>29</v>
      </c>
      <c r="AC259">
        <f t="shared" ref="AC259:AC322" si="91">IF(D259&lt;=7,1,0)</f>
        <v>0</v>
      </c>
      <c r="AD259">
        <f t="shared" ref="AD259:AD322" si="92">IF(P259&gt;20%,1,0)</f>
        <v>0</v>
      </c>
      <c r="AE259" s="13">
        <f t="shared" ref="AE259:AE322" si="93">IF(D259&lt;=7, 1,0)</f>
        <v>0</v>
      </c>
      <c r="AH259">
        <f t="shared" ref="AH259:AH322" si="94" xml:space="preserve"> Q259 * (1 + $AG$5)</f>
        <v>8.4</v>
      </c>
      <c r="AI259">
        <f t="shared" ref="AI259:AI322" si="95">M259*(1+$AG$4)</f>
        <v>1566.6564999999998</v>
      </c>
      <c r="AJ259" s="11">
        <f t="shared" ref="AJ259:AJ322" si="96" xml:space="preserve"> MIN(P259, $AG$3)</f>
        <v>0.113</v>
      </c>
      <c r="AK259">
        <f t="shared" ref="AK259:AK322" si="97">AH259 * O259 * (1-AJ259)</f>
        <v>24547.182156000003</v>
      </c>
      <c r="AL259">
        <f t="shared" ref="AL259:AL322" si="98">AH259 * AI259</f>
        <v>13159.914599999998</v>
      </c>
      <c r="AM259">
        <f t="shared" ref="AM259:AM322" si="99" xml:space="preserve"> AK259 - AL259</f>
        <v>11387.267556000004</v>
      </c>
    </row>
    <row r="260" spans="1:39" x14ac:dyDescent="0.25">
      <c r="A260" t="s">
        <v>482</v>
      </c>
      <c r="B260" s="4">
        <v>45809</v>
      </c>
      <c r="C260" s="4">
        <v>45813</v>
      </c>
      <c r="D260" s="13">
        <f t="shared" si="80"/>
        <v>4</v>
      </c>
      <c r="E260" s="6" t="s">
        <v>649</v>
      </c>
      <c r="F260" t="s">
        <v>656</v>
      </c>
      <c r="G260" t="s">
        <v>684</v>
      </c>
      <c r="H260" t="s">
        <v>706</v>
      </c>
      <c r="I260" t="s">
        <v>711</v>
      </c>
      <c r="J260" t="s">
        <v>724</v>
      </c>
      <c r="K260" t="s">
        <v>727</v>
      </c>
      <c r="L260" t="s">
        <v>1201</v>
      </c>
      <c r="M260" s="8">
        <v>1171.42</v>
      </c>
      <c r="N260" s="8">
        <v>2187.8000000000002</v>
      </c>
      <c r="O260" s="8">
        <f t="shared" si="81"/>
        <v>2187.8000000000002</v>
      </c>
      <c r="P260" s="11">
        <v>0.23</v>
      </c>
      <c r="Q260" s="13">
        <v>15</v>
      </c>
      <c r="R260" s="8">
        <f t="shared" si="82"/>
        <v>25269.09</v>
      </c>
      <c r="S260" s="8">
        <f t="shared" si="83"/>
        <v>17571.300000000003</v>
      </c>
      <c r="T260" s="8">
        <f t="shared" si="84"/>
        <v>7697.7899999999972</v>
      </c>
      <c r="U260" s="11">
        <f t="shared" si="85"/>
        <v>0.30463265594447592</v>
      </c>
      <c r="V260" s="17">
        <v>45038</v>
      </c>
      <c r="W260" s="4" t="str">
        <f t="shared" si="86"/>
        <v>Q2-2025</v>
      </c>
      <c r="X260" t="str">
        <f t="shared" si="87"/>
        <v>Europe → Germany → Munich</v>
      </c>
      <c r="Y260" t="str">
        <f t="shared" si="88"/>
        <v>High</v>
      </c>
      <c r="Z260" s="20">
        <f t="shared" si="89"/>
        <v>45809</v>
      </c>
      <c r="AA260" s="4">
        <f t="array" ref="AA260">MIN(IF($F$2:$F$633=F260,$Z$2:$Z$633))</f>
        <v>44927</v>
      </c>
      <c r="AB260">
        <f t="shared" si="90"/>
        <v>29</v>
      </c>
      <c r="AC260">
        <f t="shared" si="91"/>
        <v>1</v>
      </c>
      <c r="AD260">
        <f t="shared" si="92"/>
        <v>1</v>
      </c>
      <c r="AE260" s="13">
        <f t="shared" si="93"/>
        <v>1</v>
      </c>
      <c r="AH260">
        <f t="shared" si="94"/>
        <v>18</v>
      </c>
      <c r="AI260">
        <f t="shared" si="95"/>
        <v>1347.133</v>
      </c>
      <c r="AJ260" s="11">
        <f t="shared" si="96"/>
        <v>0.23</v>
      </c>
      <c r="AK260">
        <f t="shared" si="97"/>
        <v>30322.908000000003</v>
      </c>
      <c r="AL260">
        <f t="shared" si="98"/>
        <v>24248.394</v>
      </c>
      <c r="AM260">
        <f t="shared" si="99"/>
        <v>6074.5140000000029</v>
      </c>
    </row>
    <row r="261" spans="1:39" x14ac:dyDescent="0.25">
      <c r="A261" t="s">
        <v>291</v>
      </c>
      <c r="B261" s="4">
        <v>45832</v>
      </c>
      <c r="C261" s="4">
        <v>45852</v>
      </c>
      <c r="D261" s="13">
        <f t="shared" si="80"/>
        <v>20</v>
      </c>
      <c r="E261" s="6" t="s">
        <v>649</v>
      </c>
      <c r="F261" t="s">
        <v>656</v>
      </c>
      <c r="G261" t="s">
        <v>671</v>
      </c>
      <c r="H261" t="s">
        <v>701</v>
      </c>
      <c r="I261" t="s">
        <v>711</v>
      </c>
      <c r="J261" t="s">
        <v>719</v>
      </c>
      <c r="K261" t="s">
        <v>733</v>
      </c>
      <c r="L261" t="s">
        <v>1011</v>
      </c>
      <c r="M261" s="8">
        <v>385.08</v>
      </c>
      <c r="N261" s="8">
        <v>893.19</v>
      </c>
      <c r="O261" s="8">
        <f t="shared" si="81"/>
        <v>893.19</v>
      </c>
      <c r="P261" s="11">
        <v>0.151</v>
      </c>
      <c r="Q261" s="13">
        <v>8</v>
      </c>
      <c r="R261" s="8">
        <f t="shared" si="82"/>
        <v>6066.54648</v>
      </c>
      <c r="S261" s="8">
        <f t="shared" si="83"/>
        <v>3080.64</v>
      </c>
      <c r="T261" s="8">
        <f t="shared" si="84"/>
        <v>2985.9064800000001</v>
      </c>
      <c r="U261" s="11">
        <f t="shared" si="85"/>
        <v>0.49219213762621666</v>
      </c>
      <c r="V261" s="17">
        <v>45038</v>
      </c>
      <c r="W261" s="4" t="str">
        <f t="shared" si="86"/>
        <v>Q2-2025</v>
      </c>
      <c r="X261" t="str">
        <f t="shared" si="87"/>
        <v>Europe → Germany → Berlin</v>
      </c>
      <c r="Y261" t="str">
        <f t="shared" si="88"/>
        <v>Medium</v>
      </c>
      <c r="Z261" s="20">
        <f t="shared" si="89"/>
        <v>45809</v>
      </c>
      <c r="AA261" s="4">
        <f t="array" ref="AA261">MIN(IF($F$2:$F$633=F261,$Z$2:$Z$633))</f>
        <v>44927</v>
      </c>
      <c r="AB261">
        <f t="shared" si="90"/>
        <v>29</v>
      </c>
      <c r="AC261">
        <f t="shared" si="91"/>
        <v>0</v>
      </c>
      <c r="AD261">
        <f t="shared" si="92"/>
        <v>0</v>
      </c>
      <c r="AE261" s="13">
        <f t="shared" si="93"/>
        <v>0</v>
      </c>
      <c r="AH261">
        <f t="shared" si="94"/>
        <v>9.6</v>
      </c>
      <c r="AI261">
        <f t="shared" si="95"/>
        <v>442.84199999999993</v>
      </c>
      <c r="AJ261" s="11">
        <f t="shared" si="96"/>
        <v>0.151</v>
      </c>
      <c r="AK261">
        <f t="shared" si="97"/>
        <v>7279.8557759999994</v>
      </c>
      <c r="AL261">
        <f t="shared" si="98"/>
        <v>4251.2831999999989</v>
      </c>
      <c r="AM261">
        <f t="shared" si="99"/>
        <v>3028.5725760000005</v>
      </c>
    </row>
    <row r="262" spans="1:39" x14ac:dyDescent="0.25">
      <c r="A262" t="s">
        <v>272</v>
      </c>
      <c r="B262" s="4">
        <v>45835</v>
      </c>
      <c r="C262" s="4">
        <v>45843</v>
      </c>
      <c r="D262" s="13">
        <f t="shared" si="80"/>
        <v>8</v>
      </c>
      <c r="E262" s="6" t="s">
        <v>649</v>
      </c>
      <c r="F262" t="s">
        <v>656</v>
      </c>
      <c r="G262" t="s">
        <v>684</v>
      </c>
      <c r="H262" t="s">
        <v>705</v>
      </c>
      <c r="I262" t="s">
        <v>711</v>
      </c>
      <c r="J262" t="s">
        <v>715</v>
      </c>
      <c r="K262" t="s">
        <v>732</v>
      </c>
      <c r="L262" t="s">
        <v>992</v>
      </c>
      <c r="M262" s="8">
        <v>314.93</v>
      </c>
      <c r="N262" s="8">
        <v>687.95</v>
      </c>
      <c r="O262" s="8">
        <f t="shared" si="81"/>
        <v>687.95</v>
      </c>
      <c r="P262" s="11">
        <v>0.20499999999999999</v>
      </c>
      <c r="Q262" s="13">
        <v>8</v>
      </c>
      <c r="R262" s="8">
        <f t="shared" si="82"/>
        <v>4375.3620000000001</v>
      </c>
      <c r="S262" s="8">
        <f t="shared" si="83"/>
        <v>2519.44</v>
      </c>
      <c r="T262" s="8">
        <f t="shared" si="84"/>
        <v>1855.922</v>
      </c>
      <c r="U262" s="11">
        <f t="shared" si="85"/>
        <v>0.424175645352316</v>
      </c>
      <c r="V262" s="17">
        <v>45021</v>
      </c>
      <c r="W262" s="4" t="str">
        <f t="shared" si="86"/>
        <v>Q2-2025</v>
      </c>
      <c r="X262" t="str">
        <f t="shared" si="87"/>
        <v>Europe → Germany → Munich</v>
      </c>
      <c r="Y262" t="str">
        <f t="shared" si="88"/>
        <v>Low</v>
      </c>
      <c r="Z262" s="20">
        <f t="shared" si="89"/>
        <v>45809</v>
      </c>
      <c r="AA262" s="4">
        <f t="array" ref="AA262">MIN(IF($F$2:$F$633=F262,$Z$2:$Z$633))</f>
        <v>44927</v>
      </c>
      <c r="AB262">
        <f t="shared" si="90"/>
        <v>29</v>
      </c>
      <c r="AC262">
        <f t="shared" si="91"/>
        <v>0</v>
      </c>
      <c r="AD262">
        <f t="shared" si="92"/>
        <v>1</v>
      </c>
      <c r="AE262" s="13">
        <f t="shared" si="93"/>
        <v>0</v>
      </c>
      <c r="AH262">
        <f t="shared" si="94"/>
        <v>9.6</v>
      </c>
      <c r="AI262">
        <f t="shared" si="95"/>
        <v>362.16949999999997</v>
      </c>
      <c r="AJ262" s="11">
        <f t="shared" si="96"/>
        <v>0.20499999999999999</v>
      </c>
      <c r="AK262">
        <f t="shared" si="97"/>
        <v>5250.434400000001</v>
      </c>
      <c r="AL262">
        <f t="shared" si="98"/>
        <v>3476.8271999999997</v>
      </c>
      <c r="AM262">
        <f t="shared" si="99"/>
        <v>1773.6072000000013</v>
      </c>
    </row>
    <row r="263" spans="1:39" x14ac:dyDescent="0.25">
      <c r="A263" t="s">
        <v>410</v>
      </c>
      <c r="B263" s="4">
        <v>45890</v>
      </c>
      <c r="C263" s="4">
        <v>45914</v>
      </c>
      <c r="D263" s="13">
        <f t="shared" si="80"/>
        <v>24</v>
      </c>
      <c r="E263" s="6" t="s">
        <v>649</v>
      </c>
      <c r="F263" t="s">
        <v>656</v>
      </c>
      <c r="G263" t="s">
        <v>671</v>
      </c>
      <c r="H263" t="s">
        <v>703</v>
      </c>
      <c r="I263" t="s">
        <v>708</v>
      </c>
      <c r="J263" t="s">
        <v>720</v>
      </c>
      <c r="K263" t="s">
        <v>732</v>
      </c>
      <c r="L263" t="s">
        <v>1129</v>
      </c>
      <c r="M263" s="8">
        <v>1397.67</v>
      </c>
      <c r="N263" s="8">
        <v>3131.37</v>
      </c>
      <c r="O263" s="8">
        <f t="shared" si="81"/>
        <v>3131.37</v>
      </c>
      <c r="P263" s="11">
        <v>0.10299999999999999</v>
      </c>
      <c r="Q263" s="13">
        <v>20</v>
      </c>
      <c r="R263" s="8">
        <f t="shared" si="82"/>
        <v>56176.777799999996</v>
      </c>
      <c r="S263" s="8">
        <f t="shared" si="83"/>
        <v>27953.4</v>
      </c>
      <c r="T263" s="8">
        <f t="shared" si="84"/>
        <v>28223.377799999995</v>
      </c>
      <c r="U263" s="11">
        <f t="shared" si="85"/>
        <v>0.50240293062874808</v>
      </c>
      <c r="V263" s="17">
        <v>44983</v>
      </c>
      <c r="W263" s="4" t="str">
        <f t="shared" si="86"/>
        <v>Q3-2025</v>
      </c>
      <c r="X263" t="str">
        <f t="shared" si="87"/>
        <v>Europe → Germany → Berlin</v>
      </c>
      <c r="Y263" t="str">
        <f t="shared" si="88"/>
        <v>High</v>
      </c>
      <c r="Z263" s="20">
        <f t="shared" si="89"/>
        <v>45870</v>
      </c>
      <c r="AA263" s="4">
        <f t="array" ref="AA263">MIN(IF($F$2:$F$633=F263,$Z$2:$Z$633))</f>
        <v>44927</v>
      </c>
      <c r="AB263">
        <f t="shared" si="90"/>
        <v>31</v>
      </c>
      <c r="AC263">
        <f t="shared" si="91"/>
        <v>0</v>
      </c>
      <c r="AD263">
        <f t="shared" si="92"/>
        <v>0</v>
      </c>
      <c r="AE263" s="13">
        <f t="shared" si="93"/>
        <v>0</v>
      </c>
      <c r="AH263">
        <f t="shared" si="94"/>
        <v>24</v>
      </c>
      <c r="AI263">
        <f t="shared" si="95"/>
        <v>1607.3205</v>
      </c>
      <c r="AJ263" s="11">
        <f t="shared" si="96"/>
        <v>0.10299999999999999</v>
      </c>
      <c r="AK263">
        <f t="shared" si="97"/>
        <v>67412.133360000007</v>
      </c>
      <c r="AL263">
        <f t="shared" si="98"/>
        <v>38575.692000000003</v>
      </c>
      <c r="AM263">
        <f t="shared" si="99"/>
        <v>28836.441360000004</v>
      </c>
    </row>
    <row r="264" spans="1:39" x14ac:dyDescent="0.25">
      <c r="A264" t="s">
        <v>144</v>
      </c>
      <c r="B264" s="4">
        <v>44955</v>
      </c>
      <c r="C264" s="4">
        <v>44985</v>
      </c>
      <c r="D264" s="13">
        <f t="shared" si="80"/>
        <v>30</v>
      </c>
      <c r="E264" s="6" t="s">
        <v>647</v>
      </c>
      <c r="F264" t="s">
        <v>654</v>
      </c>
      <c r="G264" t="s">
        <v>668</v>
      </c>
      <c r="H264" t="s">
        <v>703</v>
      </c>
      <c r="I264" t="s">
        <v>707</v>
      </c>
      <c r="J264" t="s">
        <v>717</v>
      </c>
      <c r="K264" t="s">
        <v>733</v>
      </c>
      <c r="L264" t="s">
        <v>921</v>
      </c>
      <c r="M264" s="8">
        <v>1262.0999999999999</v>
      </c>
      <c r="N264" s="8">
        <v>1395.53</v>
      </c>
      <c r="O264" s="8">
        <f t="shared" si="81"/>
        <v>1395.53</v>
      </c>
      <c r="P264" s="11">
        <v>0.23300000000000001</v>
      </c>
      <c r="Q264" s="13">
        <v>25</v>
      </c>
      <c r="R264" s="8">
        <f t="shared" si="82"/>
        <v>26759.28775</v>
      </c>
      <c r="S264" s="8">
        <f t="shared" si="83"/>
        <v>31552.499999999996</v>
      </c>
      <c r="T264" s="8">
        <f t="shared" si="84"/>
        <v>-4793.2122499999969</v>
      </c>
      <c r="U264" s="11">
        <f t="shared" si="85"/>
        <v>-0.17912331205452198</v>
      </c>
      <c r="V264" s="17">
        <v>45910</v>
      </c>
      <c r="W264" s="4" t="str">
        <f t="shared" si="86"/>
        <v>Q1-2023</v>
      </c>
      <c r="X264" t="str">
        <f t="shared" si="87"/>
        <v>Asia → India → Bengaluru</v>
      </c>
      <c r="Y264" t="str">
        <f t="shared" si="88"/>
        <v>Medium</v>
      </c>
      <c r="Z264" s="20">
        <f t="shared" si="89"/>
        <v>44927</v>
      </c>
      <c r="AA264" s="4">
        <f t="array" ref="AA264">MIN(IF($F$2:$F$633=F264,$Z$2:$Z$633))</f>
        <v>44927</v>
      </c>
      <c r="AB264">
        <f t="shared" si="90"/>
        <v>0</v>
      </c>
      <c r="AC264">
        <f t="shared" si="91"/>
        <v>0</v>
      </c>
      <c r="AD264">
        <f t="shared" si="92"/>
        <v>1</v>
      </c>
      <c r="AE264" s="13">
        <f t="shared" si="93"/>
        <v>0</v>
      </c>
      <c r="AH264">
        <f t="shared" si="94"/>
        <v>30</v>
      </c>
      <c r="AI264">
        <f t="shared" si="95"/>
        <v>1451.4149999999997</v>
      </c>
      <c r="AJ264" s="11">
        <f t="shared" si="96"/>
        <v>0.23300000000000001</v>
      </c>
      <c r="AK264">
        <f t="shared" si="97"/>
        <v>32111.1453</v>
      </c>
      <c r="AL264">
        <f t="shared" si="98"/>
        <v>43542.44999999999</v>
      </c>
      <c r="AM264">
        <f t="shared" si="99"/>
        <v>-11431.30469999999</v>
      </c>
    </row>
    <row r="265" spans="1:39" x14ac:dyDescent="0.25">
      <c r="A265" t="s">
        <v>175</v>
      </c>
      <c r="B265" s="4">
        <v>44977</v>
      </c>
      <c r="C265" s="4">
        <v>44989</v>
      </c>
      <c r="D265" s="13">
        <f t="shared" si="80"/>
        <v>12</v>
      </c>
      <c r="E265" s="6" t="s">
        <v>647</v>
      </c>
      <c r="F265" t="s">
        <v>654</v>
      </c>
      <c r="G265" t="s">
        <v>680</v>
      </c>
      <c r="H265" t="s">
        <v>704</v>
      </c>
      <c r="I265" t="s">
        <v>710</v>
      </c>
      <c r="J265" t="s">
        <v>724</v>
      </c>
      <c r="K265" t="s">
        <v>732</v>
      </c>
      <c r="L265" t="s">
        <v>894</v>
      </c>
      <c r="M265" s="8">
        <v>299.75</v>
      </c>
      <c r="N265" s="8">
        <v>523.01</v>
      </c>
      <c r="O265" s="8">
        <f t="shared" si="81"/>
        <v>523.01</v>
      </c>
      <c r="P265" s="11">
        <v>0.157</v>
      </c>
      <c r="Q265" s="13">
        <v>50</v>
      </c>
      <c r="R265" s="8">
        <f t="shared" si="82"/>
        <v>22044.871499999997</v>
      </c>
      <c r="S265" s="8">
        <f t="shared" si="83"/>
        <v>14987.5</v>
      </c>
      <c r="T265" s="8">
        <f t="shared" si="84"/>
        <v>7057.3714999999975</v>
      </c>
      <c r="U265" s="11">
        <f t="shared" si="85"/>
        <v>0.32013665854210122</v>
      </c>
      <c r="V265" s="17">
        <v>45879</v>
      </c>
      <c r="W265" s="4" t="str">
        <f t="shared" si="86"/>
        <v>Q1-2023</v>
      </c>
      <c r="X265" t="str">
        <f t="shared" si="87"/>
        <v>Asia → India → Delhi</v>
      </c>
      <c r="Y265" t="str">
        <f t="shared" si="88"/>
        <v>Low</v>
      </c>
      <c r="Z265" s="20">
        <f t="shared" si="89"/>
        <v>44958</v>
      </c>
      <c r="AA265" s="4">
        <f t="array" ref="AA265">MIN(IF($F$2:$F$633=F265,$Z$2:$Z$633))</f>
        <v>44927</v>
      </c>
      <c r="AB265">
        <f t="shared" si="90"/>
        <v>1</v>
      </c>
      <c r="AC265">
        <f t="shared" si="91"/>
        <v>0</v>
      </c>
      <c r="AD265">
        <f t="shared" si="92"/>
        <v>0</v>
      </c>
      <c r="AE265" s="13">
        <f t="shared" si="93"/>
        <v>0</v>
      </c>
      <c r="AH265">
        <f t="shared" si="94"/>
        <v>60</v>
      </c>
      <c r="AI265">
        <f t="shared" si="95"/>
        <v>344.71249999999998</v>
      </c>
      <c r="AJ265" s="11">
        <f t="shared" si="96"/>
        <v>0.157</v>
      </c>
      <c r="AK265">
        <f t="shared" si="97"/>
        <v>26453.845799999999</v>
      </c>
      <c r="AL265">
        <f t="shared" si="98"/>
        <v>20682.75</v>
      </c>
      <c r="AM265">
        <f t="shared" si="99"/>
        <v>5771.0957999999991</v>
      </c>
    </row>
    <row r="266" spans="1:39" x14ac:dyDescent="0.25">
      <c r="A266" t="s">
        <v>50</v>
      </c>
      <c r="B266" s="4">
        <v>45012</v>
      </c>
      <c r="C266" s="4">
        <v>45038</v>
      </c>
      <c r="D266" s="13">
        <f t="shared" si="80"/>
        <v>26</v>
      </c>
      <c r="E266" s="6" t="s">
        <v>647</v>
      </c>
      <c r="F266" t="s">
        <v>654</v>
      </c>
      <c r="G266" t="s">
        <v>680</v>
      </c>
      <c r="H266" t="s">
        <v>703</v>
      </c>
      <c r="I266" t="s">
        <v>709</v>
      </c>
      <c r="J266" t="s">
        <v>713</v>
      </c>
      <c r="K266" t="s">
        <v>728</v>
      </c>
      <c r="L266" t="s">
        <v>769</v>
      </c>
      <c r="M266" s="8">
        <v>178.53</v>
      </c>
      <c r="N266" s="8">
        <v>199.37</v>
      </c>
      <c r="O266" s="8">
        <f t="shared" si="81"/>
        <v>199.37</v>
      </c>
      <c r="P266" s="11">
        <v>0.10100000000000001</v>
      </c>
      <c r="Q266" s="13">
        <v>37</v>
      </c>
      <c r="R266" s="8">
        <f t="shared" si="82"/>
        <v>6631.6443100000006</v>
      </c>
      <c r="S266" s="8">
        <f t="shared" si="83"/>
        <v>6605.61</v>
      </c>
      <c r="T266" s="8">
        <f t="shared" si="84"/>
        <v>26.034310000000914</v>
      </c>
      <c r="U266" s="11">
        <f t="shared" si="85"/>
        <v>3.9257699573457538E-3</v>
      </c>
      <c r="V266" s="17">
        <v>45841</v>
      </c>
      <c r="W266" s="4" t="str">
        <f t="shared" si="86"/>
        <v>Q1-2023</v>
      </c>
      <c r="X266" t="str">
        <f t="shared" si="87"/>
        <v>Asia → India → Delhi</v>
      </c>
      <c r="Y266" t="str">
        <f t="shared" si="88"/>
        <v>Low</v>
      </c>
      <c r="Z266" s="20">
        <f t="shared" si="89"/>
        <v>44986</v>
      </c>
      <c r="AA266" s="4">
        <f t="array" ref="AA266">MIN(IF($F$2:$F$633=F266,$Z$2:$Z$633))</f>
        <v>44927</v>
      </c>
      <c r="AB266">
        <f t="shared" si="90"/>
        <v>2</v>
      </c>
      <c r="AC266">
        <f t="shared" si="91"/>
        <v>0</v>
      </c>
      <c r="AD266">
        <f t="shared" si="92"/>
        <v>0</v>
      </c>
      <c r="AE266" s="13">
        <f t="shared" si="93"/>
        <v>0</v>
      </c>
      <c r="AH266">
        <f t="shared" si="94"/>
        <v>44.4</v>
      </c>
      <c r="AI266">
        <f t="shared" si="95"/>
        <v>205.30949999999999</v>
      </c>
      <c r="AJ266" s="11">
        <f t="shared" si="96"/>
        <v>0.10100000000000001</v>
      </c>
      <c r="AK266">
        <f t="shared" si="97"/>
        <v>7957.973172</v>
      </c>
      <c r="AL266">
        <f t="shared" si="98"/>
        <v>9115.7417999999998</v>
      </c>
      <c r="AM266">
        <f t="shared" si="99"/>
        <v>-1157.7686279999998</v>
      </c>
    </row>
    <row r="267" spans="1:39" x14ac:dyDescent="0.25">
      <c r="A267" t="s">
        <v>60</v>
      </c>
      <c r="B267" s="4">
        <v>45035</v>
      </c>
      <c r="C267" s="4">
        <v>45046</v>
      </c>
      <c r="D267" s="13">
        <f t="shared" si="80"/>
        <v>11</v>
      </c>
      <c r="E267" s="6" t="s">
        <v>647</v>
      </c>
      <c r="F267" t="s">
        <v>654</v>
      </c>
      <c r="G267" t="s">
        <v>680</v>
      </c>
      <c r="H267" t="s">
        <v>705</v>
      </c>
      <c r="I267" t="s">
        <v>707</v>
      </c>
      <c r="J267" t="s">
        <v>720</v>
      </c>
      <c r="K267" t="s">
        <v>729</v>
      </c>
      <c r="L267" t="s">
        <v>779</v>
      </c>
      <c r="M267" s="8">
        <v>826.55</v>
      </c>
      <c r="N267" s="8">
        <v>1397.05</v>
      </c>
      <c r="O267" s="8">
        <f t="shared" si="81"/>
        <v>1397.05</v>
      </c>
      <c r="P267" s="11">
        <v>0.16900000000000001</v>
      </c>
      <c r="Q267" s="13">
        <v>28</v>
      </c>
      <c r="R267" s="8">
        <f t="shared" si="82"/>
        <v>32506.559399999998</v>
      </c>
      <c r="S267" s="8">
        <f t="shared" si="83"/>
        <v>23143.399999999998</v>
      </c>
      <c r="T267" s="8">
        <f t="shared" si="84"/>
        <v>9363.1594000000005</v>
      </c>
      <c r="U267" s="11">
        <f t="shared" si="85"/>
        <v>0.28803907804527601</v>
      </c>
      <c r="V267" s="17">
        <v>45809</v>
      </c>
      <c r="W267" s="4" t="str">
        <f t="shared" si="86"/>
        <v>Q2-2023</v>
      </c>
      <c r="X267" t="str">
        <f t="shared" si="87"/>
        <v>Asia → India → Delhi</v>
      </c>
      <c r="Y267" t="str">
        <f t="shared" si="88"/>
        <v>Medium</v>
      </c>
      <c r="Z267" s="20">
        <f t="shared" si="89"/>
        <v>45017</v>
      </c>
      <c r="AA267" s="4">
        <f t="array" ref="AA267">MIN(IF($F$2:$F$633=F267,$Z$2:$Z$633))</f>
        <v>44927</v>
      </c>
      <c r="AB267">
        <f t="shared" si="90"/>
        <v>3</v>
      </c>
      <c r="AC267">
        <f t="shared" si="91"/>
        <v>0</v>
      </c>
      <c r="AD267">
        <f t="shared" si="92"/>
        <v>0</v>
      </c>
      <c r="AE267" s="13">
        <f t="shared" si="93"/>
        <v>0</v>
      </c>
      <c r="AH267">
        <f t="shared" si="94"/>
        <v>33.6</v>
      </c>
      <c r="AI267">
        <f t="shared" si="95"/>
        <v>950.53249999999991</v>
      </c>
      <c r="AJ267" s="11">
        <f t="shared" si="96"/>
        <v>0.16900000000000001</v>
      </c>
      <c r="AK267">
        <f t="shared" si="97"/>
        <v>39007.871279999999</v>
      </c>
      <c r="AL267">
        <f t="shared" si="98"/>
        <v>31937.892</v>
      </c>
      <c r="AM267">
        <f t="shared" si="99"/>
        <v>7069.9792799999996</v>
      </c>
    </row>
    <row r="268" spans="1:39" x14ac:dyDescent="0.25">
      <c r="A268" t="s">
        <v>155</v>
      </c>
      <c r="B268" s="4">
        <v>45048</v>
      </c>
      <c r="C268" s="4">
        <v>45064</v>
      </c>
      <c r="D268" s="13">
        <f t="shared" si="80"/>
        <v>16</v>
      </c>
      <c r="E268" s="6" t="s">
        <v>647</v>
      </c>
      <c r="F268" t="s">
        <v>654</v>
      </c>
      <c r="G268" t="s">
        <v>680</v>
      </c>
      <c r="H268" t="s">
        <v>705</v>
      </c>
      <c r="I268" t="s">
        <v>709</v>
      </c>
      <c r="J268" t="s">
        <v>723</v>
      </c>
      <c r="K268" t="s">
        <v>732</v>
      </c>
      <c r="L268" t="s">
        <v>874</v>
      </c>
      <c r="M268" s="8">
        <v>1463.92</v>
      </c>
      <c r="N268" s="8">
        <v>2252.2399999999998</v>
      </c>
      <c r="O268" s="8">
        <f t="shared" si="81"/>
        <v>2252.2399999999998</v>
      </c>
      <c r="P268" s="11">
        <v>0.11799999999999999</v>
      </c>
      <c r="Q268" s="13">
        <v>44</v>
      </c>
      <c r="R268" s="8">
        <f t="shared" si="82"/>
        <v>87404.929919999995</v>
      </c>
      <c r="S268" s="8">
        <f t="shared" si="83"/>
        <v>64412.480000000003</v>
      </c>
      <c r="T268" s="8">
        <f t="shared" si="84"/>
        <v>22992.449919999992</v>
      </c>
      <c r="U268" s="11">
        <f t="shared" si="85"/>
        <v>0.26305667130040061</v>
      </c>
      <c r="V268" s="17">
        <v>45795</v>
      </c>
      <c r="W268" s="4" t="str">
        <f t="shared" si="86"/>
        <v>Q2-2023</v>
      </c>
      <c r="X268" t="str">
        <f t="shared" si="87"/>
        <v>Asia → India → Delhi</v>
      </c>
      <c r="Y268" t="str">
        <f t="shared" si="88"/>
        <v>High</v>
      </c>
      <c r="Z268" s="20">
        <f t="shared" si="89"/>
        <v>45047</v>
      </c>
      <c r="AA268" s="4">
        <f t="array" ref="AA268">MIN(IF($F$2:$F$633=F268,$Z$2:$Z$633))</f>
        <v>44927</v>
      </c>
      <c r="AB268">
        <f t="shared" si="90"/>
        <v>4</v>
      </c>
      <c r="AC268">
        <f t="shared" si="91"/>
        <v>0</v>
      </c>
      <c r="AD268">
        <f t="shared" si="92"/>
        <v>0</v>
      </c>
      <c r="AE268" s="13">
        <f t="shared" si="93"/>
        <v>0</v>
      </c>
      <c r="AH268">
        <f t="shared" si="94"/>
        <v>52.8</v>
      </c>
      <c r="AI268">
        <f t="shared" si="95"/>
        <v>1683.508</v>
      </c>
      <c r="AJ268" s="11">
        <f t="shared" si="96"/>
        <v>0.11799999999999999</v>
      </c>
      <c r="AK268">
        <f t="shared" si="97"/>
        <v>104885.91590399998</v>
      </c>
      <c r="AL268">
        <f t="shared" si="98"/>
        <v>88889.222399999999</v>
      </c>
      <c r="AM268">
        <f t="shared" si="99"/>
        <v>15996.693503999981</v>
      </c>
    </row>
    <row r="269" spans="1:39" x14ac:dyDescent="0.25">
      <c r="A269" t="s">
        <v>514</v>
      </c>
      <c r="B269" s="4">
        <v>45048</v>
      </c>
      <c r="C269" s="4">
        <v>45062</v>
      </c>
      <c r="D269" s="13">
        <f t="shared" si="80"/>
        <v>14</v>
      </c>
      <c r="E269" s="6" t="s">
        <v>647</v>
      </c>
      <c r="F269" t="s">
        <v>654</v>
      </c>
      <c r="G269" t="s">
        <v>668</v>
      </c>
      <c r="H269" t="s">
        <v>703</v>
      </c>
      <c r="I269" t="s">
        <v>707</v>
      </c>
      <c r="J269" t="s">
        <v>716</v>
      </c>
      <c r="K269" t="s">
        <v>732</v>
      </c>
      <c r="L269" t="s">
        <v>1233</v>
      </c>
      <c r="M269" s="8">
        <v>475.37</v>
      </c>
      <c r="N269" s="8">
        <v>963.73</v>
      </c>
      <c r="O269" s="8">
        <f t="shared" si="81"/>
        <v>963.73</v>
      </c>
      <c r="P269" s="11">
        <v>4.1000000000000002E-2</v>
      </c>
      <c r="Q269" s="13">
        <v>22</v>
      </c>
      <c r="R269" s="8">
        <f t="shared" si="82"/>
        <v>20332.775539999999</v>
      </c>
      <c r="S269" s="8">
        <f t="shared" si="83"/>
        <v>10458.14</v>
      </c>
      <c r="T269" s="8">
        <f t="shared" si="84"/>
        <v>9874.6355399999993</v>
      </c>
      <c r="U269" s="11">
        <f t="shared" si="85"/>
        <v>0.48565113604750881</v>
      </c>
      <c r="V269" s="17">
        <v>45804</v>
      </c>
      <c r="W269" s="4" t="str">
        <f t="shared" si="86"/>
        <v>Q2-2023</v>
      </c>
      <c r="X269" t="str">
        <f t="shared" si="87"/>
        <v>Asia → India → Bengaluru</v>
      </c>
      <c r="Y269" t="str">
        <f t="shared" si="88"/>
        <v>Medium</v>
      </c>
      <c r="Z269" s="20">
        <f t="shared" si="89"/>
        <v>45047</v>
      </c>
      <c r="AA269" s="4">
        <f t="array" ref="AA269">MIN(IF($F$2:$F$633=F269,$Z$2:$Z$633))</f>
        <v>44927</v>
      </c>
      <c r="AB269">
        <f t="shared" si="90"/>
        <v>4</v>
      </c>
      <c r="AC269">
        <f t="shared" si="91"/>
        <v>0</v>
      </c>
      <c r="AD269">
        <f t="shared" si="92"/>
        <v>0</v>
      </c>
      <c r="AE269" s="13">
        <f t="shared" si="93"/>
        <v>0</v>
      </c>
      <c r="AH269">
        <f t="shared" si="94"/>
        <v>26.4</v>
      </c>
      <c r="AI269">
        <f t="shared" si="95"/>
        <v>546.67549999999994</v>
      </c>
      <c r="AJ269" s="11">
        <f t="shared" si="96"/>
        <v>4.1000000000000002E-2</v>
      </c>
      <c r="AK269">
        <f t="shared" si="97"/>
        <v>24399.330647999996</v>
      </c>
      <c r="AL269">
        <f t="shared" si="98"/>
        <v>14432.233199999997</v>
      </c>
      <c r="AM269">
        <f t="shared" si="99"/>
        <v>9967.0974479999986</v>
      </c>
    </row>
    <row r="270" spans="1:39" x14ac:dyDescent="0.25">
      <c r="A270" t="s">
        <v>570</v>
      </c>
      <c r="B270" s="4">
        <v>45053</v>
      </c>
      <c r="C270" s="4">
        <v>45066</v>
      </c>
      <c r="D270" s="13">
        <f t="shared" si="80"/>
        <v>13</v>
      </c>
      <c r="E270" s="6" t="s">
        <v>647</v>
      </c>
      <c r="F270" t="s">
        <v>654</v>
      </c>
      <c r="G270" t="s">
        <v>691</v>
      </c>
      <c r="H270" t="s">
        <v>706</v>
      </c>
      <c r="I270" t="s">
        <v>707</v>
      </c>
      <c r="J270" t="s">
        <v>726</v>
      </c>
      <c r="K270" t="s">
        <v>733</v>
      </c>
      <c r="L270" t="s">
        <v>1288</v>
      </c>
      <c r="M270" s="8">
        <v>1443.28</v>
      </c>
      <c r="N270" s="8">
        <v>2580.5700000000002</v>
      </c>
      <c r="O270" s="8">
        <f t="shared" si="81"/>
        <v>2580.5700000000002</v>
      </c>
      <c r="P270" s="11">
        <v>0</v>
      </c>
      <c r="Q270" s="13">
        <v>18</v>
      </c>
      <c r="R270" s="8">
        <f t="shared" si="82"/>
        <v>46450.26</v>
      </c>
      <c r="S270" s="8">
        <f t="shared" si="83"/>
        <v>25979.040000000001</v>
      </c>
      <c r="T270" s="8">
        <f t="shared" si="84"/>
        <v>20471.22</v>
      </c>
      <c r="U270" s="11">
        <f t="shared" si="85"/>
        <v>0.4407127107577008</v>
      </c>
      <c r="V270" s="17">
        <v>45787</v>
      </c>
      <c r="W270" s="4" t="str">
        <f t="shared" si="86"/>
        <v>Q2-2023</v>
      </c>
      <c r="X270" t="str">
        <f t="shared" si="87"/>
        <v>Asia → India → Mumbai</v>
      </c>
      <c r="Y270" t="str">
        <f t="shared" si="88"/>
        <v>High</v>
      </c>
      <c r="Z270" s="20">
        <f t="shared" si="89"/>
        <v>45047</v>
      </c>
      <c r="AA270" s="4">
        <f t="array" ref="AA270">MIN(IF($F$2:$F$633=F270,$Z$2:$Z$633))</f>
        <v>44927</v>
      </c>
      <c r="AB270">
        <f t="shared" si="90"/>
        <v>4</v>
      </c>
      <c r="AC270">
        <f t="shared" si="91"/>
        <v>0</v>
      </c>
      <c r="AD270">
        <f t="shared" si="92"/>
        <v>0</v>
      </c>
      <c r="AE270" s="13">
        <f t="shared" si="93"/>
        <v>0</v>
      </c>
      <c r="AH270">
        <f t="shared" si="94"/>
        <v>21.599999999999998</v>
      </c>
      <c r="AI270">
        <f t="shared" si="95"/>
        <v>1659.7719999999999</v>
      </c>
      <c r="AJ270" s="11">
        <f t="shared" si="96"/>
        <v>0</v>
      </c>
      <c r="AK270">
        <f t="shared" si="97"/>
        <v>55740.311999999998</v>
      </c>
      <c r="AL270">
        <f t="shared" si="98"/>
        <v>35851.075199999992</v>
      </c>
      <c r="AM270">
        <f t="shared" si="99"/>
        <v>19889.236800000006</v>
      </c>
    </row>
    <row r="271" spans="1:39" x14ac:dyDescent="0.25">
      <c r="A271" t="s">
        <v>535</v>
      </c>
      <c r="B271" s="4">
        <v>45056</v>
      </c>
      <c r="C271" s="4">
        <v>45073</v>
      </c>
      <c r="D271" s="13">
        <f t="shared" si="80"/>
        <v>17</v>
      </c>
      <c r="E271" s="6" t="s">
        <v>647</v>
      </c>
      <c r="F271" t="s">
        <v>654</v>
      </c>
      <c r="G271" t="s">
        <v>691</v>
      </c>
      <c r="H271" t="s">
        <v>704</v>
      </c>
      <c r="I271" t="s">
        <v>707</v>
      </c>
      <c r="J271" t="s">
        <v>724</v>
      </c>
      <c r="K271" t="s">
        <v>731</v>
      </c>
      <c r="L271" t="s">
        <v>1254</v>
      </c>
      <c r="M271" s="8">
        <v>1286.1600000000001</v>
      </c>
      <c r="N271" s="8">
        <v>3101.11</v>
      </c>
      <c r="O271" s="8">
        <f t="shared" si="81"/>
        <v>3101.11</v>
      </c>
      <c r="P271" s="11">
        <v>0.1</v>
      </c>
      <c r="Q271" s="13">
        <v>23</v>
      </c>
      <c r="R271" s="8">
        <f t="shared" si="82"/>
        <v>64192.976999999999</v>
      </c>
      <c r="S271" s="8">
        <f t="shared" si="83"/>
        <v>29581.68</v>
      </c>
      <c r="T271" s="8">
        <f t="shared" si="84"/>
        <v>34611.296999999999</v>
      </c>
      <c r="U271" s="11">
        <f t="shared" si="85"/>
        <v>0.53917575749758417</v>
      </c>
      <c r="V271" s="17">
        <v>45774</v>
      </c>
      <c r="W271" s="4" t="str">
        <f t="shared" si="86"/>
        <v>Q2-2023</v>
      </c>
      <c r="X271" t="str">
        <f t="shared" si="87"/>
        <v>Asia → India → Mumbai</v>
      </c>
      <c r="Y271" t="str">
        <f t="shared" si="88"/>
        <v>High</v>
      </c>
      <c r="Z271" s="20">
        <f t="shared" si="89"/>
        <v>45047</v>
      </c>
      <c r="AA271" s="4">
        <f t="array" ref="AA271">MIN(IF($F$2:$F$633=F271,$Z$2:$Z$633))</f>
        <v>44927</v>
      </c>
      <c r="AB271">
        <f t="shared" si="90"/>
        <v>4</v>
      </c>
      <c r="AC271">
        <f t="shared" si="91"/>
        <v>0</v>
      </c>
      <c r="AD271">
        <f t="shared" si="92"/>
        <v>0</v>
      </c>
      <c r="AE271" s="13">
        <f t="shared" si="93"/>
        <v>0</v>
      </c>
      <c r="AH271">
        <f t="shared" si="94"/>
        <v>27.599999999999998</v>
      </c>
      <c r="AI271">
        <f t="shared" si="95"/>
        <v>1479.0840000000001</v>
      </c>
      <c r="AJ271" s="11">
        <f t="shared" si="96"/>
        <v>0.1</v>
      </c>
      <c r="AK271">
        <f t="shared" si="97"/>
        <v>77031.572400000005</v>
      </c>
      <c r="AL271">
        <f t="shared" si="98"/>
        <v>40822.718399999998</v>
      </c>
      <c r="AM271">
        <f t="shared" si="99"/>
        <v>36208.854000000007</v>
      </c>
    </row>
    <row r="272" spans="1:39" x14ac:dyDescent="0.25">
      <c r="A272" t="s">
        <v>524</v>
      </c>
      <c r="B272" s="4">
        <v>45056</v>
      </c>
      <c r="C272" s="4">
        <v>45060</v>
      </c>
      <c r="D272" s="13">
        <f t="shared" si="80"/>
        <v>4</v>
      </c>
      <c r="E272" s="6" t="s">
        <v>647</v>
      </c>
      <c r="F272" t="s">
        <v>654</v>
      </c>
      <c r="G272" t="s">
        <v>680</v>
      </c>
      <c r="H272" t="s">
        <v>703</v>
      </c>
      <c r="I272" t="s">
        <v>710</v>
      </c>
      <c r="J272" t="s">
        <v>712</v>
      </c>
      <c r="K272" t="s">
        <v>732</v>
      </c>
      <c r="L272" t="s">
        <v>1243</v>
      </c>
      <c r="M272" s="8">
        <v>622.6</v>
      </c>
      <c r="N272" s="8">
        <v>833.69</v>
      </c>
      <c r="O272" s="8">
        <f t="shared" si="81"/>
        <v>833.69</v>
      </c>
      <c r="P272" s="11">
        <v>0.20899999999999999</v>
      </c>
      <c r="Q272" s="13">
        <v>14</v>
      </c>
      <c r="R272" s="8">
        <f t="shared" si="82"/>
        <v>9232.2830599999998</v>
      </c>
      <c r="S272" s="8">
        <f t="shared" si="83"/>
        <v>8716.4</v>
      </c>
      <c r="T272" s="8">
        <f t="shared" si="84"/>
        <v>515.88306000000011</v>
      </c>
      <c r="U272" s="11">
        <f t="shared" si="85"/>
        <v>5.5878167582959715E-2</v>
      </c>
      <c r="V272" s="17">
        <v>45789</v>
      </c>
      <c r="W272" s="4" t="str">
        <f t="shared" si="86"/>
        <v>Q2-2023</v>
      </c>
      <c r="X272" t="str">
        <f t="shared" si="87"/>
        <v>Asia → India → Delhi</v>
      </c>
      <c r="Y272" t="str">
        <f t="shared" si="88"/>
        <v>Medium</v>
      </c>
      <c r="Z272" s="20">
        <f t="shared" si="89"/>
        <v>45047</v>
      </c>
      <c r="AA272" s="4">
        <f t="array" ref="AA272">MIN(IF($F$2:$F$633=F272,$Z$2:$Z$633))</f>
        <v>44927</v>
      </c>
      <c r="AB272">
        <f t="shared" si="90"/>
        <v>4</v>
      </c>
      <c r="AC272">
        <f t="shared" si="91"/>
        <v>1</v>
      </c>
      <c r="AD272">
        <f t="shared" si="92"/>
        <v>1</v>
      </c>
      <c r="AE272" s="13">
        <f t="shared" si="93"/>
        <v>1</v>
      </c>
      <c r="AH272">
        <f t="shared" si="94"/>
        <v>16.8</v>
      </c>
      <c r="AI272">
        <f t="shared" si="95"/>
        <v>715.99</v>
      </c>
      <c r="AJ272" s="11">
        <f t="shared" si="96"/>
        <v>0.20899999999999999</v>
      </c>
      <c r="AK272">
        <f t="shared" si="97"/>
        <v>11078.739672000002</v>
      </c>
      <c r="AL272">
        <f t="shared" si="98"/>
        <v>12028.632000000001</v>
      </c>
      <c r="AM272">
        <f t="shared" si="99"/>
        <v>-949.89232799999991</v>
      </c>
    </row>
    <row r="273" spans="1:39" x14ac:dyDescent="0.25">
      <c r="A273" t="s">
        <v>399</v>
      </c>
      <c r="B273" s="4">
        <v>45066</v>
      </c>
      <c r="C273" s="4">
        <v>45096</v>
      </c>
      <c r="D273" s="13">
        <f t="shared" si="80"/>
        <v>30</v>
      </c>
      <c r="E273" s="6" t="s">
        <v>647</v>
      </c>
      <c r="F273" t="s">
        <v>654</v>
      </c>
      <c r="G273" t="s">
        <v>680</v>
      </c>
      <c r="H273" t="s">
        <v>703</v>
      </c>
      <c r="I273" t="s">
        <v>709</v>
      </c>
      <c r="J273" t="s">
        <v>722</v>
      </c>
      <c r="K273" t="s">
        <v>731</v>
      </c>
      <c r="L273" t="s">
        <v>1118</v>
      </c>
      <c r="M273" s="8">
        <v>1161.2</v>
      </c>
      <c r="N273" s="8">
        <v>878.73</v>
      </c>
      <c r="O273" s="8">
        <f t="shared" si="81"/>
        <v>878.73</v>
      </c>
      <c r="P273" s="11">
        <v>0.19</v>
      </c>
      <c r="Q273" s="13">
        <v>31</v>
      </c>
      <c r="R273" s="8">
        <f t="shared" si="82"/>
        <v>22064.910300000003</v>
      </c>
      <c r="S273" s="8">
        <f t="shared" si="83"/>
        <v>35997.200000000004</v>
      </c>
      <c r="T273" s="8">
        <f t="shared" si="84"/>
        <v>-13932.289700000001</v>
      </c>
      <c r="U273" s="11">
        <f t="shared" si="85"/>
        <v>-0.63142290227212028</v>
      </c>
      <c r="V273" s="17">
        <v>45794</v>
      </c>
      <c r="W273" s="4" t="str">
        <f t="shared" si="86"/>
        <v>Q2-2023</v>
      </c>
      <c r="X273" t="str">
        <f t="shared" si="87"/>
        <v>Asia → India → Delhi</v>
      </c>
      <c r="Y273" t="str">
        <f t="shared" si="88"/>
        <v>Medium</v>
      </c>
      <c r="Z273" s="20">
        <f t="shared" si="89"/>
        <v>45047</v>
      </c>
      <c r="AA273" s="4">
        <f t="array" ref="AA273">MIN(IF($F$2:$F$633=F273,$Z$2:$Z$633))</f>
        <v>44927</v>
      </c>
      <c r="AB273">
        <f t="shared" si="90"/>
        <v>4</v>
      </c>
      <c r="AC273">
        <f t="shared" si="91"/>
        <v>0</v>
      </c>
      <c r="AD273">
        <f t="shared" si="92"/>
        <v>0</v>
      </c>
      <c r="AE273" s="13">
        <f t="shared" si="93"/>
        <v>0</v>
      </c>
      <c r="AH273">
        <f t="shared" si="94"/>
        <v>37.199999999999996</v>
      </c>
      <c r="AI273">
        <f t="shared" si="95"/>
        <v>1335.3799999999999</v>
      </c>
      <c r="AJ273" s="11">
        <f t="shared" si="96"/>
        <v>0.19</v>
      </c>
      <c r="AK273">
        <f t="shared" si="97"/>
        <v>26477.892359999998</v>
      </c>
      <c r="AL273">
        <f t="shared" si="98"/>
        <v>49676.135999999991</v>
      </c>
      <c r="AM273">
        <f t="shared" si="99"/>
        <v>-23198.243639999993</v>
      </c>
    </row>
    <row r="274" spans="1:39" x14ac:dyDescent="0.25">
      <c r="A274" t="s">
        <v>585</v>
      </c>
      <c r="B274" s="4">
        <v>45078</v>
      </c>
      <c r="C274" s="4">
        <v>45078</v>
      </c>
      <c r="D274" s="13">
        <f t="shared" si="80"/>
        <v>0</v>
      </c>
      <c r="E274" s="6" t="s">
        <v>647</v>
      </c>
      <c r="F274" t="s">
        <v>654</v>
      </c>
      <c r="G274" t="s">
        <v>668</v>
      </c>
      <c r="H274" t="s">
        <v>701</v>
      </c>
      <c r="I274" t="s">
        <v>707</v>
      </c>
      <c r="J274" t="s">
        <v>718</v>
      </c>
      <c r="K274" t="s">
        <v>733</v>
      </c>
      <c r="L274" t="s">
        <v>1303</v>
      </c>
      <c r="M274" s="8">
        <v>669.37</v>
      </c>
      <c r="N274" s="8">
        <v>997.2</v>
      </c>
      <c r="O274" s="8">
        <f t="shared" si="81"/>
        <v>997.2</v>
      </c>
      <c r="P274" s="11">
        <v>8.2000000000000003E-2</v>
      </c>
      <c r="Q274" s="13">
        <v>5</v>
      </c>
      <c r="R274" s="8">
        <f t="shared" si="82"/>
        <v>4577.1480000000001</v>
      </c>
      <c r="S274" s="8">
        <f t="shared" si="83"/>
        <v>3346.85</v>
      </c>
      <c r="T274" s="8">
        <f t="shared" si="84"/>
        <v>1230.2980000000002</v>
      </c>
      <c r="U274" s="11">
        <f t="shared" si="85"/>
        <v>0.26879139586484863</v>
      </c>
      <c r="V274" s="17">
        <v>45771</v>
      </c>
      <c r="W274" s="4" t="str">
        <f t="shared" si="86"/>
        <v>Q2-2023</v>
      </c>
      <c r="X274" t="str">
        <f t="shared" si="87"/>
        <v>Asia → India → Bengaluru</v>
      </c>
      <c r="Y274" t="str">
        <f t="shared" si="88"/>
        <v>Medium</v>
      </c>
      <c r="Z274" s="20">
        <f t="shared" si="89"/>
        <v>45078</v>
      </c>
      <c r="AA274" s="4">
        <f t="array" ref="AA274">MIN(IF($F$2:$F$633=F274,$Z$2:$Z$633))</f>
        <v>44927</v>
      </c>
      <c r="AB274">
        <f t="shared" si="90"/>
        <v>5</v>
      </c>
      <c r="AC274">
        <f t="shared" si="91"/>
        <v>1</v>
      </c>
      <c r="AD274">
        <f t="shared" si="92"/>
        <v>0</v>
      </c>
      <c r="AE274" s="13">
        <f t="shared" si="93"/>
        <v>1</v>
      </c>
      <c r="AH274">
        <f t="shared" si="94"/>
        <v>6</v>
      </c>
      <c r="AI274">
        <f t="shared" si="95"/>
        <v>769.77549999999997</v>
      </c>
      <c r="AJ274" s="11">
        <f t="shared" si="96"/>
        <v>8.2000000000000003E-2</v>
      </c>
      <c r="AK274">
        <f t="shared" si="97"/>
        <v>5492.5776000000005</v>
      </c>
      <c r="AL274">
        <f t="shared" si="98"/>
        <v>4618.6530000000002</v>
      </c>
      <c r="AM274">
        <f t="shared" si="99"/>
        <v>873.92460000000028</v>
      </c>
    </row>
    <row r="275" spans="1:39" x14ac:dyDescent="0.25">
      <c r="A275" t="s">
        <v>464</v>
      </c>
      <c r="B275" s="4">
        <v>45128</v>
      </c>
      <c r="C275" s="4">
        <v>45129</v>
      </c>
      <c r="D275" s="13">
        <f t="shared" si="80"/>
        <v>1</v>
      </c>
      <c r="E275" s="6" t="s">
        <v>647</v>
      </c>
      <c r="F275" t="s">
        <v>654</v>
      </c>
      <c r="G275" t="s">
        <v>680</v>
      </c>
      <c r="H275" t="s">
        <v>705</v>
      </c>
      <c r="I275" t="s">
        <v>710</v>
      </c>
      <c r="J275" t="s">
        <v>718</v>
      </c>
      <c r="K275" t="s">
        <v>728</v>
      </c>
      <c r="L275" t="s">
        <v>1183</v>
      </c>
      <c r="M275" s="8">
        <v>946.99</v>
      </c>
      <c r="N275" s="8">
        <v>2132.19</v>
      </c>
      <c r="O275" s="8">
        <f t="shared" si="81"/>
        <v>2132.19</v>
      </c>
      <c r="P275" s="11">
        <v>0.16500000000000001</v>
      </c>
      <c r="Q275" s="13">
        <v>7</v>
      </c>
      <c r="R275" s="8">
        <f t="shared" si="82"/>
        <v>12462.65055</v>
      </c>
      <c r="S275" s="8">
        <f t="shared" si="83"/>
        <v>6628.93</v>
      </c>
      <c r="T275" s="8">
        <f t="shared" si="84"/>
        <v>5833.72055</v>
      </c>
      <c r="U275" s="11">
        <f t="shared" si="85"/>
        <v>0.46809629513362228</v>
      </c>
      <c r="V275" s="17">
        <v>45719</v>
      </c>
      <c r="W275" s="4" t="str">
        <f t="shared" si="86"/>
        <v>Q3-2023</v>
      </c>
      <c r="X275" t="str">
        <f t="shared" si="87"/>
        <v>Asia → India → Delhi</v>
      </c>
      <c r="Y275" t="str">
        <f t="shared" si="88"/>
        <v>High</v>
      </c>
      <c r="Z275" s="20">
        <f t="shared" si="89"/>
        <v>45108</v>
      </c>
      <c r="AA275" s="4">
        <f t="array" ref="AA275">MIN(IF($F$2:$F$633=F275,$Z$2:$Z$633))</f>
        <v>44927</v>
      </c>
      <c r="AB275">
        <f t="shared" si="90"/>
        <v>6</v>
      </c>
      <c r="AC275">
        <f t="shared" si="91"/>
        <v>1</v>
      </c>
      <c r="AD275">
        <f t="shared" si="92"/>
        <v>0</v>
      </c>
      <c r="AE275" s="13">
        <f t="shared" si="93"/>
        <v>1</v>
      </c>
      <c r="AH275">
        <f t="shared" si="94"/>
        <v>8.4</v>
      </c>
      <c r="AI275">
        <f t="shared" si="95"/>
        <v>1089.0384999999999</v>
      </c>
      <c r="AJ275" s="11">
        <f t="shared" si="96"/>
        <v>0.16500000000000001</v>
      </c>
      <c r="AK275">
        <f t="shared" si="97"/>
        <v>14955.18066</v>
      </c>
      <c r="AL275">
        <f t="shared" si="98"/>
        <v>9147.9233999999997</v>
      </c>
      <c r="AM275">
        <f t="shared" si="99"/>
        <v>5807.2572600000003</v>
      </c>
    </row>
    <row r="276" spans="1:39" x14ac:dyDescent="0.25">
      <c r="A276" t="s">
        <v>346</v>
      </c>
      <c r="B276" s="4">
        <v>45168</v>
      </c>
      <c r="C276" s="4">
        <v>45172</v>
      </c>
      <c r="D276" s="13">
        <f t="shared" si="80"/>
        <v>4</v>
      </c>
      <c r="E276" s="6" t="s">
        <v>647</v>
      </c>
      <c r="F276" t="s">
        <v>654</v>
      </c>
      <c r="G276" t="s">
        <v>680</v>
      </c>
      <c r="H276" t="s">
        <v>705</v>
      </c>
      <c r="I276" t="s">
        <v>709</v>
      </c>
      <c r="J276" t="s">
        <v>716</v>
      </c>
      <c r="K276" t="s">
        <v>733</v>
      </c>
      <c r="L276" t="s">
        <v>1066</v>
      </c>
      <c r="M276" s="8">
        <v>1082.25</v>
      </c>
      <c r="N276" s="8">
        <v>2433.34</v>
      </c>
      <c r="O276" s="8">
        <f t="shared" si="81"/>
        <v>2433.34</v>
      </c>
      <c r="P276" s="11">
        <v>0.27</v>
      </c>
      <c r="Q276" s="13">
        <v>4</v>
      </c>
      <c r="R276" s="8">
        <f t="shared" si="82"/>
        <v>7105.3528000000006</v>
      </c>
      <c r="S276" s="8">
        <f t="shared" si="83"/>
        <v>4329</v>
      </c>
      <c r="T276" s="8">
        <f t="shared" si="84"/>
        <v>2776.3528000000006</v>
      </c>
      <c r="U276" s="11">
        <f t="shared" si="85"/>
        <v>0.3907410199251472</v>
      </c>
      <c r="V276" s="17">
        <v>45660</v>
      </c>
      <c r="W276" s="4" t="str">
        <f t="shared" si="86"/>
        <v>Q3-2023</v>
      </c>
      <c r="X276" t="str">
        <f t="shared" si="87"/>
        <v>Asia → India → Delhi</v>
      </c>
      <c r="Y276" t="str">
        <f t="shared" si="88"/>
        <v>High</v>
      </c>
      <c r="Z276" s="20">
        <f t="shared" si="89"/>
        <v>45139</v>
      </c>
      <c r="AA276" s="4">
        <f t="array" ref="AA276">MIN(IF($F$2:$F$633=F276,$Z$2:$Z$633))</f>
        <v>44927</v>
      </c>
      <c r="AB276">
        <f t="shared" si="90"/>
        <v>7</v>
      </c>
      <c r="AC276">
        <f t="shared" si="91"/>
        <v>1</v>
      </c>
      <c r="AD276">
        <f t="shared" si="92"/>
        <v>1</v>
      </c>
      <c r="AE276" s="13">
        <f t="shared" si="93"/>
        <v>1</v>
      </c>
      <c r="AH276">
        <f t="shared" si="94"/>
        <v>4.8</v>
      </c>
      <c r="AI276">
        <f t="shared" si="95"/>
        <v>1244.5874999999999</v>
      </c>
      <c r="AJ276" s="11">
        <f t="shared" si="96"/>
        <v>0.25</v>
      </c>
      <c r="AK276">
        <f t="shared" si="97"/>
        <v>8760.0240000000013</v>
      </c>
      <c r="AL276">
        <f t="shared" si="98"/>
        <v>5974.0199999999995</v>
      </c>
      <c r="AM276">
        <f t="shared" si="99"/>
        <v>2786.0040000000017</v>
      </c>
    </row>
    <row r="277" spans="1:39" x14ac:dyDescent="0.25">
      <c r="A277" t="s">
        <v>90</v>
      </c>
      <c r="B277" s="4">
        <v>45187</v>
      </c>
      <c r="C277" s="4">
        <v>45207</v>
      </c>
      <c r="D277" s="13">
        <f t="shared" si="80"/>
        <v>20</v>
      </c>
      <c r="E277" s="6" t="s">
        <v>647</v>
      </c>
      <c r="F277" t="s">
        <v>654</v>
      </c>
      <c r="G277" t="s">
        <v>680</v>
      </c>
      <c r="H277" t="s">
        <v>705</v>
      </c>
      <c r="I277" t="s">
        <v>711</v>
      </c>
      <c r="J277" t="s">
        <v>717</v>
      </c>
      <c r="K277" t="s">
        <v>727</v>
      </c>
      <c r="L277" t="s">
        <v>809</v>
      </c>
      <c r="M277" s="8">
        <v>825.64</v>
      </c>
      <c r="N277" s="8">
        <v>1108.43</v>
      </c>
      <c r="O277" s="8">
        <f t="shared" si="81"/>
        <v>1108.43</v>
      </c>
      <c r="P277" s="11">
        <v>0.114</v>
      </c>
      <c r="Q277" s="13">
        <v>7</v>
      </c>
      <c r="R277" s="8">
        <f t="shared" si="82"/>
        <v>6874.4828600000001</v>
      </c>
      <c r="S277" s="8">
        <f t="shared" si="83"/>
        <v>5779.48</v>
      </c>
      <c r="T277" s="8">
        <f t="shared" si="84"/>
        <v>1095.0028600000005</v>
      </c>
      <c r="U277" s="11">
        <f t="shared" si="85"/>
        <v>0.15928512475773349</v>
      </c>
      <c r="V277" s="17">
        <v>45653</v>
      </c>
      <c r="W277" s="4" t="str">
        <f t="shared" si="86"/>
        <v>Q3-2023</v>
      </c>
      <c r="X277" t="str">
        <f t="shared" si="87"/>
        <v>Asia → India → Delhi</v>
      </c>
      <c r="Y277" t="str">
        <f t="shared" si="88"/>
        <v>Medium</v>
      </c>
      <c r="Z277" s="20">
        <f t="shared" si="89"/>
        <v>45170</v>
      </c>
      <c r="AA277" s="4">
        <f t="array" ref="AA277">MIN(IF($F$2:$F$633=F277,$Z$2:$Z$633))</f>
        <v>44927</v>
      </c>
      <c r="AB277">
        <f t="shared" si="90"/>
        <v>8</v>
      </c>
      <c r="AC277">
        <f t="shared" si="91"/>
        <v>0</v>
      </c>
      <c r="AD277">
        <f t="shared" si="92"/>
        <v>0</v>
      </c>
      <c r="AE277" s="13">
        <f t="shared" si="93"/>
        <v>0</v>
      </c>
      <c r="AH277">
        <f t="shared" si="94"/>
        <v>8.4</v>
      </c>
      <c r="AI277">
        <f t="shared" si="95"/>
        <v>949.48599999999988</v>
      </c>
      <c r="AJ277" s="11">
        <f t="shared" si="96"/>
        <v>0.114</v>
      </c>
      <c r="AK277">
        <f t="shared" si="97"/>
        <v>8249.3794320000015</v>
      </c>
      <c r="AL277">
        <f t="shared" si="98"/>
        <v>7975.6823999999997</v>
      </c>
      <c r="AM277">
        <f t="shared" si="99"/>
        <v>273.69703200000185</v>
      </c>
    </row>
    <row r="278" spans="1:39" x14ac:dyDescent="0.25">
      <c r="A278" t="s">
        <v>254</v>
      </c>
      <c r="B278" s="4">
        <v>45188</v>
      </c>
      <c r="C278" s="4">
        <v>45207</v>
      </c>
      <c r="D278" s="13">
        <f t="shared" si="80"/>
        <v>19</v>
      </c>
      <c r="E278" s="6" t="s">
        <v>647</v>
      </c>
      <c r="F278" t="s">
        <v>654</v>
      </c>
      <c r="G278" t="s">
        <v>668</v>
      </c>
      <c r="H278" t="s">
        <v>702</v>
      </c>
      <c r="I278" t="s">
        <v>711</v>
      </c>
      <c r="J278" t="s">
        <v>713</v>
      </c>
      <c r="K278" t="s">
        <v>728</v>
      </c>
      <c r="L278" t="s">
        <v>974</v>
      </c>
      <c r="M278" s="8">
        <v>385.32</v>
      </c>
      <c r="N278" s="8">
        <v>606.76</v>
      </c>
      <c r="O278" s="8">
        <f t="shared" si="81"/>
        <v>606.76</v>
      </c>
      <c r="P278" s="11">
        <v>8.5999999999999993E-2</v>
      </c>
      <c r="Q278" s="13">
        <v>8</v>
      </c>
      <c r="R278" s="8">
        <f t="shared" si="82"/>
        <v>4436.6291200000005</v>
      </c>
      <c r="S278" s="8">
        <f t="shared" si="83"/>
        <v>3082.56</v>
      </c>
      <c r="T278" s="8">
        <f t="shared" si="84"/>
        <v>1354.0691200000006</v>
      </c>
      <c r="U278" s="11">
        <f t="shared" si="85"/>
        <v>0.30520223425842735</v>
      </c>
      <c r="V278" s="17">
        <v>45646</v>
      </c>
      <c r="W278" s="4" t="str">
        <f t="shared" si="86"/>
        <v>Q3-2023</v>
      </c>
      <c r="X278" t="str">
        <f t="shared" si="87"/>
        <v>Asia → India → Bengaluru</v>
      </c>
      <c r="Y278" t="str">
        <f t="shared" si="88"/>
        <v>Low</v>
      </c>
      <c r="Z278" s="20">
        <f t="shared" si="89"/>
        <v>45170</v>
      </c>
      <c r="AA278" s="4">
        <f t="array" ref="AA278">MIN(IF($F$2:$F$633=F278,$Z$2:$Z$633))</f>
        <v>44927</v>
      </c>
      <c r="AB278">
        <f t="shared" si="90"/>
        <v>8</v>
      </c>
      <c r="AC278">
        <f t="shared" si="91"/>
        <v>0</v>
      </c>
      <c r="AD278">
        <f t="shared" si="92"/>
        <v>0</v>
      </c>
      <c r="AE278" s="13">
        <f t="shared" si="93"/>
        <v>0</v>
      </c>
      <c r="AH278">
        <f t="shared" si="94"/>
        <v>9.6</v>
      </c>
      <c r="AI278">
        <f t="shared" si="95"/>
        <v>443.11799999999994</v>
      </c>
      <c r="AJ278" s="11">
        <f t="shared" si="96"/>
        <v>8.5999999999999993E-2</v>
      </c>
      <c r="AK278">
        <f t="shared" si="97"/>
        <v>5323.9549440000001</v>
      </c>
      <c r="AL278">
        <f t="shared" si="98"/>
        <v>4253.9327999999996</v>
      </c>
      <c r="AM278">
        <f t="shared" si="99"/>
        <v>1070.0221440000005</v>
      </c>
    </row>
    <row r="279" spans="1:39" x14ac:dyDescent="0.25">
      <c r="A279" t="s">
        <v>456</v>
      </c>
      <c r="B279" s="4">
        <v>45189</v>
      </c>
      <c r="C279" s="4">
        <v>45197</v>
      </c>
      <c r="D279" s="13">
        <f t="shared" si="80"/>
        <v>8</v>
      </c>
      <c r="E279" s="6" t="s">
        <v>647</v>
      </c>
      <c r="F279" t="s">
        <v>654</v>
      </c>
      <c r="G279" t="s">
        <v>680</v>
      </c>
      <c r="H279" t="s">
        <v>701</v>
      </c>
      <c r="I279" t="s">
        <v>711</v>
      </c>
      <c r="J279" t="s">
        <v>717</v>
      </c>
      <c r="K279" t="s">
        <v>733</v>
      </c>
      <c r="L279" t="s">
        <v>1175</v>
      </c>
      <c r="M279" s="8">
        <v>1362.06</v>
      </c>
      <c r="N279" s="8">
        <v>3398.37</v>
      </c>
      <c r="O279" s="8">
        <f t="shared" si="81"/>
        <v>3398.37</v>
      </c>
      <c r="P279" s="11">
        <v>0.157</v>
      </c>
      <c r="Q279" s="13">
        <v>11</v>
      </c>
      <c r="R279" s="8">
        <f t="shared" si="82"/>
        <v>31513.085009999999</v>
      </c>
      <c r="S279" s="8">
        <f t="shared" si="83"/>
        <v>14982.66</v>
      </c>
      <c r="T279" s="8">
        <f t="shared" si="84"/>
        <v>16530.425009999999</v>
      </c>
      <c r="U279" s="11">
        <f t="shared" si="85"/>
        <v>0.52455749745714919</v>
      </c>
      <c r="V279" s="17">
        <v>45650</v>
      </c>
      <c r="W279" s="4" t="str">
        <f t="shared" si="86"/>
        <v>Q3-2023</v>
      </c>
      <c r="X279" t="str">
        <f t="shared" si="87"/>
        <v>Asia → India → Delhi</v>
      </c>
      <c r="Y279" t="str">
        <f t="shared" si="88"/>
        <v>High</v>
      </c>
      <c r="Z279" s="20">
        <f t="shared" si="89"/>
        <v>45170</v>
      </c>
      <c r="AA279" s="4">
        <f t="array" ref="AA279">MIN(IF($F$2:$F$633=F279,$Z$2:$Z$633))</f>
        <v>44927</v>
      </c>
      <c r="AB279">
        <f t="shared" si="90"/>
        <v>8</v>
      </c>
      <c r="AC279">
        <f t="shared" si="91"/>
        <v>0</v>
      </c>
      <c r="AD279">
        <f t="shared" si="92"/>
        <v>0</v>
      </c>
      <c r="AE279" s="13">
        <f t="shared" si="93"/>
        <v>0</v>
      </c>
      <c r="AH279">
        <f t="shared" si="94"/>
        <v>13.2</v>
      </c>
      <c r="AI279">
        <f t="shared" si="95"/>
        <v>1566.3689999999999</v>
      </c>
      <c r="AJ279" s="11">
        <f t="shared" si="96"/>
        <v>0.157</v>
      </c>
      <c r="AK279">
        <f t="shared" si="97"/>
        <v>37815.702011999994</v>
      </c>
      <c r="AL279">
        <f t="shared" si="98"/>
        <v>20676.070799999998</v>
      </c>
      <c r="AM279">
        <f t="shared" si="99"/>
        <v>17139.631211999997</v>
      </c>
    </row>
    <row r="280" spans="1:39" x14ac:dyDescent="0.25">
      <c r="A280" t="s">
        <v>270</v>
      </c>
      <c r="B280" s="4">
        <v>45204</v>
      </c>
      <c r="C280" s="4">
        <v>45205</v>
      </c>
      <c r="D280" s="13">
        <f t="shared" si="80"/>
        <v>1</v>
      </c>
      <c r="E280" s="6" t="s">
        <v>647</v>
      </c>
      <c r="F280" t="s">
        <v>654</v>
      </c>
      <c r="G280" t="s">
        <v>668</v>
      </c>
      <c r="H280" t="s">
        <v>703</v>
      </c>
      <c r="I280" t="s">
        <v>708</v>
      </c>
      <c r="J280" t="s">
        <v>714</v>
      </c>
      <c r="K280" t="s">
        <v>727</v>
      </c>
      <c r="L280" t="s">
        <v>990</v>
      </c>
      <c r="M280" s="8">
        <v>1470.26</v>
      </c>
      <c r="N280" s="8">
        <v>2562.5500000000002</v>
      </c>
      <c r="O280" s="8">
        <f t="shared" si="81"/>
        <v>2562.5500000000002</v>
      </c>
      <c r="P280" s="11">
        <v>0.17299999999999999</v>
      </c>
      <c r="Q280" s="13">
        <v>9</v>
      </c>
      <c r="R280" s="8">
        <f t="shared" si="82"/>
        <v>19073.059649999999</v>
      </c>
      <c r="S280" s="8">
        <f t="shared" si="83"/>
        <v>13232.34</v>
      </c>
      <c r="T280" s="8">
        <f t="shared" si="84"/>
        <v>5840.7196499999991</v>
      </c>
      <c r="U280" s="11">
        <f t="shared" si="85"/>
        <v>0.30622877279157462</v>
      </c>
      <c r="V280" s="17">
        <v>45626</v>
      </c>
      <c r="W280" s="4" t="str">
        <f t="shared" si="86"/>
        <v>Q4-2023</v>
      </c>
      <c r="X280" t="str">
        <f t="shared" si="87"/>
        <v>Asia → India → Bengaluru</v>
      </c>
      <c r="Y280" t="str">
        <f t="shared" si="88"/>
        <v>High</v>
      </c>
      <c r="Z280" s="20">
        <f t="shared" si="89"/>
        <v>45200</v>
      </c>
      <c r="AA280" s="4">
        <f t="array" ref="AA280">MIN(IF($F$2:$F$633=F280,$Z$2:$Z$633))</f>
        <v>44927</v>
      </c>
      <c r="AB280">
        <f t="shared" si="90"/>
        <v>9</v>
      </c>
      <c r="AC280">
        <f t="shared" si="91"/>
        <v>1</v>
      </c>
      <c r="AD280">
        <f t="shared" si="92"/>
        <v>0</v>
      </c>
      <c r="AE280" s="13">
        <f t="shared" si="93"/>
        <v>1</v>
      </c>
      <c r="AH280">
        <f t="shared" si="94"/>
        <v>10.799999999999999</v>
      </c>
      <c r="AI280">
        <f t="shared" si="95"/>
        <v>1690.7989999999998</v>
      </c>
      <c r="AJ280" s="11">
        <f t="shared" si="96"/>
        <v>0.17299999999999999</v>
      </c>
      <c r="AK280">
        <f t="shared" si="97"/>
        <v>22887.671579999998</v>
      </c>
      <c r="AL280">
        <f t="shared" si="98"/>
        <v>18260.629199999996</v>
      </c>
      <c r="AM280">
        <f t="shared" si="99"/>
        <v>4627.0423800000026</v>
      </c>
    </row>
    <row r="281" spans="1:39" x14ac:dyDescent="0.25">
      <c r="A281" t="s">
        <v>183</v>
      </c>
      <c r="B281" s="4">
        <v>45206</v>
      </c>
      <c r="C281" s="4">
        <v>45222</v>
      </c>
      <c r="D281" s="13">
        <f t="shared" si="80"/>
        <v>16</v>
      </c>
      <c r="E281" s="6" t="s">
        <v>647</v>
      </c>
      <c r="F281" t="s">
        <v>654</v>
      </c>
      <c r="G281" t="s">
        <v>696</v>
      </c>
      <c r="H281" t="s">
        <v>704</v>
      </c>
      <c r="I281" t="s">
        <v>707</v>
      </c>
      <c r="J281" t="s">
        <v>715</v>
      </c>
      <c r="K281" t="s">
        <v>732</v>
      </c>
      <c r="L281" t="s">
        <v>902</v>
      </c>
      <c r="M281" s="8">
        <v>906.81</v>
      </c>
      <c r="N281" s="8">
        <v>1395.56</v>
      </c>
      <c r="O281" s="8">
        <f t="shared" si="81"/>
        <v>1395.56</v>
      </c>
      <c r="P281" s="11">
        <v>0.185</v>
      </c>
      <c r="Q281" s="13">
        <v>6</v>
      </c>
      <c r="R281" s="8">
        <f t="shared" si="82"/>
        <v>6824.2884000000004</v>
      </c>
      <c r="S281" s="8">
        <f t="shared" si="83"/>
        <v>5440.86</v>
      </c>
      <c r="T281" s="8">
        <f t="shared" si="84"/>
        <v>1383.4284000000007</v>
      </c>
      <c r="U281" s="11">
        <f t="shared" si="85"/>
        <v>0.20272126834498974</v>
      </c>
      <c r="V281" s="17">
        <v>45653</v>
      </c>
      <c r="W281" s="4" t="str">
        <f t="shared" si="86"/>
        <v>Q4-2023</v>
      </c>
      <c r="X281" t="str">
        <f t="shared" si="87"/>
        <v>Asia → India → Hyderabad</v>
      </c>
      <c r="Y281" t="str">
        <f t="shared" si="88"/>
        <v>Medium</v>
      </c>
      <c r="Z281" s="20">
        <f t="shared" si="89"/>
        <v>45200</v>
      </c>
      <c r="AA281" s="4">
        <f t="array" ref="AA281">MIN(IF($F$2:$F$633=F281,$Z$2:$Z$633))</f>
        <v>44927</v>
      </c>
      <c r="AB281">
        <f t="shared" si="90"/>
        <v>9</v>
      </c>
      <c r="AC281">
        <f t="shared" si="91"/>
        <v>0</v>
      </c>
      <c r="AD281">
        <f t="shared" si="92"/>
        <v>0</v>
      </c>
      <c r="AE281" s="13">
        <f t="shared" si="93"/>
        <v>0</v>
      </c>
      <c r="AH281">
        <f t="shared" si="94"/>
        <v>7.1999999999999993</v>
      </c>
      <c r="AI281">
        <f t="shared" si="95"/>
        <v>1042.8314999999998</v>
      </c>
      <c r="AJ281" s="11">
        <f t="shared" si="96"/>
        <v>0.185</v>
      </c>
      <c r="AK281">
        <f t="shared" si="97"/>
        <v>8189.1460799999986</v>
      </c>
      <c r="AL281">
        <f t="shared" si="98"/>
        <v>7508.3867999999975</v>
      </c>
      <c r="AM281">
        <f t="shared" si="99"/>
        <v>680.75928000000113</v>
      </c>
    </row>
    <row r="282" spans="1:39" x14ac:dyDescent="0.25">
      <c r="A282" t="s">
        <v>293</v>
      </c>
      <c r="B282" s="4">
        <v>45229</v>
      </c>
      <c r="C282" s="4">
        <v>45244</v>
      </c>
      <c r="D282" s="13">
        <f t="shared" si="80"/>
        <v>15</v>
      </c>
      <c r="E282" s="6" t="s">
        <v>647</v>
      </c>
      <c r="F282" t="s">
        <v>654</v>
      </c>
      <c r="G282" t="s">
        <v>668</v>
      </c>
      <c r="H282" t="s">
        <v>701</v>
      </c>
      <c r="I282" t="s">
        <v>708</v>
      </c>
      <c r="J282" t="s">
        <v>721</v>
      </c>
      <c r="K282" t="s">
        <v>731</v>
      </c>
      <c r="L282" t="s">
        <v>1013</v>
      </c>
      <c r="M282" s="8">
        <v>953.46</v>
      </c>
      <c r="N282" s="8">
        <v>2066.75</v>
      </c>
      <c r="O282" s="8">
        <f t="shared" si="81"/>
        <v>2066.75</v>
      </c>
      <c r="P282" s="11">
        <v>0.13800000000000001</v>
      </c>
      <c r="Q282" s="13">
        <v>5</v>
      </c>
      <c r="R282" s="8">
        <f t="shared" si="82"/>
        <v>8907.6924999999992</v>
      </c>
      <c r="S282" s="8">
        <f t="shared" si="83"/>
        <v>4767.3</v>
      </c>
      <c r="T282" s="8">
        <f t="shared" si="84"/>
        <v>4140.392499999999</v>
      </c>
      <c r="U282" s="11">
        <f t="shared" si="85"/>
        <v>0.46481089238318446</v>
      </c>
      <c r="V282" s="17">
        <v>45630</v>
      </c>
      <c r="W282" s="4" t="str">
        <f t="shared" si="86"/>
        <v>Q4-2023</v>
      </c>
      <c r="X282" t="str">
        <f t="shared" si="87"/>
        <v>Asia → India → Bengaluru</v>
      </c>
      <c r="Y282" t="str">
        <f t="shared" si="88"/>
        <v>High</v>
      </c>
      <c r="Z282" s="20">
        <f t="shared" si="89"/>
        <v>45200</v>
      </c>
      <c r="AA282" s="4">
        <f t="array" ref="AA282">MIN(IF($F$2:$F$633=F282,$Z$2:$Z$633))</f>
        <v>44927</v>
      </c>
      <c r="AB282">
        <f t="shared" si="90"/>
        <v>9</v>
      </c>
      <c r="AC282">
        <f t="shared" si="91"/>
        <v>0</v>
      </c>
      <c r="AD282">
        <f t="shared" si="92"/>
        <v>0</v>
      </c>
      <c r="AE282" s="13">
        <f t="shared" si="93"/>
        <v>0</v>
      </c>
      <c r="AH282">
        <f t="shared" si="94"/>
        <v>6</v>
      </c>
      <c r="AI282">
        <f t="shared" si="95"/>
        <v>1096.479</v>
      </c>
      <c r="AJ282" s="11">
        <f t="shared" si="96"/>
        <v>0.13800000000000001</v>
      </c>
      <c r="AK282">
        <f t="shared" si="97"/>
        <v>10689.231</v>
      </c>
      <c r="AL282">
        <f t="shared" si="98"/>
        <v>6578.8739999999998</v>
      </c>
      <c r="AM282">
        <f t="shared" si="99"/>
        <v>4110.357</v>
      </c>
    </row>
    <row r="283" spans="1:39" x14ac:dyDescent="0.25">
      <c r="A283" t="s">
        <v>639</v>
      </c>
      <c r="B283" s="4">
        <v>45249</v>
      </c>
      <c r="C283" s="4">
        <v>45272</v>
      </c>
      <c r="D283" s="13">
        <f t="shared" si="80"/>
        <v>23</v>
      </c>
      <c r="E283" s="6" t="s">
        <v>647</v>
      </c>
      <c r="F283" t="s">
        <v>654</v>
      </c>
      <c r="G283" t="s">
        <v>680</v>
      </c>
      <c r="H283" t="s">
        <v>705</v>
      </c>
      <c r="I283" t="s">
        <v>711</v>
      </c>
      <c r="J283" t="s">
        <v>712</v>
      </c>
      <c r="K283" t="s">
        <v>729</v>
      </c>
      <c r="L283" t="s">
        <v>1357</v>
      </c>
      <c r="M283" s="8">
        <v>1349.04</v>
      </c>
      <c r="N283" s="8">
        <v>2636.6</v>
      </c>
      <c r="O283" s="8">
        <f t="shared" si="81"/>
        <v>2636.6</v>
      </c>
      <c r="P283" s="11">
        <v>0.114</v>
      </c>
      <c r="Q283" s="13">
        <v>14</v>
      </c>
      <c r="R283" s="8">
        <f t="shared" si="82"/>
        <v>32704.386400000003</v>
      </c>
      <c r="S283" s="8">
        <f t="shared" si="83"/>
        <v>18886.559999999998</v>
      </c>
      <c r="T283" s="8">
        <f t="shared" si="84"/>
        <v>13817.826400000005</v>
      </c>
      <c r="U283" s="11">
        <f t="shared" si="85"/>
        <v>0.42250682312143928</v>
      </c>
      <c r="V283" s="17">
        <v>45607</v>
      </c>
      <c r="W283" s="4" t="str">
        <f t="shared" si="86"/>
        <v>Q4-2023</v>
      </c>
      <c r="X283" t="str">
        <f t="shared" si="87"/>
        <v>Asia → India → Delhi</v>
      </c>
      <c r="Y283" t="str">
        <f t="shared" si="88"/>
        <v>High</v>
      </c>
      <c r="Z283" s="20">
        <f t="shared" si="89"/>
        <v>45231</v>
      </c>
      <c r="AA283" s="4">
        <f t="array" ref="AA283">MIN(IF($F$2:$F$633=F283,$Z$2:$Z$633))</f>
        <v>44927</v>
      </c>
      <c r="AB283">
        <f t="shared" si="90"/>
        <v>10</v>
      </c>
      <c r="AC283">
        <f t="shared" si="91"/>
        <v>0</v>
      </c>
      <c r="AD283">
        <f t="shared" si="92"/>
        <v>0</v>
      </c>
      <c r="AE283" s="13">
        <f t="shared" si="93"/>
        <v>0</v>
      </c>
      <c r="AH283">
        <f t="shared" si="94"/>
        <v>16.8</v>
      </c>
      <c r="AI283">
        <f t="shared" si="95"/>
        <v>1551.3959999999997</v>
      </c>
      <c r="AJ283" s="11">
        <f t="shared" si="96"/>
        <v>0.114</v>
      </c>
      <c r="AK283">
        <f t="shared" si="97"/>
        <v>39245.263679999996</v>
      </c>
      <c r="AL283">
        <f t="shared" si="98"/>
        <v>26063.452799999995</v>
      </c>
      <c r="AM283">
        <f t="shared" si="99"/>
        <v>13181.810880000001</v>
      </c>
    </row>
    <row r="284" spans="1:39" x14ac:dyDescent="0.25">
      <c r="A284" t="s">
        <v>252</v>
      </c>
      <c r="B284" s="4">
        <v>45258</v>
      </c>
      <c r="C284" s="4">
        <v>45267</v>
      </c>
      <c r="D284" s="13">
        <f t="shared" si="80"/>
        <v>9</v>
      </c>
      <c r="E284" s="6" t="s">
        <v>647</v>
      </c>
      <c r="F284" t="s">
        <v>654</v>
      </c>
      <c r="G284" t="s">
        <v>680</v>
      </c>
      <c r="H284" t="s">
        <v>706</v>
      </c>
      <c r="I284" t="s">
        <v>709</v>
      </c>
      <c r="J284" t="s">
        <v>716</v>
      </c>
      <c r="K284" t="s">
        <v>730</v>
      </c>
      <c r="L284" t="s">
        <v>972</v>
      </c>
      <c r="M284" s="8">
        <v>699.33</v>
      </c>
      <c r="N284" s="8">
        <v>873.75</v>
      </c>
      <c r="O284" s="8">
        <f t="shared" si="81"/>
        <v>873.75</v>
      </c>
      <c r="P284" s="11">
        <v>0.23499999999999999</v>
      </c>
      <c r="Q284" s="13">
        <v>10</v>
      </c>
      <c r="R284" s="8">
        <f t="shared" si="82"/>
        <v>6684.1875</v>
      </c>
      <c r="S284" s="8">
        <f t="shared" si="83"/>
        <v>6993.3</v>
      </c>
      <c r="T284" s="8">
        <f t="shared" si="84"/>
        <v>-309.11250000000018</v>
      </c>
      <c r="U284" s="11">
        <f t="shared" si="85"/>
        <v>-4.6245336475076469E-2</v>
      </c>
      <c r="V284" s="17">
        <v>45602</v>
      </c>
      <c r="W284" s="4" t="str">
        <f t="shared" si="86"/>
        <v>Q4-2023</v>
      </c>
      <c r="X284" t="str">
        <f t="shared" si="87"/>
        <v>Asia → India → Delhi</v>
      </c>
      <c r="Y284" t="str">
        <f t="shared" si="88"/>
        <v>Medium</v>
      </c>
      <c r="Z284" s="20">
        <f t="shared" si="89"/>
        <v>45231</v>
      </c>
      <c r="AA284" s="4">
        <f t="array" ref="AA284">MIN(IF($F$2:$F$633=F284,$Z$2:$Z$633))</f>
        <v>44927</v>
      </c>
      <c r="AB284">
        <f t="shared" si="90"/>
        <v>10</v>
      </c>
      <c r="AC284">
        <f t="shared" si="91"/>
        <v>0</v>
      </c>
      <c r="AD284">
        <f t="shared" si="92"/>
        <v>1</v>
      </c>
      <c r="AE284" s="13">
        <f t="shared" si="93"/>
        <v>0</v>
      </c>
      <c r="AH284">
        <f t="shared" si="94"/>
        <v>12</v>
      </c>
      <c r="AI284">
        <f t="shared" si="95"/>
        <v>804.22950000000003</v>
      </c>
      <c r="AJ284" s="11">
        <f t="shared" si="96"/>
        <v>0.23499999999999999</v>
      </c>
      <c r="AK284">
        <f t="shared" si="97"/>
        <v>8021.0250000000005</v>
      </c>
      <c r="AL284">
        <f t="shared" si="98"/>
        <v>9650.7540000000008</v>
      </c>
      <c r="AM284">
        <f t="shared" si="99"/>
        <v>-1629.7290000000003</v>
      </c>
    </row>
    <row r="285" spans="1:39" x14ac:dyDescent="0.25">
      <c r="A285" t="s">
        <v>481</v>
      </c>
      <c r="B285" s="4">
        <v>45278</v>
      </c>
      <c r="C285" s="4">
        <v>45305</v>
      </c>
      <c r="D285" s="13">
        <f t="shared" si="80"/>
        <v>27</v>
      </c>
      <c r="E285" s="6" t="s">
        <v>647</v>
      </c>
      <c r="F285" t="s">
        <v>654</v>
      </c>
      <c r="G285" t="s">
        <v>691</v>
      </c>
      <c r="H285" t="s">
        <v>704</v>
      </c>
      <c r="I285" t="s">
        <v>710</v>
      </c>
      <c r="J285" t="s">
        <v>726</v>
      </c>
      <c r="K285" t="s">
        <v>729</v>
      </c>
      <c r="L285" t="s">
        <v>1200</v>
      </c>
      <c r="M285" s="8">
        <v>1408.3</v>
      </c>
      <c r="N285" s="8">
        <v>2193.13</v>
      </c>
      <c r="O285" s="8">
        <f t="shared" si="81"/>
        <v>2193.13</v>
      </c>
      <c r="P285" s="11">
        <v>7.0999999999999994E-2</v>
      </c>
      <c r="Q285" s="13">
        <v>7</v>
      </c>
      <c r="R285" s="8">
        <f t="shared" si="82"/>
        <v>14261.92439</v>
      </c>
      <c r="S285" s="8">
        <f t="shared" si="83"/>
        <v>9858.1</v>
      </c>
      <c r="T285" s="8">
        <f t="shared" si="84"/>
        <v>4403.8243899999998</v>
      </c>
      <c r="U285" s="11">
        <f t="shared" si="85"/>
        <v>0.30878191957656281</v>
      </c>
      <c r="V285" s="17">
        <v>45579</v>
      </c>
      <c r="W285" s="4" t="str">
        <f t="shared" si="86"/>
        <v>Q4-2023</v>
      </c>
      <c r="X285" t="str">
        <f t="shared" si="87"/>
        <v>Asia → India → Mumbai</v>
      </c>
      <c r="Y285" t="str">
        <f t="shared" si="88"/>
        <v>High</v>
      </c>
      <c r="Z285" s="20">
        <f t="shared" si="89"/>
        <v>45261</v>
      </c>
      <c r="AA285" s="4">
        <f t="array" ref="AA285">MIN(IF($F$2:$F$633=F285,$Z$2:$Z$633))</f>
        <v>44927</v>
      </c>
      <c r="AB285">
        <f t="shared" si="90"/>
        <v>11</v>
      </c>
      <c r="AC285">
        <f t="shared" si="91"/>
        <v>0</v>
      </c>
      <c r="AD285">
        <f t="shared" si="92"/>
        <v>0</v>
      </c>
      <c r="AE285" s="13">
        <f t="shared" si="93"/>
        <v>0</v>
      </c>
      <c r="AH285">
        <f t="shared" si="94"/>
        <v>8.4</v>
      </c>
      <c r="AI285">
        <f t="shared" si="95"/>
        <v>1619.5449999999998</v>
      </c>
      <c r="AJ285" s="11">
        <f t="shared" si="96"/>
        <v>7.0999999999999994E-2</v>
      </c>
      <c r="AK285">
        <f t="shared" si="97"/>
        <v>17114.309268000001</v>
      </c>
      <c r="AL285">
        <f t="shared" si="98"/>
        <v>13604.178</v>
      </c>
      <c r="AM285">
        <f t="shared" si="99"/>
        <v>3510.131268000001</v>
      </c>
    </row>
    <row r="286" spans="1:39" x14ac:dyDescent="0.25">
      <c r="A286" t="s">
        <v>230</v>
      </c>
      <c r="B286" s="4">
        <v>45280</v>
      </c>
      <c r="C286" s="4">
        <v>45305</v>
      </c>
      <c r="D286" s="13">
        <f t="shared" si="80"/>
        <v>25</v>
      </c>
      <c r="E286" s="6" t="s">
        <v>647</v>
      </c>
      <c r="F286" t="s">
        <v>654</v>
      </c>
      <c r="G286" t="s">
        <v>691</v>
      </c>
      <c r="H286" t="s">
        <v>703</v>
      </c>
      <c r="I286" t="s">
        <v>709</v>
      </c>
      <c r="J286" t="s">
        <v>716</v>
      </c>
      <c r="K286" t="s">
        <v>732</v>
      </c>
      <c r="L286" t="s">
        <v>950</v>
      </c>
      <c r="M286" s="8">
        <v>1085.6099999999999</v>
      </c>
      <c r="N286" s="8">
        <v>1246.4100000000001</v>
      </c>
      <c r="O286" s="8">
        <f t="shared" si="81"/>
        <v>1246.4100000000001</v>
      </c>
      <c r="P286" s="11">
        <v>0.113</v>
      </c>
      <c r="Q286" s="13">
        <v>7</v>
      </c>
      <c r="R286" s="8">
        <f t="shared" si="82"/>
        <v>7738.9596900000006</v>
      </c>
      <c r="S286" s="8">
        <f t="shared" si="83"/>
        <v>7599.2699999999995</v>
      </c>
      <c r="T286" s="8">
        <f t="shared" si="84"/>
        <v>139.68969000000106</v>
      </c>
      <c r="U286" s="11">
        <f t="shared" si="85"/>
        <v>1.8050189637310417E-2</v>
      </c>
      <c r="V286" s="17">
        <v>45584</v>
      </c>
      <c r="W286" s="4" t="str">
        <f t="shared" si="86"/>
        <v>Q4-2023</v>
      </c>
      <c r="X286" t="str">
        <f t="shared" si="87"/>
        <v>Asia → India → Mumbai</v>
      </c>
      <c r="Y286" t="str">
        <f t="shared" si="88"/>
        <v>Medium</v>
      </c>
      <c r="Z286" s="20">
        <f t="shared" si="89"/>
        <v>45261</v>
      </c>
      <c r="AA286" s="4">
        <f t="array" ref="AA286">MIN(IF($F$2:$F$633=F286,$Z$2:$Z$633))</f>
        <v>44927</v>
      </c>
      <c r="AB286">
        <f t="shared" si="90"/>
        <v>11</v>
      </c>
      <c r="AC286">
        <f t="shared" si="91"/>
        <v>0</v>
      </c>
      <c r="AD286">
        <f t="shared" si="92"/>
        <v>0</v>
      </c>
      <c r="AE286" s="13">
        <f t="shared" si="93"/>
        <v>0</v>
      </c>
      <c r="AH286">
        <f t="shared" si="94"/>
        <v>8.4</v>
      </c>
      <c r="AI286">
        <f t="shared" si="95"/>
        <v>1248.4514999999999</v>
      </c>
      <c r="AJ286" s="11">
        <f t="shared" si="96"/>
        <v>0.113</v>
      </c>
      <c r="AK286">
        <f t="shared" si="97"/>
        <v>9286.7516280000018</v>
      </c>
      <c r="AL286">
        <f t="shared" si="98"/>
        <v>10486.9926</v>
      </c>
      <c r="AM286">
        <f t="shared" si="99"/>
        <v>-1200.2409719999978</v>
      </c>
    </row>
    <row r="287" spans="1:39" x14ac:dyDescent="0.25">
      <c r="A287" t="s">
        <v>640</v>
      </c>
      <c r="B287" s="4">
        <v>45282</v>
      </c>
      <c r="C287" s="4">
        <v>45307</v>
      </c>
      <c r="D287" s="13">
        <f t="shared" si="80"/>
        <v>25</v>
      </c>
      <c r="E287" s="6" t="s">
        <v>647</v>
      </c>
      <c r="F287" t="s">
        <v>654</v>
      </c>
      <c r="G287" t="s">
        <v>696</v>
      </c>
      <c r="H287" t="s">
        <v>705</v>
      </c>
      <c r="I287" t="s">
        <v>707</v>
      </c>
      <c r="J287" t="s">
        <v>720</v>
      </c>
      <c r="K287" t="s">
        <v>727</v>
      </c>
      <c r="L287" t="s">
        <v>1358</v>
      </c>
      <c r="M287" s="8">
        <v>1346.81</v>
      </c>
      <c r="N287" s="8">
        <v>978.09</v>
      </c>
      <c r="O287" s="8">
        <f t="shared" si="81"/>
        <v>978.09</v>
      </c>
      <c r="P287" s="11">
        <v>0.159</v>
      </c>
      <c r="Q287" s="13">
        <v>17</v>
      </c>
      <c r="R287" s="8">
        <f t="shared" si="82"/>
        <v>13983.752729999998</v>
      </c>
      <c r="S287" s="8">
        <f t="shared" si="83"/>
        <v>22895.77</v>
      </c>
      <c r="T287" s="8">
        <f t="shared" si="84"/>
        <v>-8912.0172700000021</v>
      </c>
      <c r="U287" s="11">
        <f t="shared" si="85"/>
        <v>-0.6373122753293996</v>
      </c>
      <c r="V287" s="17">
        <v>45600</v>
      </c>
      <c r="W287" s="4" t="str">
        <f t="shared" si="86"/>
        <v>Q4-2023</v>
      </c>
      <c r="X287" t="str">
        <f t="shared" si="87"/>
        <v>Asia → India → Hyderabad</v>
      </c>
      <c r="Y287" t="str">
        <f t="shared" si="88"/>
        <v>Medium</v>
      </c>
      <c r="Z287" s="20">
        <f t="shared" si="89"/>
        <v>45261</v>
      </c>
      <c r="AA287" s="4">
        <f t="array" ref="AA287">MIN(IF($F$2:$F$633=F287,$Z$2:$Z$633))</f>
        <v>44927</v>
      </c>
      <c r="AB287">
        <f t="shared" si="90"/>
        <v>11</v>
      </c>
      <c r="AC287">
        <f t="shared" si="91"/>
        <v>0</v>
      </c>
      <c r="AD287">
        <f t="shared" si="92"/>
        <v>0</v>
      </c>
      <c r="AE287" s="13">
        <f t="shared" si="93"/>
        <v>0</v>
      </c>
      <c r="AH287">
        <f t="shared" si="94"/>
        <v>20.399999999999999</v>
      </c>
      <c r="AI287">
        <f t="shared" si="95"/>
        <v>1548.8314999999998</v>
      </c>
      <c r="AJ287" s="11">
        <f t="shared" si="96"/>
        <v>0.159</v>
      </c>
      <c r="AK287">
        <f t="shared" si="97"/>
        <v>16780.503275999999</v>
      </c>
      <c r="AL287">
        <f t="shared" si="98"/>
        <v>31596.162599999992</v>
      </c>
      <c r="AM287">
        <f t="shared" si="99"/>
        <v>-14815.659323999993</v>
      </c>
    </row>
    <row r="288" spans="1:39" x14ac:dyDescent="0.25">
      <c r="A288" t="s">
        <v>574</v>
      </c>
      <c r="B288" s="4">
        <v>45299</v>
      </c>
      <c r="C288" s="4">
        <v>45303</v>
      </c>
      <c r="D288" s="13">
        <f t="shared" si="80"/>
        <v>4</v>
      </c>
      <c r="E288" s="6" t="s">
        <v>647</v>
      </c>
      <c r="F288" t="s">
        <v>654</v>
      </c>
      <c r="G288" t="s">
        <v>668</v>
      </c>
      <c r="H288" t="s">
        <v>701</v>
      </c>
      <c r="I288" t="s">
        <v>711</v>
      </c>
      <c r="J288" t="s">
        <v>718</v>
      </c>
      <c r="K288" t="s">
        <v>728</v>
      </c>
      <c r="L288" t="s">
        <v>1292</v>
      </c>
      <c r="M288" s="8">
        <v>802.32</v>
      </c>
      <c r="N288" s="8">
        <v>602.34</v>
      </c>
      <c r="O288" s="8">
        <f t="shared" si="81"/>
        <v>602.34</v>
      </c>
      <c r="P288" s="11">
        <v>0.12</v>
      </c>
      <c r="Q288" s="13">
        <v>25</v>
      </c>
      <c r="R288" s="8">
        <f t="shared" si="82"/>
        <v>13251.48</v>
      </c>
      <c r="S288" s="8">
        <f t="shared" si="83"/>
        <v>20058</v>
      </c>
      <c r="T288" s="8">
        <f t="shared" si="84"/>
        <v>-6806.52</v>
      </c>
      <c r="U288" s="11">
        <f t="shared" si="85"/>
        <v>-0.51364224977134632</v>
      </c>
      <c r="V288" s="17">
        <v>45568</v>
      </c>
      <c r="W288" s="4" t="str">
        <f t="shared" si="86"/>
        <v>Q1-2024</v>
      </c>
      <c r="X288" t="str">
        <f t="shared" si="87"/>
        <v>Asia → India → Bengaluru</v>
      </c>
      <c r="Y288" t="str">
        <f t="shared" si="88"/>
        <v>Low</v>
      </c>
      <c r="Z288" s="20">
        <f t="shared" si="89"/>
        <v>45292</v>
      </c>
      <c r="AA288" s="4">
        <f t="array" ref="AA288">MIN(IF($F$2:$F$633=F288,$Z$2:$Z$633))</f>
        <v>44927</v>
      </c>
      <c r="AB288">
        <f t="shared" si="90"/>
        <v>12</v>
      </c>
      <c r="AC288">
        <f t="shared" si="91"/>
        <v>1</v>
      </c>
      <c r="AD288">
        <f t="shared" si="92"/>
        <v>0</v>
      </c>
      <c r="AE288" s="13">
        <f t="shared" si="93"/>
        <v>1</v>
      </c>
      <c r="AH288">
        <f t="shared" si="94"/>
        <v>30</v>
      </c>
      <c r="AI288">
        <f t="shared" si="95"/>
        <v>922.66800000000001</v>
      </c>
      <c r="AJ288" s="11">
        <f t="shared" si="96"/>
        <v>0.12</v>
      </c>
      <c r="AK288">
        <f t="shared" si="97"/>
        <v>15901.776</v>
      </c>
      <c r="AL288">
        <f t="shared" si="98"/>
        <v>27680.04</v>
      </c>
      <c r="AM288">
        <f t="shared" si="99"/>
        <v>-11778.264000000001</v>
      </c>
    </row>
    <row r="289" spans="1:39" x14ac:dyDescent="0.25">
      <c r="A289" t="s">
        <v>340</v>
      </c>
      <c r="B289" s="4">
        <v>45303</v>
      </c>
      <c r="C289" s="4">
        <v>45320</v>
      </c>
      <c r="D289" s="13">
        <f t="shared" si="80"/>
        <v>17</v>
      </c>
      <c r="E289" s="6" t="s">
        <v>647</v>
      </c>
      <c r="F289" t="s">
        <v>654</v>
      </c>
      <c r="G289" t="s">
        <v>696</v>
      </c>
      <c r="H289" t="s">
        <v>705</v>
      </c>
      <c r="I289" t="s">
        <v>711</v>
      </c>
      <c r="J289" t="s">
        <v>717</v>
      </c>
      <c r="K289" t="s">
        <v>727</v>
      </c>
      <c r="L289" t="s">
        <v>1060</v>
      </c>
      <c r="M289" s="8">
        <v>310.02</v>
      </c>
      <c r="N289" s="8">
        <v>619.51</v>
      </c>
      <c r="O289" s="8">
        <f t="shared" si="81"/>
        <v>619.51</v>
      </c>
      <c r="P289" s="11">
        <v>4.2000000000000003E-2</v>
      </c>
      <c r="Q289" s="13">
        <v>4</v>
      </c>
      <c r="R289" s="8">
        <f t="shared" si="82"/>
        <v>2373.9623200000001</v>
      </c>
      <c r="S289" s="8">
        <f t="shared" si="83"/>
        <v>1240.08</v>
      </c>
      <c r="T289" s="8">
        <f t="shared" si="84"/>
        <v>1133.8823200000002</v>
      </c>
      <c r="U289" s="11">
        <f t="shared" si="85"/>
        <v>0.47763282106347843</v>
      </c>
      <c r="V289" s="17">
        <v>45549</v>
      </c>
      <c r="W289" s="4" t="str">
        <f t="shared" si="86"/>
        <v>Q1-2024</v>
      </c>
      <c r="X289" t="str">
        <f t="shared" si="87"/>
        <v>Asia → India → Hyderabad</v>
      </c>
      <c r="Y289" t="str">
        <f t="shared" si="88"/>
        <v>Low</v>
      </c>
      <c r="Z289" s="20">
        <f t="shared" si="89"/>
        <v>45292</v>
      </c>
      <c r="AA289" s="4">
        <f t="array" ref="AA289">MIN(IF($F$2:$F$633=F289,$Z$2:$Z$633))</f>
        <v>44927</v>
      </c>
      <c r="AB289">
        <f t="shared" si="90"/>
        <v>12</v>
      </c>
      <c r="AC289">
        <f t="shared" si="91"/>
        <v>0</v>
      </c>
      <c r="AD289">
        <f t="shared" si="92"/>
        <v>0</v>
      </c>
      <c r="AE289" s="13">
        <f t="shared" si="93"/>
        <v>0</v>
      </c>
      <c r="AH289">
        <f t="shared" si="94"/>
        <v>4.8</v>
      </c>
      <c r="AI289">
        <f t="shared" si="95"/>
        <v>356.52299999999997</v>
      </c>
      <c r="AJ289" s="11">
        <f t="shared" si="96"/>
        <v>4.2000000000000003E-2</v>
      </c>
      <c r="AK289">
        <f t="shared" si="97"/>
        <v>2848.7547839999997</v>
      </c>
      <c r="AL289">
        <f t="shared" si="98"/>
        <v>1711.3103999999998</v>
      </c>
      <c r="AM289">
        <f t="shared" si="99"/>
        <v>1137.4443839999999</v>
      </c>
    </row>
    <row r="290" spans="1:39" x14ac:dyDescent="0.25">
      <c r="A290" t="s">
        <v>116</v>
      </c>
      <c r="B290" s="4">
        <v>45304</v>
      </c>
      <c r="C290" s="4">
        <v>45313</v>
      </c>
      <c r="D290" s="13">
        <f t="shared" si="80"/>
        <v>9</v>
      </c>
      <c r="E290" s="6" t="s">
        <v>647</v>
      </c>
      <c r="F290" t="s">
        <v>654</v>
      </c>
      <c r="G290" t="s">
        <v>691</v>
      </c>
      <c r="H290" t="s">
        <v>706</v>
      </c>
      <c r="I290" t="s">
        <v>709</v>
      </c>
      <c r="J290" t="s">
        <v>713</v>
      </c>
      <c r="K290" t="s">
        <v>727</v>
      </c>
      <c r="L290" t="s">
        <v>835</v>
      </c>
      <c r="M290" s="8">
        <v>313.60000000000002</v>
      </c>
      <c r="N290" s="8">
        <v>334.28</v>
      </c>
      <c r="O290" s="8">
        <f t="shared" si="81"/>
        <v>334.28</v>
      </c>
      <c r="P290" s="11">
        <v>0.14000000000000001</v>
      </c>
      <c r="Q290" s="13">
        <v>22</v>
      </c>
      <c r="R290" s="8">
        <f t="shared" si="82"/>
        <v>6324.5775999999996</v>
      </c>
      <c r="S290" s="8">
        <f t="shared" si="83"/>
        <v>6899.2000000000007</v>
      </c>
      <c r="T290" s="8">
        <f t="shared" si="84"/>
        <v>-574.62240000000111</v>
      </c>
      <c r="U290" s="11">
        <f t="shared" si="85"/>
        <v>-9.0855458868905517E-2</v>
      </c>
      <c r="V290" s="17">
        <v>45548</v>
      </c>
      <c r="W290" s="4" t="str">
        <f t="shared" si="86"/>
        <v>Q1-2024</v>
      </c>
      <c r="X290" t="str">
        <f t="shared" si="87"/>
        <v>Asia → India → Mumbai</v>
      </c>
      <c r="Y290" t="str">
        <f t="shared" si="88"/>
        <v>Low</v>
      </c>
      <c r="Z290" s="20">
        <f t="shared" si="89"/>
        <v>45292</v>
      </c>
      <c r="AA290" s="4">
        <f t="array" ref="AA290">MIN(IF($F$2:$F$633=F290,$Z$2:$Z$633))</f>
        <v>44927</v>
      </c>
      <c r="AB290">
        <f t="shared" si="90"/>
        <v>12</v>
      </c>
      <c r="AC290">
        <f t="shared" si="91"/>
        <v>0</v>
      </c>
      <c r="AD290">
        <f t="shared" si="92"/>
        <v>0</v>
      </c>
      <c r="AE290" s="13">
        <f t="shared" si="93"/>
        <v>0</v>
      </c>
      <c r="AH290">
        <f t="shared" si="94"/>
        <v>26.4</v>
      </c>
      <c r="AI290">
        <f t="shared" si="95"/>
        <v>360.64</v>
      </c>
      <c r="AJ290" s="11">
        <f t="shared" si="96"/>
        <v>0.14000000000000001</v>
      </c>
      <c r="AK290">
        <f t="shared" si="97"/>
        <v>7589.4931199999983</v>
      </c>
      <c r="AL290">
        <f t="shared" si="98"/>
        <v>9520.8959999999988</v>
      </c>
      <c r="AM290">
        <f t="shared" si="99"/>
        <v>-1931.4028800000006</v>
      </c>
    </row>
    <row r="291" spans="1:39" x14ac:dyDescent="0.25">
      <c r="A291" t="s">
        <v>103</v>
      </c>
      <c r="B291" s="4">
        <v>45312</v>
      </c>
      <c r="C291" s="4">
        <v>45316</v>
      </c>
      <c r="D291" s="13">
        <f t="shared" si="80"/>
        <v>4</v>
      </c>
      <c r="E291" s="6" t="s">
        <v>647</v>
      </c>
      <c r="F291" t="s">
        <v>654</v>
      </c>
      <c r="G291" t="s">
        <v>680</v>
      </c>
      <c r="H291" t="s">
        <v>704</v>
      </c>
      <c r="I291" t="s">
        <v>711</v>
      </c>
      <c r="J291" t="s">
        <v>712</v>
      </c>
      <c r="K291" t="s">
        <v>732</v>
      </c>
      <c r="L291" t="s">
        <v>822</v>
      </c>
      <c r="M291" s="8">
        <v>523.70000000000005</v>
      </c>
      <c r="N291" s="8">
        <v>1109.92</v>
      </c>
      <c r="O291" s="8">
        <f t="shared" si="81"/>
        <v>1109.92</v>
      </c>
      <c r="P291" s="11">
        <v>0.03</v>
      </c>
      <c r="Q291" s="13">
        <v>11</v>
      </c>
      <c r="R291" s="8">
        <f t="shared" si="82"/>
        <v>11842.8464</v>
      </c>
      <c r="S291" s="8">
        <f t="shared" si="83"/>
        <v>5760.7000000000007</v>
      </c>
      <c r="T291" s="8">
        <f t="shared" si="84"/>
        <v>6082.1463999999996</v>
      </c>
      <c r="U291" s="11">
        <f t="shared" si="85"/>
        <v>0.51357133197302973</v>
      </c>
      <c r="V291" s="17">
        <v>45532</v>
      </c>
      <c r="W291" s="4" t="str">
        <f t="shared" si="86"/>
        <v>Q1-2024</v>
      </c>
      <c r="X291" t="str">
        <f t="shared" si="87"/>
        <v>Asia → India → Delhi</v>
      </c>
      <c r="Y291" t="str">
        <f t="shared" si="88"/>
        <v>Medium</v>
      </c>
      <c r="Z291" s="20">
        <f t="shared" si="89"/>
        <v>45292</v>
      </c>
      <c r="AA291" s="4">
        <f t="array" ref="AA291">MIN(IF($F$2:$F$633=F291,$Z$2:$Z$633))</f>
        <v>44927</v>
      </c>
      <c r="AB291">
        <f t="shared" si="90"/>
        <v>12</v>
      </c>
      <c r="AC291">
        <f t="shared" si="91"/>
        <v>1</v>
      </c>
      <c r="AD291">
        <f t="shared" si="92"/>
        <v>0</v>
      </c>
      <c r="AE291" s="13">
        <f t="shared" si="93"/>
        <v>1</v>
      </c>
      <c r="AH291">
        <f t="shared" si="94"/>
        <v>13.2</v>
      </c>
      <c r="AI291">
        <f t="shared" si="95"/>
        <v>602.255</v>
      </c>
      <c r="AJ291" s="11">
        <f t="shared" si="96"/>
        <v>0.03</v>
      </c>
      <c r="AK291">
        <f t="shared" si="97"/>
        <v>14211.415679999998</v>
      </c>
      <c r="AL291">
        <f t="shared" si="98"/>
        <v>7949.7659999999996</v>
      </c>
      <c r="AM291">
        <f t="shared" si="99"/>
        <v>6261.6496799999986</v>
      </c>
    </row>
    <row r="292" spans="1:39" x14ac:dyDescent="0.25">
      <c r="A292" t="s">
        <v>357</v>
      </c>
      <c r="B292" s="4">
        <v>45339</v>
      </c>
      <c r="C292" s="4">
        <v>45355</v>
      </c>
      <c r="D292" s="13">
        <f t="shared" si="80"/>
        <v>16</v>
      </c>
      <c r="E292" s="6" t="s">
        <v>647</v>
      </c>
      <c r="F292" t="s">
        <v>654</v>
      </c>
      <c r="G292" t="s">
        <v>680</v>
      </c>
      <c r="H292" t="s">
        <v>705</v>
      </c>
      <c r="I292" t="s">
        <v>709</v>
      </c>
      <c r="J292" t="s">
        <v>721</v>
      </c>
      <c r="K292" t="s">
        <v>730</v>
      </c>
      <c r="L292" t="s">
        <v>1077</v>
      </c>
      <c r="M292" s="8">
        <v>1231.8</v>
      </c>
      <c r="N292" s="8">
        <v>2015.99</v>
      </c>
      <c r="O292" s="8">
        <f t="shared" si="81"/>
        <v>2015.99</v>
      </c>
      <c r="P292" s="11">
        <v>0.26100000000000001</v>
      </c>
      <c r="Q292" s="13">
        <v>6</v>
      </c>
      <c r="R292" s="8">
        <f t="shared" si="82"/>
        <v>8938.8996600000009</v>
      </c>
      <c r="S292" s="8">
        <f t="shared" si="83"/>
        <v>7390.7999999999993</v>
      </c>
      <c r="T292" s="8">
        <f t="shared" si="84"/>
        <v>1548.0996600000017</v>
      </c>
      <c r="U292" s="11">
        <f t="shared" si="85"/>
        <v>0.17318682599464391</v>
      </c>
      <c r="V292" s="17">
        <v>45516</v>
      </c>
      <c r="W292" s="4" t="str">
        <f t="shared" si="86"/>
        <v>Q1-2024</v>
      </c>
      <c r="X292" t="str">
        <f t="shared" si="87"/>
        <v>Asia → India → Delhi</v>
      </c>
      <c r="Y292" t="str">
        <f t="shared" si="88"/>
        <v>High</v>
      </c>
      <c r="Z292" s="20">
        <f t="shared" si="89"/>
        <v>45323</v>
      </c>
      <c r="AA292" s="4">
        <f t="array" ref="AA292">MIN(IF($F$2:$F$633=F292,$Z$2:$Z$633))</f>
        <v>44927</v>
      </c>
      <c r="AB292">
        <f t="shared" si="90"/>
        <v>13</v>
      </c>
      <c r="AC292">
        <f t="shared" si="91"/>
        <v>0</v>
      </c>
      <c r="AD292">
        <f t="shared" si="92"/>
        <v>1</v>
      </c>
      <c r="AE292" s="13">
        <f t="shared" si="93"/>
        <v>0</v>
      </c>
      <c r="AH292">
        <f t="shared" si="94"/>
        <v>7.1999999999999993</v>
      </c>
      <c r="AI292">
        <f t="shared" si="95"/>
        <v>1416.57</v>
      </c>
      <c r="AJ292" s="11">
        <f t="shared" si="96"/>
        <v>0.25</v>
      </c>
      <c r="AK292">
        <f t="shared" si="97"/>
        <v>10886.346</v>
      </c>
      <c r="AL292">
        <f t="shared" si="98"/>
        <v>10199.303999999998</v>
      </c>
      <c r="AM292">
        <f t="shared" si="99"/>
        <v>687.04200000000128</v>
      </c>
    </row>
    <row r="293" spans="1:39" x14ac:dyDescent="0.25">
      <c r="A293" t="s">
        <v>439</v>
      </c>
      <c r="B293" s="4">
        <v>45349</v>
      </c>
      <c r="C293" s="4">
        <v>45377</v>
      </c>
      <c r="D293" s="13">
        <f t="shared" si="80"/>
        <v>28</v>
      </c>
      <c r="E293" s="6" t="s">
        <v>647</v>
      </c>
      <c r="F293" t="s">
        <v>654</v>
      </c>
      <c r="G293" t="s">
        <v>691</v>
      </c>
      <c r="H293" t="s">
        <v>702</v>
      </c>
      <c r="I293" t="s">
        <v>709</v>
      </c>
      <c r="J293" t="s">
        <v>715</v>
      </c>
      <c r="K293" t="s">
        <v>731</v>
      </c>
      <c r="L293" t="s">
        <v>1158</v>
      </c>
      <c r="M293" s="8">
        <v>1035.19</v>
      </c>
      <c r="N293" s="8">
        <v>2322.6999999999998</v>
      </c>
      <c r="O293" s="8">
        <f t="shared" si="81"/>
        <v>2322.6999999999998</v>
      </c>
      <c r="P293" s="11">
        <v>0.17299999999999999</v>
      </c>
      <c r="Q293" s="13">
        <v>8</v>
      </c>
      <c r="R293" s="8">
        <f t="shared" si="82"/>
        <v>15366.983199999999</v>
      </c>
      <c r="S293" s="8">
        <f t="shared" si="83"/>
        <v>8281.52</v>
      </c>
      <c r="T293" s="8">
        <f t="shared" si="84"/>
        <v>7085.4631999999983</v>
      </c>
      <c r="U293" s="11">
        <f t="shared" si="85"/>
        <v>0.46108355217047409</v>
      </c>
      <c r="V293" s="17">
        <v>45508</v>
      </c>
      <c r="W293" s="4" t="str">
        <f t="shared" si="86"/>
        <v>Q1-2024</v>
      </c>
      <c r="X293" t="str">
        <f t="shared" si="87"/>
        <v>Asia → India → Mumbai</v>
      </c>
      <c r="Y293" t="str">
        <f t="shared" si="88"/>
        <v>High</v>
      </c>
      <c r="Z293" s="20">
        <f t="shared" si="89"/>
        <v>45323</v>
      </c>
      <c r="AA293" s="4">
        <f t="array" ref="AA293">MIN(IF($F$2:$F$633=F293,$Z$2:$Z$633))</f>
        <v>44927</v>
      </c>
      <c r="AB293">
        <f t="shared" si="90"/>
        <v>13</v>
      </c>
      <c r="AC293">
        <f t="shared" si="91"/>
        <v>0</v>
      </c>
      <c r="AD293">
        <f t="shared" si="92"/>
        <v>0</v>
      </c>
      <c r="AE293" s="13">
        <f t="shared" si="93"/>
        <v>0</v>
      </c>
      <c r="AH293">
        <f t="shared" si="94"/>
        <v>9.6</v>
      </c>
      <c r="AI293">
        <f t="shared" si="95"/>
        <v>1190.4684999999999</v>
      </c>
      <c r="AJ293" s="11">
        <f t="shared" si="96"/>
        <v>0.17299999999999999</v>
      </c>
      <c r="AK293">
        <f t="shared" si="97"/>
        <v>18440.379839999998</v>
      </c>
      <c r="AL293">
        <f t="shared" si="98"/>
        <v>11428.497599999999</v>
      </c>
      <c r="AM293">
        <f t="shared" si="99"/>
        <v>7011.882239999999</v>
      </c>
    </row>
    <row r="294" spans="1:39" x14ac:dyDescent="0.25">
      <c r="A294" t="s">
        <v>455</v>
      </c>
      <c r="B294" s="4">
        <v>45374</v>
      </c>
      <c r="C294" s="4">
        <v>45377</v>
      </c>
      <c r="D294" s="13">
        <f t="shared" si="80"/>
        <v>3</v>
      </c>
      <c r="E294" s="6" t="s">
        <v>647</v>
      </c>
      <c r="F294" t="s">
        <v>654</v>
      </c>
      <c r="G294" t="s">
        <v>668</v>
      </c>
      <c r="H294" t="s">
        <v>702</v>
      </c>
      <c r="I294" t="s">
        <v>711</v>
      </c>
      <c r="J294" t="s">
        <v>715</v>
      </c>
      <c r="K294" t="s">
        <v>730</v>
      </c>
      <c r="L294" t="s">
        <v>1174</v>
      </c>
      <c r="M294" s="8">
        <v>382.21</v>
      </c>
      <c r="N294" s="8">
        <v>571.89</v>
      </c>
      <c r="O294" s="8">
        <f t="shared" si="81"/>
        <v>571.89</v>
      </c>
      <c r="P294" s="11">
        <v>0.14799999999999999</v>
      </c>
      <c r="Q294" s="13">
        <v>26</v>
      </c>
      <c r="R294" s="8">
        <f t="shared" si="82"/>
        <v>12668.50728</v>
      </c>
      <c r="S294" s="8">
        <f t="shared" si="83"/>
        <v>9937.4599999999991</v>
      </c>
      <c r="T294" s="8">
        <f t="shared" si="84"/>
        <v>2731.0472800000007</v>
      </c>
      <c r="U294" s="11">
        <f t="shared" si="85"/>
        <v>0.2155776698578809</v>
      </c>
      <c r="V294" s="17">
        <v>45454</v>
      </c>
      <c r="W294" s="4" t="str">
        <f t="shared" si="86"/>
        <v>Q1-2024</v>
      </c>
      <c r="X294" t="str">
        <f t="shared" si="87"/>
        <v>Asia → India → Bengaluru</v>
      </c>
      <c r="Y294" t="str">
        <f t="shared" si="88"/>
        <v>Low</v>
      </c>
      <c r="Z294" s="20">
        <f t="shared" si="89"/>
        <v>45352</v>
      </c>
      <c r="AA294" s="4">
        <f t="array" ref="AA294">MIN(IF($F$2:$F$633=F294,$Z$2:$Z$633))</f>
        <v>44927</v>
      </c>
      <c r="AB294">
        <f t="shared" si="90"/>
        <v>14</v>
      </c>
      <c r="AC294">
        <f t="shared" si="91"/>
        <v>1</v>
      </c>
      <c r="AD294">
        <f t="shared" si="92"/>
        <v>0</v>
      </c>
      <c r="AE294" s="13">
        <f t="shared" si="93"/>
        <v>1</v>
      </c>
      <c r="AH294">
        <f t="shared" si="94"/>
        <v>31.2</v>
      </c>
      <c r="AI294">
        <f t="shared" si="95"/>
        <v>439.54149999999993</v>
      </c>
      <c r="AJ294" s="11">
        <f t="shared" si="96"/>
        <v>0.14799999999999999</v>
      </c>
      <c r="AK294">
        <f t="shared" si="97"/>
        <v>15202.208736</v>
      </c>
      <c r="AL294">
        <f t="shared" si="98"/>
        <v>13713.694799999997</v>
      </c>
      <c r="AM294">
        <f t="shared" si="99"/>
        <v>1488.513936000003</v>
      </c>
    </row>
    <row r="295" spans="1:39" x14ac:dyDescent="0.25">
      <c r="A295" t="s">
        <v>466</v>
      </c>
      <c r="B295" s="4">
        <v>45413</v>
      </c>
      <c r="C295" s="4">
        <v>45428</v>
      </c>
      <c r="D295" s="13">
        <f t="shared" si="80"/>
        <v>15</v>
      </c>
      <c r="E295" s="6" t="s">
        <v>647</v>
      </c>
      <c r="F295" t="s">
        <v>654</v>
      </c>
      <c r="G295" t="s">
        <v>668</v>
      </c>
      <c r="H295" t="s">
        <v>705</v>
      </c>
      <c r="I295" t="s">
        <v>707</v>
      </c>
      <c r="J295" t="s">
        <v>716</v>
      </c>
      <c r="K295" t="s">
        <v>727</v>
      </c>
      <c r="L295" t="s">
        <v>1185</v>
      </c>
      <c r="M295" s="8">
        <v>901.19</v>
      </c>
      <c r="N295" s="8">
        <v>2125.44</v>
      </c>
      <c r="O295" s="8">
        <f t="shared" si="81"/>
        <v>2125.44</v>
      </c>
      <c r="P295" s="11">
        <v>7.0999999999999994E-2</v>
      </c>
      <c r="Q295" s="13">
        <v>12</v>
      </c>
      <c r="R295" s="8">
        <f t="shared" si="82"/>
        <v>23694.405119999999</v>
      </c>
      <c r="S295" s="8">
        <f t="shared" si="83"/>
        <v>10814.28</v>
      </c>
      <c r="T295" s="8">
        <f t="shared" si="84"/>
        <v>12880.125119999999</v>
      </c>
      <c r="U295" s="11">
        <f t="shared" si="85"/>
        <v>0.54359352154100415</v>
      </c>
      <c r="V295" s="17">
        <v>45442</v>
      </c>
      <c r="W295" s="4" t="str">
        <f t="shared" si="86"/>
        <v>Q2-2024</v>
      </c>
      <c r="X295" t="str">
        <f t="shared" si="87"/>
        <v>Asia → India → Bengaluru</v>
      </c>
      <c r="Y295" t="str">
        <f t="shared" si="88"/>
        <v>High</v>
      </c>
      <c r="Z295" s="20">
        <f t="shared" si="89"/>
        <v>45413</v>
      </c>
      <c r="AA295" s="4">
        <f t="array" ref="AA295">MIN(IF($F$2:$F$633=F295,$Z$2:$Z$633))</f>
        <v>44927</v>
      </c>
      <c r="AB295">
        <f t="shared" si="90"/>
        <v>16</v>
      </c>
      <c r="AC295">
        <f t="shared" si="91"/>
        <v>0</v>
      </c>
      <c r="AD295">
        <f t="shared" si="92"/>
        <v>0</v>
      </c>
      <c r="AE295" s="13">
        <f t="shared" si="93"/>
        <v>0</v>
      </c>
      <c r="AH295">
        <f t="shared" si="94"/>
        <v>14.399999999999999</v>
      </c>
      <c r="AI295">
        <f t="shared" si="95"/>
        <v>1036.3685</v>
      </c>
      <c r="AJ295" s="11">
        <f t="shared" si="96"/>
        <v>7.0999999999999994E-2</v>
      </c>
      <c r="AK295">
        <f t="shared" si="97"/>
        <v>28433.286144000002</v>
      </c>
      <c r="AL295">
        <f t="shared" si="98"/>
        <v>14923.706399999999</v>
      </c>
      <c r="AM295">
        <f t="shared" si="99"/>
        <v>13509.579744000002</v>
      </c>
    </row>
    <row r="296" spans="1:39" x14ac:dyDescent="0.25">
      <c r="A296" t="s">
        <v>508</v>
      </c>
      <c r="B296" s="4">
        <v>45439</v>
      </c>
      <c r="C296" s="4">
        <v>45460</v>
      </c>
      <c r="D296" s="13">
        <f t="shared" si="80"/>
        <v>21</v>
      </c>
      <c r="E296" s="6" t="s">
        <v>647</v>
      </c>
      <c r="F296" t="s">
        <v>654</v>
      </c>
      <c r="G296" t="s">
        <v>680</v>
      </c>
      <c r="H296" t="s">
        <v>705</v>
      </c>
      <c r="I296" t="s">
        <v>708</v>
      </c>
      <c r="J296" t="s">
        <v>722</v>
      </c>
      <c r="K296" t="s">
        <v>733</v>
      </c>
      <c r="L296" t="s">
        <v>1227</v>
      </c>
      <c r="M296" s="8">
        <v>465.02</v>
      </c>
      <c r="N296" s="8">
        <v>651.55999999999995</v>
      </c>
      <c r="O296" s="8">
        <f t="shared" si="81"/>
        <v>651.55999999999995</v>
      </c>
      <c r="P296" s="11">
        <v>4.2000000000000003E-2</v>
      </c>
      <c r="Q296" s="13">
        <v>19</v>
      </c>
      <c r="R296" s="8">
        <f t="shared" si="82"/>
        <v>11859.695119999998</v>
      </c>
      <c r="S296" s="8">
        <f t="shared" si="83"/>
        <v>8835.3799999999992</v>
      </c>
      <c r="T296" s="8">
        <f t="shared" si="84"/>
        <v>3024.3151199999993</v>
      </c>
      <c r="U296" s="11">
        <f t="shared" si="85"/>
        <v>0.25500783025187918</v>
      </c>
      <c r="V296" s="17">
        <v>45411</v>
      </c>
      <c r="W296" s="4" t="str">
        <f t="shared" si="86"/>
        <v>Q2-2024</v>
      </c>
      <c r="X296" t="str">
        <f t="shared" si="87"/>
        <v>Asia → India → Delhi</v>
      </c>
      <c r="Y296" t="str">
        <f t="shared" si="88"/>
        <v>Low</v>
      </c>
      <c r="Z296" s="20">
        <f t="shared" si="89"/>
        <v>45413</v>
      </c>
      <c r="AA296" s="4">
        <f t="array" ref="AA296">MIN(IF($F$2:$F$633=F296,$Z$2:$Z$633))</f>
        <v>44927</v>
      </c>
      <c r="AB296">
        <f t="shared" si="90"/>
        <v>16</v>
      </c>
      <c r="AC296">
        <f t="shared" si="91"/>
        <v>0</v>
      </c>
      <c r="AD296">
        <f t="shared" si="92"/>
        <v>0</v>
      </c>
      <c r="AE296" s="13">
        <f t="shared" si="93"/>
        <v>0</v>
      </c>
      <c r="AH296">
        <f t="shared" si="94"/>
        <v>22.8</v>
      </c>
      <c r="AI296">
        <f t="shared" si="95"/>
        <v>534.77299999999991</v>
      </c>
      <c r="AJ296" s="11">
        <f t="shared" si="96"/>
        <v>4.2000000000000003E-2</v>
      </c>
      <c r="AK296">
        <f t="shared" si="97"/>
        <v>14231.634144</v>
      </c>
      <c r="AL296">
        <f t="shared" si="98"/>
        <v>12192.824399999998</v>
      </c>
      <c r="AM296">
        <f t="shared" si="99"/>
        <v>2038.809744000002</v>
      </c>
    </row>
    <row r="297" spans="1:39" x14ac:dyDescent="0.25">
      <c r="A297" t="s">
        <v>428</v>
      </c>
      <c r="B297" s="4">
        <v>45449</v>
      </c>
      <c r="C297" s="4">
        <v>45467</v>
      </c>
      <c r="D297" s="13">
        <f t="shared" si="80"/>
        <v>18</v>
      </c>
      <c r="E297" s="6" t="s">
        <v>647</v>
      </c>
      <c r="F297" t="s">
        <v>654</v>
      </c>
      <c r="G297" t="s">
        <v>668</v>
      </c>
      <c r="H297" t="s">
        <v>705</v>
      </c>
      <c r="I297" t="s">
        <v>711</v>
      </c>
      <c r="J297" t="s">
        <v>722</v>
      </c>
      <c r="K297" t="s">
        <v>729</v>
      </c>
      <c r="L297" t="s">
        <v>1147</v>
      </c>
      <c r="M297" s="8">
        <v>1253.25</v>
      </c>
      <c r="N297" s="8">
        <v>3087.13</v>
      </c>
      <c r="O297" s="8">
        <f t="shared" si="81"/>
        <v>3087.13</v>
      </c>
      <c r="P297" s="11">
        <v>7.1999999999999995E-2</v>
      </c>
      <c r="Q297" s="13">
        <v>11</v>
      </c>
      <c r="R297" s="8">
        <f t="shared" si="82"/>
        <v>31513.423040000001</v>
      </c>
      <c r="S297" s="8">
        <f t="shared" si="83"/>
        <v>13785.75</v>
      </c>
      <c r="T297" s="8">
        <f t="shared" si="84"/>
        <v>17727.673040000001</v>
      </c>
      <c r="U297" s="11">
        <f t="shared" si="85"/>
        <v>0.562543555408064</v>
      </c>
      <c r="V297" s="17">
        <v>45394</v>
      </c>
      <c r="W297" s="4" t="str">
        <f t="shared" si="86"/>
        <v>Q2-2024</v>
      </c>
      <c r="X297" t="str">
        <f t="shared" si="87"/>
        <v>Asia → India → Bengaluru</v>
      </c>
      <c r="Y297" t="str">
        <f t="shared" si="88"/>
        <v>High</v>
      </c>
      <c r="Z297" s="20">
        <f t="shared" si="89"/>
        <v>45444</v>
      </c>
      <c r="AA297" s="4">
        <f t="array" ref="AA297">MIN(IF($F$2:$F$633=F297,$Z$2:$Z$633))</f>
        <v>44927</v>
      </c>
      <c r="AB297">
        <f t="shared" si="90"/>
        <v>17</v>
      </c>
      <c r="AC297">
        <f t="shared" si="91"/>
        <v>0</v>
      </c>
      <c r="AD297">
        <f t="shared" si="92"/>
        <v>0</v>
      </c>
      <c r="AE297" s="13">
        <f t="shared" si="93"/>
        <v>0</v>
      </c>
      <c r="AH297">
        <f t="shared" si="94"/>
        <v>13.2</v>
      </c>
      <c r="AI297">
        <f t="shared" si="95"/>
        <v>1441.2375</v>
      </c>
      <c r="AJ297" s="11">
        <f t="shared" si="96"/>
        <v>7.1999999999999995E-2</v>
      </c>
      <c r="AK297">
        <f t="shared" si="97"/>
        <v>37816.107648000005</v>
      </c>
      <c r="AL297">
        <f t="shared" si="98"/>
        <v>19024.334999999999</v>
      </c>
      <c r="AM297">
        <f t="shared" si="99"/>
        <v>18791.772648000006</v>
      </c>
    </row>
    <row r="298" spans="1:39" x14ac:dyDescent="0.25">
      <c r="A298" t="s">
        <v>636</v>
      </c>
      <c r="B298" s="4">
        <v>45501</v>
      </c>
      <c r="C298" s="4">
        <v>45527</v>
      </c>
      <c r="D298" s="13">
        <f t="shared" si="80"/>
        <v>26</v>
      </c>
      <c r="E298" s="6" t="s">
        <v>647</v>
      </c>
      <c r="F298" t="s">
        <v>654</v>
      </c>
      <c r="G298" t="s">
        <v>696</v>
      </c>
      <c r="H298" t="s">
        <v>701</v>
      </c>
      <c r="I298" t="s">
        <v>707</v>
      </c>
      <c r="J298" t="s">
        <v>713</v>
      </c>
      <c r="K298" t="s">
        <v>729</v>
      </c>
      <c r="L298" t="s">
        <v>1354</v>
      </c>
      <c r="M298" s="8">
        <v>1339.24</v>
      </c>
      <c r="N298" s="8">
        <v>1558.89</v>
      </c>
      <c r="O298" s="8">
        <f t="shared" si="81"/>
        <v>1558.89</v>
      </c>
      <c r="P298" s="11">
        <v>0.192</v>
      </c>
      <c r="Q298" s="13">
        <v>24</v>
      </c>
      <c r="R298" s="8">
        <f t="shared" si="82"/>
        <v>30229.994880000002</v>
      </c>
      <c r="S298" s="8">
        <f t="shared" si="83"/>
        <v>32141.760000000002</v>
      </c>
      <c r="T298" s="8">
        <f t="shared" si="84"/>
        <v>-1911.76512</v>
      </c>
      <c r="U298" s="11">
        <f t="shared" si="85"/>
        <v>-6.3240669659021781E-2</v>
      </c>
      <c r="V298" s="17">
        <v>45360</v>
      </c>
      <c r="W298" s="4" t="str">
        <f t="shared" si="86"/>
        <v>Q3-2024</v>
      </c>
      <c r="X298" t="str">
        <f t="shared" si="87"/>
        <v>Asia → India → Hyderabad</v>
      </c>
      <c r="Y298" t="str">
        <f t="shared" si="88"/>
        <v>Medium</v>
      </c>
      <c r="Z298" s="20">
        <f t="shared" si="89"/>
        <v>45474</v>
      </c>
      <c r="AA298" s="4">
        <f t="array" ref="AA298">MIN(IF($F$2:$F$633=F298,$Z$2:$Z$633))</f>
        <v>44927</v>
      </c>
      <c r="AB298">
        <f t="shared" si="90"/>
        <v>18</v>
      </c>
      <c r="AC298">
        <f t="shared" si="91"/>
        <v>0</v>
      </c>
      <c r="AD298">
        <f t="shared" si="92"/>
        <v>0</v>
      </c>
      <c r="AE298" s="13">
        <f t="shared" si="93"/>
        <v>0</v>
      </c>
      <c r="AH298">
        <f t="shared" si="94"/>
        <v>28.799999999999997</v>
      </c>
      <c r="AI298">
        <f t="shared" si="95"/>
        <v>1540.126</v>
      </c>
      <c r="AJ298" s="11">
        <f t="shared" si="96"/>
        <v>0.192</v>
      </c>
      <c r="AK298">
        <f t="shared" si="97"/>
        <v>36275.993856000001</v>
      </c>
      <c r="AL298">
        <f t="shared" si="98"/>
        <v>44355.628799999991</v>
      </c>
      <c r="AM298">
        <f t="shared" si="99"/>
        <v>-8079.6349439999904</v>
      </c>
    </row>
    <row r="299" spans="1:39" x14ac:dyDescent="0.25">
      <c r="A299" t="s">
        <v>441</v>
      </c>
      <c r="B299" s="4">
        <v>45522</v>
      </c>
      <c r="C299" s="4">
        <v>45547</v>
      </c>
      <c r="D299" s="13">
        <f t="shared" si="80"/>
        <v>25</v>
      </c>
      <c r="E299" s="6" t="s">
        <v>647</v>
      </c>
      <c r="F299" t="s">
        <v>654</v>
      </c>
      <c r="G299" t="s">
        <v>691</v>
      </c>
      <c r="H299" t="s">
        <v>704</v>
      </c>
      <c r="I299" t="s">
        <v>709</v>
      </c>
      <c r="J299" t="s">
        <v>712</v>
      </c>
      <c r="K299" t="s">
        <v>730</v>
      </c>
      <c r="L299" t="s">
        <v>1160</v>
      </c>
      <c r="M299" s="8">
        <v>1154.03</v>
      </c>
      <c r="N299" s="8">
        <v>1590.36</v>
      </c>
      <c r="O299" s="8">
        <f t="shared" si="81"/>
        <v>1590.36</v>
      </c>
      <c r="P299" s="11">
        <v>0.314</v>
      </c>
      <c r="Q299" s="13">
        <v>18</v>
      </c>
      <c r="R299" s="8">
        <f t="shared" si="82"/>
        <v>19637.76528</v>
      </c>
      <c r="S299" s="8">
        <f t="shared" si="83"/>
        <v>20772.54</v>
      </c>
      <c r="T299" s="8">
        <f t="shared" si="84"/>
        <v>-1134.7747200000013</v>
      </c>
      <c r="U299" s="11">
        <f t="shared" si="85"/>
        <v>-5.7785328616576745E-2</v>
      </c>
      <c r="V299" s="17">
        <v>45351</v>
      </c>
      <c r="W299" s="4" t="str">
        <f t="shared" si="86"/>
        <v>Q3-2024</v>
      </c>
      <c r="X299" t="str">
        <f t="shared" si="87"/>
        <v>Asia → India → Mumbai</v>
      </c>
      <c r="Y299" t="str">
        <f t="shared" si="88"/>
        <v>Medium</v>
      </c>
      <c r="Z299" s="20">
        <f t="shared" si="89"/>
        <v>45505</v>
      </c>
      <c r="AA299" s="4">
        <f t="array" ref="AA299">MIN(IF($F$2:$F$633=F299,$Z$2:$Z$633))</f>
        <v>44927</v>
      </c>
      <c r="AB299">
        <f t="shared" si="90"/>
        <v>19</v>
      </c>
      <c r="AC299">
        <f t="shared" si="91"/>
        <v>0</v>
      </c>
      <c r="AD299">
        <f t="shared" si="92"/>
        <v>1</v>
      </c>
      <c r="AE299" s="13">
        <f t="shared" si="93"/>
        <v>0</v>
      </c>
      <c r="AH299">
        <f t="shared" si="94"/>
        <v>21.599999999999998</v>
      </c>
      <c r="AI299">
        <f t="shared" si="95"/>
        <v>1327.1344999999999</v>
      </c>
      <c r="AJ299" s="11">
        <f t="shared" si="96"/>
        <v>0.25</v>
      </c>
      <c r="AK299">
        <f t="shared" si="97"/>
        <v>25763.831999999999</v>
      </c>
      <c r="AL299">
        <f t="shared" si="98"/>
        <v>28666.105199999995</v>
      </c>
      <c r="AM299">
        <f t="shared" si="99"/>
        <v>-2902.273199999996</v>
      </c>
    </row>
    <row r="300" spans="1:39" x14ac:dyDescent="0.25">
      <c r="A300" t="s">
        <v>172</v>
      </c>
      <c r="B300" s="4">
        <v>45531</v>
      </c>
      <c r="C300" s="4">
        <v>45553</v>
      </c>
      <c r="D300" s="13">
        <f t="shared" si="80"/>
        <v>22</v>
      </c>
      <c r="E300" s="6" t="s">
        <v>647</v>
      </c>
      <c r="F300" t="s">
        <v>654</v>
      </c>
      <c r="G300" t="s">
        <v>680</v>
      </c>
      <c r="H300" t="s">
        <v>704</v>
      </c>
      <c r="I300" t="s">
        <v>711</v>
      </c>
      <c r="J300" t="s">
        <v>717</v>
      </c>
      <c r="K300" t="s">
        <v>727</v>
      </c>
      <c r="L300" t="s">
        <v>891</v>
      </c>
      <c r="M300" s="8">
        <v>896.75</v>
      </c>
      <c r="N300" s="8">
        <v>1651.14</v>
      </c>
      <c r="O300" s="8">
        <f t="shared" si="81"/>
        <v>1651.14</v>
      </c>
      <c r="P300" s="11">
        <v>2.5000000000000001E-2</v>
      </c>
      <c r="Q300" s="13">
        <v>15</v>
      </c>
      <c r="R300" s="8">
        <f t="shared" si="82"/>
        <v>24147.922500000001</v>
      </c>
      <c r="S300" s="8">
        <f t="shared" si="83"/>
        <v>13451.25</v>
      </c>
      <c r="T300" s="8">
        <f t="shared" si="84"/>
        <v>10696.672500000001</v>
      </c>
      <c r="U300" s="11">
        <f t="shared" si="85"/>
        <v>0.44296450346815552</v>
      </c>
      <c r="V300" s="17">
        <v>45336</v>
      </c>
      <c r="W300" s="4" t="str">
        <f t="shared" si="86"/>
        <v>Q3-2024</v>
      </c>
      <c r="X300" t="str">
        <f t="shared" si="87"/>
        <v>Asia → India → Delhi</v>
      </c>
      <c r="Y300" t="str">
        <f t="shared" si="88"/>
        <v>High</v>
      </c>
      <c r="Z300" s="20">
        <f t="shared" si="89"/>
        <v>45505</v>
      </c>
      <c r="AA300" s="4">
        <f t="array" ref="AA300">MIN(IF($F$2:$F$633=F300,$Z$2:$Z$633))</f>
        <v>44927</v>
      </c>
      <c r="AB300">
        <f t="shared" si="90"/>
        <v>19</v>
      </c>
      <c r="AC300">
        <f t="shared" si="91"/>
        <v>0</v>
      </c>
      <c r="AD300">
        <f t="shared" si="92"/>
        <v>0</v>
      </c>
      <c r="AE300" s="13">
        <f t="shared" si="93"/>
        <v>0</v>
      </c>
      <c r="AH300">
        <f t="shared" si="94"/>
        <v>18</v>
      </c>
      <c r="AI300">
        <f t="shared" si="95"/>
        <v>1031.2624999999998</v>
      </c>
      <c r="AJ300" s="11">
        <f t="shared" si="96"/>
        <v>2.5000000000000001E-2</v>
      </c>
      <c r="AK300">
        <f t="shared" si="97"/>
        <v>28977.507000000001</v>
      </c>
      <c r="AL300">
        <f t="shared" si="98"/>
        <v>18562.724999999999</v>
      </c>
      <c r="AM300">
        <f t="shared" si="99"/>
        <v>10414.782000000003</v>
      </c>
    </row>
    <row r="301" spans="1:39" x14ac:dyDescent="0.25">
      <c r="A301" t="s">
        <v>301</v>
      </c>
      <c r="B301" s="4">
        <v>45542</v>
      </c>
      <c r="C301" s="4">
        <v>45542</v>
      </c>
      <c r="D301" s="13">
        <f t="shared" si="80"/>
        <v>0</v>
      </c>
      <c r="E301" s="6" t="s">
        <v>647</v>
      </c>
      <c r="F301" t="s">
        <v>654</v>
      </c>
      <c r="G301" t="s">
        <v>691</v>
      </c>
      <c r="H301" t="s">
        <v>702</v>
      </c>
      <c r="I301" t="s">
        <v>710</v>
      </c>
      <c r="J301" t="s">
        <v>717</v>
      </c>
      <c r="K301" t="s">
        <v>729</v>
      </c>
      <c r="L301" t="s">
        <v>1021</v>
      </c>
      <c r="M301" s="8">
        <v>1066.6500000000001</v>
      </c>
      <c r="N301" s="8">
        <v>2569.77</v>
      </c>
      <c r="O301" s="8">
        <f t="shared" si="81"/>
        <v>2569.77</v>
      </c>
      <c r="P301" s="11">
        <v>0.13400000000000001</v>
      </c>
      <c r="Q301" s="13">
        <v>9</v>
      </c>
      <c r="R301" s="8">
        <f t="shared" si="82"/>
        <v>20028.787380000002</v>
      </c>
      <c r="S301" s="8">
        <f t="shared" si="83"/>
        <v>9599.85</v>
      </c>
      <c r="T301" s="8">
        <f t="shared" si="84"/>
        <v>10428.937380000001</v>
      </c>
      <c r="U301" s="11">
        <f t="shared" si="85"/>
        <v>0.52069739331368348</v>
      </c>
      <c r="V301" s="17">
        <v>45323</v>
      </c>
      <c r="W301" s="4" t="str">
        <f t="shared" si="86"/>
        <v>Q3-2024</v>
      </c>
      <c r="X301" t="str">
        <f t="shared" si="87"/>
        <v>Asia → India → Mumbai</v>
      </c>
      <c r="Y301" t="str">
        <f t="shared" si="88"/>
        <v>High</v>
      </c>
      <c r="Z301" s="20">
        <f t="shared" si="89"/>
        <v>45536</v>
      </c>
      <c r="AA301" s="4">
        <f t="array" ref="AA301">MIN(IF($F$2:$F$633=F301,$Z$2:$Z$633))</f>
        <v>44927</v>
      </c>
      <c r="AB301">
        <f t="shared" si="90"/>
        <v>20</v>
      </c>
      <c r="AC301">
        <f t="shared" si="91"/>
        <v>1</v>
      </c>
      <c r="AD301">
        <f t="shared" si="92"/>
        <v>0</v>
      </c>
      <c r="AE301" s="13">
        <f t="shared" si="93"/>
        <v>1</v>
      </c>
      <c r="AH301">
        <f t="shared" si="94"/>
        <v>10.799999999999999</v>
      </c>
      <c r="AI301">
        <f t="shared" si="95"/>
        <v>1226.6475</v>
      </c>
      <c r="AJ301" s="11">
        <f t="shared" si="96"/>
        <v>0.13400000000000001</v>
      </c>
      <c r="AK301">
        <f t="shared" si="97"/>
        <v>24034.544855999997</v>
      </c>
      <c r="AL301">
        <f t="shared" si="98"/>
        <v>13247.793</v>
      </c>
      <c r="AM301">
        <f t="shared" si="99"/>
        <v>10786.751855999997</v>
      </c>
    </row>
    <row r="302" spans="1:39" x14ac:dyDescent="0.25">
      <c r="A302" t="s">
        <v>66</v>
      </c>
      <c r="B302" s="4">
        <v>45582</v>
      </c>
      <c r="C302" s="4">
        <v>45602</v>
      </c>
      <c r="D302" s="13">
        <f t="shared" si="80"/>
        <v>20</v>
      </c>
      <c r="E302" s="6" t="s">
        <v>647</v>
      </c>
      <c r="F302" t="s">
        <v>654</v>
      </c>
      <c r="G302" t="s">
        <v>668</v>
      </c>
      <c r="H302" t="s">
        <v>706</v>
      </c>
      <c r="I302" t="s">
        <v>710</v>
      </c>
      <c r="J302" t="s">
        <v>719</v>
      </c>
      <c r="K302" t="s">
        <v>732</v>
      </c>
      <c r="L302" t="s">
        <v>785</v>
      </c>
      <c r="M302" s="8">
        <v>72.94</v>
      </c>
      <c r="N302" s="8">
        <v>106.3</v>
      </c>
      <c r="O302" s="8">
        <f t="shared" si="81"/>
        <v>106.3</v>
      </c>
      <c r="P302" s="11">
        <v>0.29499999999999998</v>
      </c>
      <c r="Q302" s="13">
        <v>8</v>
      </c>
      <c r="R302" s="8">
        <f t="shared" si="82"/>
        <v>599.53200000000004</v>
      </c>
      <c r="S302" s="8">
        <f t="shared" si="83"/>
        <v>583.52</v>
      </c>
      <c r="T302" s="8">
        <f t="shared" si="84"/>
        <v>16.012000000000057</v>
      </c>
      <c r="U302" s="11">
        <f t="shared" si="85"/>
        <v>2.6707498515508857E-2</v>
      </c>
      <c r="V302" s="17">
        <v>45293</v>
      </c>
      <c r="W302" s="4" t="str">
        <f t="shared" si="86"/>
        <v>Q4-2024</v>
      </c>
      <c r="X302" t="str">
        <f t="shared" si="87"/>
        <v>Asia → India → Bengaluru</v>
      </c>
      <c r="Y302" t="str">
        <f t="shared" si="88"/>
        <v>Low</v>
      </c>
      <c r="Z302" s="20">
        <f t="shared" si="89"/>
        <v>45566</v>
      </c>
      <c r="AA302" s="4">
        <f t="array" ref="AA302">MIN(IF($F$2:$F$633=F302,$Z$2:$Z$633))</f>
        <v>44927</v>
      </c>
      <c r="AB302">
        <f t="shared" si="90"/>
        <v>21</v>
      </c>
      <c r="AC302">
        <f t="shared" si="91"/>
        <v>0</v>
      </c>
      <c r="AD302">
        <f t="shared" si="92"/>
        <v>1</v>
      </c>
      <c r="AE302" s="13">
        <f t="shared" si="93"/>
        <v>0</v>
      </c>
      <c r="AH302">
        <f t="shared" si="94"/>
        <v>9.6</v>
      </c>
      <c r="AI302">
        <f t="shared" si="95"/>
        <v>83.880999999999986</v>
      </c>
      <c r="AJ302" s="11">
        <f t="shared" si="96"/>
        <v>0.25</v>
      </c>
      <c r="AK302">
        <f t="shared" si="97"/>
        <v>765.3599999999999</v>
      </c>
      <c r="AL302">
        <f t="shared" si="98"/>
        <v>805.2575999999998</v>
      </c>
      <c r="AM302">
        <f t="shared" si="99"/>
        <v>-39.897599999999898</v>
      </c>
    </row>
    <row r="303" spans="1:39" x14ac:dyDescent="0.25">
      <c r="A303" t="s">
        <v>78</v>
      </c>
      <c r="B303" s="4">
        <v>45598</v>
      </c>
      <c r="C303" s="4">
        <v>45614</v>
      </c>
      <c r="D303" s="13">
        <f t="shared" si="80"/>
        <v>16</v>
      </c>
      <c r="E303" s="6" t="s">
        <v>647</v>
      </c>
      <c r="F303" t="s">
        <v>654</v>
      </c>
      <c r="G303" t="s">
        <v>691</v>
      </c>
      <c r="H303" t="s">
        <v>705</v>
      </c>
      <c r="I303" t="s">
        <v>710</v>
      </c>
      <c r="J303" t="s">
        <v>719</v>
      </c>
      <c r="K303" t="s">
        <v>732</v>
      </c>
      <c r="L303" t="s">
        <v>797</v>
      </c>
      <c r="M303" s="8">
        <v>1233.58</v>
      </c>
      <c r="N303" s="8">
        <v>1912.51</v>
      </c>
      <c r="O303" s="8">
        <f t="shared" si="81"/>
        <v>1912.51</v>
      </c>
      <c r="P303" s="11">
        <v>0.255</v>
      </c>
      <c r="Q303" s="13">
        <v>51</v>
      </c>
      <c r="R303" s="8">
        <f t="shared" si="82"/>
        <v>72665.817450000002</v>
      </c>
      <c r="S303" s="8">
        <f t="shared" si="83"/>
        <v>62912.579999999994</v>
      </c>
      <c r="T303" s="8">
        <f t="shared" si="84"/>
        <v>9753.2374500000078</v>
      </c>
      <c r="U303" s="11">
        <f t="shared" si="85"/>
        <v>0.134220432553601</v>
      </c>
      <c r="V303" s="17">
        <v>45261</v>
      </c>
      <c r="W303" s="4" t="str">
        <f t="shared" si="86"/>
        <v>Q4-2024</v>
      </c>
      <c r="X303" t="str">
        <f t="shared" si="87"/>
        <v>Asia → India → Mumbai</v>
      </c>
      <c r="Y303" t="str">
        <f t="shared" si="88"/>
        <v>High</v>
      </c>
      <c r="Z303" s="20">
        <f t="shared" si="89"/>
        <v>45597</v>
      </c>
      <c r="AA303" s="4">
        <f t="array" ref="AA303">MIN(IF($F$2:$F$633=F303,$Z$2:$Z$633))</f>
        <v>44927</v>
      </c>
      <c r="AB303">
        <f t="shared" si="90"/>
        <v>22</v>
      </c>
      <c r="AC303">
        <f t="shared" si="91"/>
        <v>0</v>
      </c>
      <c r="AD303">
        <f t="shared" si="92"/>
        <v>1</v>
      </c>
      <c r="AE303" s="13">
        <f t="shared" si="93"/>
        <v>0</v>
      </c>
      <c r="AH303">
        <f t="shared" si="94"/>
        <v>61.199999999999996</v>
      </c>
      <c r="AI303">
        <f t="shared" si="95"/>
        <v>1418.6169999999997</v>
      </c>
      <c r="AJ303" s="11">
        <f t="shared" si="96"/>
        <v>0.25</v>
      </c>
      <c r="AK303">
        <f t="shared" si="97"/>
        <v>87784.209000000003</v>
      </c>
      <c r="AL303">
        <f t="shared" si="98"/>
        <v>86819.360399999976</v>
      </c>
      <c r="AM303">
        <f t="shared" si="99"/>
        <v>964.84860000002664</v>
      </c>
    </row>
    <row r="304" spans="1:39" x14ac:dyDescent="0.25">
      <c r="A304" t="s">
        <v>523</v>
      </c>
      <c r="B304" s="4">
        <v>45608</v>
      </c>
      <c r="C304" s="4">
        <v>45617</v>
      </c>
      <c r="D304" s="13">
        <f t="shared" si="80"/>
        <v>9</v>
      </c>
      <c r="E304" s="6" t="s">
        <v>647</v>
      </c>
      <c r="F304" t="s">
        <v>654</v>
      </c>
      <c r="G304" t="s">
        <v>691</v>
      </c>
      <c r="H304" t="s">
        <v>701</v>
      </c>
      <c r="I304" t="s">
        <v>711</v>
      </c>
      <c r="J304" t="s">
        <v>722</v>
      </c>
      <c r="K304" t="s">
        <v>731</v>
      </c>
      <c r="L304" t="s">
        <v>1242</v>
      </c>
      <c r="M304" s="8">
        <v>903.41</v>
      </c>
      <c r="N304" s="8">
        <v>1860.41</v>
      </c>
      <c r="O304" s="8">
        <f t="shared" si="81"/>
        <v>1860.41</v>
      </c>
      <c r="P304" s="11">
        <v>0.108</v>
      </c>
      <c r="Q304" s="13">
        <v>5</v>
      </c>
      <c r="R304" s="8">
        <f t="shared" si="82"/>
        <v>8297.4286000000011</v>
      </c>
      <c r="S304" s="8">
        <f t="shared" si="83"/>
        <v>4517.05</v>
      </c>
      <c r="T304" s="8">
        <f t="shared" si="84"/>
        <v>3780.3786000000009</v>
      </c>
      <c r="U304" s="11">
        <f t="shared" si="85"/>
        <v>0.455608451996803</v>
      </c>
      <c r="V304" s="17">
        <v>45250</v>
      </c>
      <c r="W304" s="4" t="str">
        <f t="shared" si="86"/>
        <v>Q4-2024</v>
      </c>
      <c r="X304" t="str">
        <f t="shared" si="87"/>
        <v>Asia → India → Mumbai</v>
      </c>
      <c r="Y304" t="str">
        <f t="shared" si="88"/>
        <v>High</v>
      </c>
      <c r="Z304" s="20">
        <f t="shared" si="89"/>
        <v>45597</v>
      </c>
      <c r="AA304" s="4">
        <f t="array" ref="AA304">MIN(IF($F$2:$F$633=F304,$Z$2:$Z$633))</f>
        <v>44927</v>
      </c>
      <c r="AB304">
        <f t="shared" si="90"/>
        <v>22</v>
      </c>
      <c r="AC304">
        <f t="shared" si="91"/>
        <v>0</v>
      </c>
      <c r="AD304">
        <f t="shared" si="92"/>
        <v>0</v>
      </c>
      <c r="AE304" s="13">
        <f t="shared" si="93"/>
        <v>0</v>
      </c>
      <c r="AH304">
        <f t="shared" si="94"/>
        <v>6</v>
      </c>
      <c r="AI304">
        <f t="shared" si="95"/>
        <v>1038.9214999999999</v>
      </c>
      <c r="AJ304" s="11">
        <f t="shared" si="96"/>
        <v>0.108</v>
      </c>
      <c r="AK304">
        <f t="shared" si="97"/>
        <v>9956.9143200000017</v>
      </c>
      <c r="AL304">
        <f t="shared" si="98"/>
        <v>6233.5289999999995</v>
      </c>
      <c r="AM304">
        <f t="shared" si="99"/>
        <v>3723.3853200000021</v>
      </c>
    </row>
    <row r="305" spans="1:39" x14ac:dyDescent="0.25">
      <c r="A305" t="s">
        <v>430</v>
      </c>
      <c r="B305" s="4">
        <v>45626</v>
      </c>
      <c r="C305" s="4">
        <v>45636</v>
      </c>
      <c r="D305" s="13">
        <f t="shared" si="80"/>
        <v>10</v>
      </c>
      <c r="E305" s="6" t="s">
        <v>647</v>
      </c>
      <c r="F305" t="s">
        <v>654</v>
      </c>
      <c r="G305" t="s">
        <v>696</v>
      </c>
      <c r="H305" t="s">
        <v>705</v>
      </c>
      <c r="I305" t="s">
        <v>707</v>
      </c>
      <c r="J305" t="s">
        <v>721</v>
      </c>
      <c r="K305" t="s">
        <v>733</v>
      </c>
      <c r="L305" t="s">
        <v>1149</v>
      </c>
      <c r="M305" s="8">
        <v>851.49</v>
      </c>
      <c r="N305" s="8">
        <v>901.79</v>
      </c>
      <c r="O305" s="8">
        <f t="shared" si="81"/>
        <v>901.79</v>
      </c>
      <c r="P305" s="11">
        <v>0.245</v>
      </c>
      <c r="Q305" s="13">
        <v>16</v>
      </c>
      <c r="R305" s="8">
        <f t="shared" si="82"/>
        <v>10893.6232</v>
      </c>
      <c r="S305" s="8">
        <f t="shared" si="83"/>
        <v>13623.84</v>
      </c>
      <c r="T305" s="8">
        <f t="shared" si="84"/>
        <v>-2730.2168000000001</v>
      </c>
      <c r="U305" s="11">
        <f t="shared" si="85"/>
        <v>-0.25062522816100341</v>
      </c>
      <c r="V305" s="17">
        <v>45225</v>
      </c>
      <c r="W305" s="4" t="str">
        <f t="shared" si="86"/>
        <v>Q4-2024</v>
      </c>
      <c r="X305" t="str">
        <f t="shared" si="87"/>
        <v>Asia → India → Hyderabad</v>
      </c>
      <c r="Y305" t="str">
        <f t="shared" si="88"/>
        <v>Medium</v>
      </c>
      <c r="Z305" s="20">
        <f t="shared" si="89"/>
        <v>45597</v>
      </c>
      <c r="AA305" s="4">
        <f t="array" ref="AA305">MIN(IF($F$2:$F$633=F305,$Z$2:$Z$633))</f>
        <v>44927</v>
      </c>
      <c r="AB305">
        <f t="shared" si="90"/>
        <v>22</v>
      </c>
      <c r="AC305">
        <f t="shared" si="91"/>
        <v>0</v>
      </c>
      <c r="AD305">
        <f t="shared" si="92"/>
        <v>1</v>
      </c>
      <c r="AE305" s="13">
        <f t="shared" si="93"/>
        <v>0</v>
      </c>
      <c r="AH305">
        <f t="shared" si="94"/>
        <v>19.2</v>
      </c>
      <c r="AI305">
        <f t="shared" si="95"/>
        <v>979.21349999999995</v>
      </c>
      <c r="AJ305" s="11">
        <f t="shared" si="96"/>
        <v>0.245</v>
      </c>
      <c r="AK305">
        <f t="shared" si="97"/>
        <v>13072.347839999999</v>
      </c>
      <c r="AL305">
        <f t="shared" si="98"/>
        <v>18800.8992</v>
      </c>
      <c r="AM305">
        <f t="shared" si="99"/>
        <v>-5728.5513600000013</v>
      </c>
    </row>
    <row r="306" spans="1:39" x14ac:dyDescent="0.25">
      <c r="A306" t="s">
        <v>420</v>
      </c>
      <c r="B306" s="4">
        <v>45646</v>
      </c>
      <c r="C306" s="4">
        <v>45671</v>
      </c>
      <c r="D306" s="13">
        <f t="shared" si="80"/>
        <v>25</v>
      </c>
      <c r="E306" s="6" t="s">
        <v>647</v>
      </c>
      <c r="F306" t="s">
        <v>654</v>
      </c>
      <c r="G306" t="s">
        <v>680</v>
      </c>
      <c r="H306" t="s">
        <v>705</v>
      </c>
      <c r="I306" t="s">
        <v>707</v>
      </c>
      <c r="J306" t="s">
        <v>724</v>
      </c>
      <c r="K306" t="s">
        <v>728</v>
      </c>
      <c r="L306" t="s">
        <v>1139</v>
      </c>
      <c r="M306" s="8">
        <v>1361.34</v>
      </c>
      <c r="N306" s="8">
        <v>1737.9</v>
      </c>
      <c r="O306" s="8">
        <f t="shared" si="81"/>
        <v>1737.9</v>
      </c>
      <c r="P306" s="11">
        <v>7.6999999999999999E-2</v>
      </c>
      <c r="Q306" s="13">
        <v>14</v>
      </c>
      <c r="R306" s="8">
        <f t="shared" si="82"/>
        <v>22457.143800000002</v>
      </c>
      <c r="S306" s="8">
        <f t="shared" si="83"/>
        <v>19058.759999999998</v>
      </c>
      <c r="T306" s="8">
        <f t="shared" si="84"/>
        <v>3398.3838000000032</v>
      </c>
      <c r="U306" s="11">
        <f t="shared" si="85"/>
        <v>0.15132751654731813</v>
      </c>
      <c r="V306" s="17">
        <v>45208</v>
      </c>
      <c r="W306" s="4" t="str">
        <f t="shared" si="86"/>
        <v>Q4-2024</v>
      </c>
      <c r="X306" t="str">
        <f t="shared" si="87"/>
        <v>Asia → India → Delhi</v>
      </c>
      <c r="Y306" t="str">
        <f t="shared" si="88"/>
        <v>High</v>
      </c>
      <c r="Z306" s="20">
        <f t="shared" si="89"/>
        <v>45627</v>
      </c>
      <c r="AA306" s="4">
        <f t="array" ref="AA306">MIN(IF($F$2:$F$633=F306,$Z$2:$Z$633))</f>
        <v>44927</v>
      </c>
      <c r="AB306">
        <f t="shared" si="90"/>
        <v>23</v>
      </c>
      <c r="AC306">
        <f t="shared" si="91"/>
        <v>0</v>
      </c>
      <c r="AD306">
        <f t="shared" si="92"/>
        <v>0</v>
      </c>
      <c r="AE306" s="13">
        <f t="shared" si="93"/>
        <v>0</v>
      </c>
      <c r="AH306">
        <f t="shared" si="94"/>
        <v>16.8</v>
      </c>
      <c r="AI306">
        <f t="shared" si="95"/>
        <v>1565.5409999999997</v>
      </c>
      <c r="AJ306" s="11">
        <f t="shared" si="96"/>
        <v>7.6999999999999999E-2</v>
      </c>
      <c r="AK306">
        <f t="shared" si="97"/>
        <v>26948.572560000001</v>
      </c>
      <c r="AL306">
        <f t="shared" si="98"/>
        <v>26301.088799999998</v>
      </c>
      <c r="AM306">
        <f t="shared" si="99"/>
        <v>647.4837600000028</v>
      </c>
    </row>
    <row r="307" spans="1:39" x14ac:dyDescent="0.25">
      <c r="A307" t="s">
        <v>450</v>
      </c>
      <c r="B307" s="4">
        <v>45650</v>
      </c>
      <c r="C307" s="4">
        <v>45670</v>
      </c>
      <c r="D307" s="13">
        <f t="shared" si="80"/>
        <v>20</v>
      </c>
      <c r="E307" s="6" t="s">
        <v>647</v>
      </c>
      <c r="F307" t="s">
        <v>654</v>
      </c>
      <c r="G307" t="s">
        <v>668</v>
      </c>
      <c r="H307" t="s">
        <v>701</v>
      </c>
      <c r="I307" t="s">
        <v>709</v>
      </c>
      <c r="J307" t="s">
        <v>726</v>
      </c>
      <c r="K307" t="s">
        <v>729</v>
      </c>
      <c r="L307" t="s">
        <v>1169</v>
      </c>
      <c r="M307" s="8">
        <v>126.15</v>
      </c>
      <c r="N307" s="8">
        <v>284.23</v>
      </c>
      <c r="O307" s="8">
        <f t="shared" si="81"/>
        <v>284.23</v>
      </c>
      <c r="P307" s="11">
        <v>0.113</v>
      </c>
      <c r="Q307" s="13">
        <v>22</v>
      </c>
      <c r="R307" s="8">
        <f t="shared" si="82"/>
        <v>5546.4642200000008</v>
      </c>
      <c r="S307" s="8">
        <f t="shared" si="83"/>
        <v>2775.3</v>
      </c>
      <c r="T307" s="8">
        <f t="shared" si="84"/>
        <v>2771.1642200000006</v>
      </c>
      <c r="U307" s="11">
        <f t="shared" si="85"/>
        <v>0.49962716968541088</v>
      </c>
      <c r="V307" s="17">
        <v>45188</v>
      </c>
      <c r="W307" s="4" t="str">
        <f t="shared" si="86"/>
        <v>Q4-2024</v>
      </c>
      <c r="X307" t="str">
        <f t="shared" si="87"/>
        <v>Asia → India → Bengaluru</v>
      </c>
      <c r="Y307" t="str">
        <f t="shared" si="88"/>
        <v>Low</v>
      </c>
      <c r="Z307" s="20">
        <f t="shared" si="89"/>
        <v>45627</v>
      </c>
      <c r="AA307" s="4">
        <f t="array" ref="AA307">MIN(IF($F$2:$F$633=F307,$Z$2:$Z$633))</f>
        <v>44927</v>
      </c>
      <c r="AB307">
        <f t="shared" si="90"/>
        <v>23</v>
      </c>
      <c r="AC307">
        <f t="shared" si="91"/>
        <v>0</v>
      </c>
      <c r="AD307">
        <f t="shared" si="92"/>
        <v>0</v>
      </c>
      <c r="AE307" s="13">
        <f t="shared" si="93"/>
        <v>0</v>
      </c>
      <c r="AH307">
        <f t="shared" si="94"/>
        <v>26.4</v>
      </c>
      <c r="AI307">
        <f t="shared" si="95"/>
        <v>145.07249999999999</v>
      </c>
      <c r="AJ307" s="11">
        <f t="shared" si="96"/>
        <v>0.113</v>
      </c>
      <c r="AK307">
        <f t="shared" si="97"/>
        <v>6655.7570640000004</v>
      </c>
      <c r="AL307">
        <f t="shared" si="98"/>
        <v>3829.9139999999998</v>
      </c>
      <c r="AM307">
        <f t="shared" si="99"/>
        <v>2825.8430640000006</v>
      </c>
    </row>
    <row r="308" spans="1:39" x14ac:dyDescent="0.25">
      <c r="A308" t="s">
        <v>45</v>
      </c>
      <c r="B308" s="4">
        <v>45653</v>
      </c>
      <c r="C308" s="4">
        <v>45672</v>
      </c>
      <c r="D308" s="13">
        <f t="shared" si="80"/>
        <v>19</v>
      </c>
      <c r="E308" s="6" t="s">
        <v>647</v>
      </c>
      <c r="F308" t="s">
        <v>654</v>
      </c>
      <c r="G308" t="s">
        <v>680</v>
      </c>
      <c r="H308" t="s">
        <v>703</v>
      </c>
      <c r="I308" t="s">
        <v>710</v>
      </c>
      <c r="J308" t="s">
        <v>715</v>
      </c>
      <c r="K308" t="s">
        <v>727</v>
      </c>
      <c r="L308" t="s">
        <v>764</v>
      </c>
      <c r="M308" s="8">
        <v>495.59</v>
      </c>
      <c r="N308" s="8">
        <v>631.78</v>
      </c>
      <c r="O308" s="8">
        <f t="shared" si="81"/>
        <v>631.78</v>
      </c>
      <c r="P308" s="11">
        <v>8.6999999999999994E-2</v>
      </c>
      <c r="Q308" s="13">
        <v>17</v>
      </c>
      <c r="R308" s="8">
        <f t="shared" si="82"/>
        <v>9805.8573800000013</v>
      </c>
      <c r="S308" s="8">
        <f t="shared" si="83"/>
        <v>8425.0299999999988</v>
      </c>
      <c r="T308" s="8">
        <f t="shared" si="84"/>
        <v>1380.8273800000024</v>
      </c>
      <c r="U308" s="11">
        <f t="shared" si="85"/>
        <v>0.14081658813601899</v>
      </c>
      <c r="V308" s="17">
        <v>45187</v>
      </c>
      <c r="W308" s="4" t="str">
        <f t="shared" si="86"/>
        <v>Q4-2024</v>
      </c>
      <c r="X308" t="str">
        <f t="shared" si="87"/>
        <v>Asia → India → Delhi</v>
      </c>
      <c r="Y308" t="str">
        <f t="shared" si="88"/>
        <v>Low</v>
      </c>
      <c r="Z308" s="20">
        <f t="shared" si="89"/>
        <v>45627</v>
      </c>
      <c r="AA308" s="4">
        <f t="array" ref="AA308">MIN(IF($F$2:$F$633=F308,$Z$2:$Z$633))</f>
        <v>44927</v>
      </c>
      <c r="AB308">
        <f t="shared" si="90"/>
        <v>23</v>
      </c>
      <c r="AC308">
        <f t="shared" si="91"/>
        <v>0</v>
      </c>
      <c r="AD308">
        <f t="shared" si="92"/>
        <v>0</v>
      </c>
      <c r="AE308" s="13">
        <f t="shared" si="93"/>
        <v>0</v>
      </c>
      <c r="AH308">
        <f t="shared" si="94"/>
        <v>20.399999999999999</v>
      </c>
      <c r="AI308">
        <f t="shared" si="95"/>
        <v>569.92849999999987</v>
      </c>
      <c r="AJ308" s="11">
        <f t="shared" si="96"/>
        <v>8.6999999999999994E-2</v>
      </c>
      <c r="AK308">
        <f t="shared" si="97"/>
        <v>11767.028855999999</v>
      </c>
      <c r="AL308">
        <f t="shared" si="98"/>
        <v>11626.541399999996</v>
      </c>
      <c r="AM308">
        <f t="shared" si="99"/>
        <v>140.48745600000257</v>
      </c>
    </row>
    <row r="309" spans="1:39" x14ac:dyDescent="0.25">
      <c r="A309" t="s">
        <v>21</v>
      </c>
      <c r="B309" s="4">
        <v>45653</v>
      </c>
      <c r="C309" s="4">
        <v>45671</v>
      </c>
      <c r="D309" s="13">
        <f t="shared" si="80"/>
        <v>18</v>
      </c>
      <c r="E309" s="6" t="s">
        <v>647</v>
      </c>
      <c r="F309" t="s">
        <v>654</v>
      </c>
      <c r="G309" t="s">
        <v>668</v>
      </c>
      <c r="H309" t="s">
        <v>705</v>
      </c>
      <c r="I309" t="s">
        <v>709</v>
      </c>
      <c r="J309" t="s">
        <v>718</v>
      </c>
      <c r="K309" t="s">
        <v>732</v>
      </c>
      <c r="L309" t="s">
        <v>740</v>
      </c>
      <c r="M309" s="8">
        <v>586.07000000000005</v>
      </c>
      <c r="N309" s="8">
        <v>845.97</v>
      </c>
      <c r="O309" s="8">
        <f t="shared" si="81"/>
        <v>845.97</v>
      </c>
      <c r="P309" s="11">
        <v>0.14699999999999999</v>
      </c>
      <c r="Q309" s="13">
        <v>4</v>
      </c>
      <c r="R309" s="8">
        <f t="shared" si="82"/>
        <v>2886.4496399999998</v>
      </c>
      <c r="S309" s="8">
        <f t="shared" si="83"/>
        <v>2344.2800000000002</v>
      </c>
      <c r="T309" s="8">
        <f t="shared" si="84"/>
        <v>542.16963999999962</v>
      </c>
      <c r="U309" s="11">
        <f t="shared" si="85"/>
        <v>0.18783270370862928</v>
      </c>
      <c r="V309" s="17">
        <v>45204</v>
      </c>
      <c r="W309" s="4" t="str">
        <f t="shared" si="86"/>
        <v>Q4-2024</v>
      </c>
      <c r="X309" t="str">
        <f t="shared" si="87"/>
        <v>Asia → India → Bengaluru</v>
      </c>
      <c r="Y309" t="str">
        <f t="shared" si="88"/>
        <v>Medium</v>
      </c>
      <c r="Z309" s="20">
        <f t="shared" si="89"/>
        <v>45627</v>
      </c>
      <c r="AA309" s="4">
        <f t="array" ref="AA309">MIN(IF($F$2:$F$633=F309,$Z$2:$Z$633))</f>
        <v>44927</v>
      </c>
      <c r="AB309">
        <f t="shared" si="90"/>
        <v>23</v>
      </c>
      <c r="AC309">
        <f t="shared" si="91"/>
        <v>0</v>
      </c>
      <c r="AD309">
        <f t="shared" si="92"/>
        <v>0</v>
      </c>
      <c r="AE309" s="13">
        <f t="shared" si="93"/>
        <v>0</v>
      </c>
      <c r="AH309">
        <f t="shared" si="94"/>
        <v>4.8</v>
      </c>
      <c r="AI309">
        <f t="shared" si="95"/>
        <v>673.98050000000001</v>
      </c>
      <c r="AJ309" s="11">
        <f t="shared" si="96"/>
        <v>0.14699999999999999</v>
      </c>
      <c r="AK309">
        <f t="shared" si="97"/>
        <v>3463.739568</v>
      </c>
      <c r="AL309">
        <f t="shared" si="98"/>
        <v>3235.1064000000001</v>
      </c>
      <c r="AM309">
        <f t="shared" si="99"/>
        <v>228.63316799999984</v>
      </c>
    </row>
    <row r="310" spans="1:39" x14ac:dyDescent="0.25">
      <c r="A310" t="s">
        <v>528</v>
      </c>
      <c r="B310" s="4">
        <v>45661</v>
      </c>
      <c r="C310" s="4">
        <v>45662</v>
      </c>
      <c r="D310" s="13">
        <f t="shared" si="80"/>
        <v>1</v>
      </c>
      <c r="E310" s="6" t="s">
        <v>647</v>
      </c>
      <c r="F310" t="s">
        <v>654</v>
      </c>
      <c r="G310" t="s">
        <v>680</v>
      </c>
      <c r="H310" t="s">
        <v>702</v>
      </c>
      <c r="I310" t="s">
        <v>707</v>
      </c>
      <c r="J310" t="s">
        <v>714</v>
      </c>
      <c r="K310" t="s">
        <v>727</v>
      </c>
      <c r="L310" t="s">
        <v>1247</v>
      </c>
      <c r="M310" s="8">
        <v>1428.33</v>
      </c>
      <c r="N310" s="8">
        <v>3028.05</v>
      </c>
      <c r="O310" s="8">
        <f t="shared" si="81"/>
        <v>3028.05</v>
      </c>
      <c r="P310" s="11">
        <v>0</v>
      </c>
      <c r="Q310" s="13">
        <v>11</v>
      </c>
      <c r="R310" s="8">
        <f t="shared" si="82"/>
        <v>33308.550000000003</v>
      </c>
      <c r="S310" s="8">
        <f t="shared" si="83"/>
        <v>15711.63</v>
      </c>
      <c r="T310" s="8">
        <f t="shared" si="84"/>
        <v>17596.920000000006</v>
      </c>
      <c r="U310" s="11">
        <f t="shared" si="85"/>
        <v>0.52830039134096207</v>
      </c>
      <c r="V310" s="17">
        <v>45161</v>
      </c>
      <c r="W310" s="4" t="str">
        <f t="shared" si="86"/>
        <v>Q1-2025</v>
      </c>
      <c r="X310" t="str">
        <f t="shared" si="87"/>
        <v>Asia → India → Delhi</v>
      </c>
      <c r="Y310" t="str">
        <f t="shared" si="88"/>
        <v>High</v>
      </c>
      <c r="Z310" s="20">
        <f t="shared" si="89"/>
        <v>45658</v>
      </c>
      <c r="AA310" s="4">
        <f t="array" ref="AA310">MIN(IF($F$2:$F$633=F310,$Z$2:$Z$633))</f>
        <v>44927</v>
      </c>
      <c r="AB310">
        <f t="shared" si="90"/>
        <v>24</v>
      </c>
      <c r="AC310">
        <f t="shared" si="91"/>
        <v>1</v>
      </c>
      <c r="AD310">
        <f t="shared" si="92"/>
        <v>0</v>
      </c>
      <c r="AE310" s="13">
        <f t="shared" si="93"/>
        <v>1</v>
      </c>
      <c r="AH310">
        <f t="shared" si="94"/>
        <v>13.2</v>
      </c>
      <c r="AI310">
        <f t="shared" si="95"/>
        <v>1642.5794999999998</v>
      </c>
      <c r="AJ310" s="11">
        <f t="shared" si="96"/>
        <v>0</v>
      </c>
      <c r="AK310">
        <f t="shared" si="97"/>
        <v>39970.26</v>
      </c>
      <c r="AL310">
        <f t="shared" si="98"/>
        <v>21682.049399999996</v>
      </c>
      <c r="AM310">
        <f t="shared" si="99"/>
        <v>18288.210600000006</v>
      </c>
    </row>
    <row r="311" spans="1:39" x14ac:dyDescent="0.25">
      <c r="A311" t="s">
        <v>285</v>
      </c>
      <c r="B311" s="4">
        <v>45707</v>
      </c>
      <c r="C311" s="4">
        <v>45725</v>
      </c>
      <c r="D311" s="13">
        <f t="shared" si="80"/>
        <v>18</v>
      </c>
      <c r="E311" s="6" t="s">
        <v>647</v>
      </c>
      <c r="F311" t="s">
        <v>654</v>
      </c>
      <c r="G311" t="s">
        <v>680</v>
      </c>
      <c r="H311" t="s">
        <v>705</v>
      </c>
      <c r="I311" t="s">
        <v>711</v>
      </c>
      <c r="J311" t="s">
        <v>719</v>
      </c>
      <c r="K311" t="s">
        <v>732</v>
      </c>
      <c r="L311" t="s">
        <v>1005</v>
      </c>
      <c r="M311" s="8">
        <v>325.87</v>
      </c>
      <c r="N311" s="8">
        <v>538.79</v>
      </c>
      <c r="O311" s="8">
        <f t="shared" si="81"/>
        <v>538.79</v>
      </c>
      <c r="P311" s="11">
        <v>0.17399999999999999</v>
      </c>
      <c r="Q311" s="13">
        <v>16</v>
      </c>
      <c r="R311" s="8">
        <f t="shared" si="82"/>
        <v>7120.6486400000003</v>
      </c>
      <c r="S311" s="8">
        <f t="shared" si="83"/>
        <v>5213.92</v>
      </c>
      <c r="T311" s="8">
        <f t="shared" si="84"/>
        <v>1906.7286400000003</v>
      </c>
      <c r="U311" s="11">
        <f t="shared" si="85"/>
        <v>0.26777457172778013</v>
      </c>
      <c r="V311" s="17">
        <v>45141</v>
      </c>
      <c r="W311" s="4" t="str">
        <f t="shared" si="86"/>
        <v>Q1-2025</v>
      </c>
      <c r="X311" t="str">
        <f t="shared" si="87"/>
        <v>Asia → India → Delhi</v>
      </c>
      <c r="Y311" t="str">
        <f t="shared" si="88"/>
        <v>Low</v>
      </c>
      <c r="Z311" s="20">
        <f t="shared" si="89"/>
        <v>45689</v>
      </c>
      <c r="AA311" s="4">
        <f t="array" ref="AA311">MIN(IF($F$2:$F$633=F311,$Z$2:$Z$633))</f>
        <v>44927</v>
      </c>
      <c r="AB311">
        <f t="shared" si="90"/>
        <v>25</v>
      </c>
      <c r="AC311">
        <f t="shared" si="91"/>
        <v>0</v>
      </c>
      <c r="AD311">
        <f t="shared" si="92"/>
        <v>0</v>
      </c>
      <c r="AE311" s="13">
        <f t="shared" si="93"/>
        <v>0</v>
      </c>
      <c r="AH311">
        <f t="shared" si="94"/>
        <v>19.2</v>
      </c>
      <c r="AI311">
        <f t="shared" si="95"/>
        <v>374.75049999999999</v>
      </c>
      <c r="AJ311" s="11">
        <f t="shared" si="96"/>
        <v>0.17399999999999999</v>
      </c>
      <c r="AK311">
        <f t="shared" si="97"/>
        <v>8544.7783679999993</v>
      </c>
      <c r="AL311">
        <f t="shared" si="98"/>
        <v>7195.2095999999992</v>
      </c>
      <c r="AM311">
        <f t="shared" si="99"/>
        <v>1349.5687680000001</v>
      </c>
    </row>
    <row r="312" spans="1:39" x14ac:dyDescent="0.25">
      <c r="A312" t="s">
        <v>422</v>
      </c>
      <c r="B312" s="4">
        <v>45724</v>
      </c>
      <c r="C312" s="4">
        <v>45731</v>
      </c>
      <c r="D312" s="13">
        <f t="shared" si="80"/>
        <v>7</v>
      </c>
      <c r="E312" s="6" t="s">
        <v>647</v>
      </c>
      <c r="F312" t="s">
        <v>654</v>
      </c>
      <c r="G312" t="s">
        <v>668</v>
      </c>
      <c r="H312" t="s">
        <v>701</v>
      </c>
      <c r="I312" t="s">
        <v>710</v>
      </c>
      <c r="J312" t="s">
        <v>723</v>
      </c>
      <c r="K312" t="s">
        <v>731</v>
      </c>
      <c r="L312" t="s">
        <v>1141</v>
      </c>
      <c r="M312" s="8">
        <v>475.66</v>
      </c>
      <c r="N312" s="8">
        <v>529.14</v>
      </c>
      <c r="O312" s="8">
        <f t="shared" si="81"/>
        <v>529.14</v>
      </c>
      <c r="P312" s="11">
        <v>0.19600000000000001</v>
      </c>
      <c r="Q312" s="13">
        <v>11</v>
      </c>
      <c r="R312" s="8">
        <f t="shared" si="82"/>
        <v>4679.7141600000004</v>
      </c>
      <c r="S312" s="8">
        <f t="shared" si="83"/>
        <v>5232.26</v>
      </c>
      <c r="T312" s="8">
        <f t="shared" si="84"/>
        <v>-552.54583999999977</v>
      </c>
      <c r="U312" s="11">
        <f t="shared" si="85"/>
        <v>-0.11807256193613323</v>
      </c>
      <c r="V312" s="17">
        <v>45140</v>
      </c>
      <c r="W312" s="4" t="str">
        <f t="shared" si="86"/>
        <v>Q1-2025</v>
      </c>
      <c r="X312" t="str">
        <f t="shared" si="87"/>
        <v>Asia → India → Bengaluru</v>
      </c>
      <c r="Y312" t="str">
        <f t="shared" si="88"/>
        <v>Low</v>
      </c>
      <c r="Z312" s="20">
        <f t="shared" si="89"/>
        <v>45717</v>
      </c>
      <c r="AA312" s="4">
        <f t="array" ref="AA312">MIN(IF($F$2:$F$633=F312,$Z$2:$Z$633))</f>
        <v>44927</v>
      </c>
      <c r="AB312">
        <f t="shared" si="90"/>
        <v>26</v>
      </c>
      <c r="AC312">
        <f t="shared" si="91"/>
        <v>1</v>
      </c>
      <c r="AD312">
        <f t="shared" si="92"/>
        <v>0</v>
      </c>
      <c r="AE312" s="13">
        <f t="shared" si="93"/>
        <v>1</v>
      </c>
      <c r="AH312">
        <f t="shared" si="94"/>
        <v>13.2</v>
      </c>
      <c r="AI312">
        <f t="shared" si="95"/>
        <v>547.00900000000001</v>
      </c>
      <c r="AJ312" s="11">
        <f t="shared" si="96"/>
        <v>0.19600000000000001</v>
      </c>
      <c r="AK312">
        <f t="shared" si="97"/>
        <v>5615.6569919999993</v>
      </c>
      <c r="AL312">
        <f t="shared" si="98"/>
        <v>7220.5187999999998</v>
      </c>
      <c r="AM312">
        <f t="shared" si="99"/>
        <v>-1604.8618080000006</v>
      </c>
    </row>
    <row r="313" spans="1:39" x14ac:dyDescent="0.25">
      <c r="A313" t="s">
        <v>381</v>
      </c>
      <c r="B313" s="4">
        <v>45731</v>
      </c>
      <c r="C313" s="4">
        <v>45745</v>
      </c>
      <c r="D313" s="13">
        <f t="shared" si="80"/>
        <v>14</v>
      </c>
      <c r="E313" s="6" t="s">
        <v>647</v>
      </c>
      <c r="F313" t="s">
        <v>654</v>
      </c>
      <c r="G313" t="s">
        <v>691</v>
      </c>
      <c r="H313" t="s">
        <v>706</v>
      </c>
      <c r="I313" t="s">
        <v>711</v>
      </c>
      <c r="J313" t="s">
        <v>712</v>
      </c>
      <c r="K313" t="s">
        <v>727</v>
      </c>
      <c r="L313" t="s">
        <v>1101</v>
      </c>
      <c r="M313" s="8">
        <v>935.83</v>
      </c>
      <c r="N313" s="8">
        <v>2303.46</v>
      </c>
      <c r="O313" s="8">
        <f t="shared" si="81"/>
        <v>2303.46</v>
      </c>
      <c r="P313" s="11">
        <v>0.105</v>
      </c>
      <c r="Q313" s="13">
        <v>9</v>
      </c>
      <c r="R313" s="8">
        <f t="shared" si="82"/>
        <v>18554.370299999999</v>
      </c>
      <c r="S313" s="8">
        <f t="shared" si="83"/>
        <v>8422.4700000000012</v>
      </c>
      <c r="T313" s="8">
        <f t="shared" si="84"/>
        <v>10131.900299999998</v>
      </c>
      <c r="U313" s="11">
        <f t="shared" si="85"/>
        <v>0.54606543559174292</v>
      </c>
      <c r="V313" s="17">
        <v>45121</v>
      </c>
      <c r="W313" s="4" t="str">
        <f t="shared" si="86"/>
        <v>Q1-2025</v>
      </c>
      <c r="X313" t="str">
        <f t="shared" si="87"/>
        <v>Asia → India → Mumbai</v>
      </c>
      <c r="Y313" t="str">
        <f t="shared" si="88"/>
        <v>High</v>
      </c>
      <c r="Z313" s="20">
        <f t="shared" si="89"/>
        <v>45717</v>
      </c>
      <c r="AA313" s="4">
        <f t="array" ref="AA313">MIN(IF($F$2:$F$633=F313,$Z$2:$Z$633))</f>
        <v>44927</v>
      </c>
      <c r="AB313">
        <f t="shared" si="90"/>
        <v>26</v>
      </c>
      <c r="AC313">
        <f t="shared" si="91"/>
        <v>0</v>
      </c>
      <c r="AD313">
        <f t="shared" si="92"/>
        <v>0</v>
      </c>
      <c r="AE313" s="13">
        <f t="shared" si="93"/>
        <v>0</v>
      </c>
      <c r="AH313">
        <f t="shared" si="94"/>
        <v>10.799999999999999</v>
      </c>
      <c r="AI313">
        <f t="shared" si="95"/>
        <v>1076.2045000000001</v>
      </c>
      <c r="AJ313" s="11">
        <f t="shared" si="96"/>
        <v>0.105</v>
      </c>
      <c r="AK313">
        <f t="shared" si="97"/>
        <v>22265.244360000001</v>
      </c>
      <c r="AL313">
        <f t="shared" si="98"/>
        <v>11623.008599999999</v>
      </c>
      <c r="AM313">
        <f t="shared" si="99"/>
        <v>10642.235760000001</v>
      </c>
    </row>
    <row r="314" spans="1:39" x14ac:dyDescent="0.25">
      <c r="A314" t="s">
        <v>586</v>
      </c>
      <c r="B314" s="4">
        <v>45740</v>
      </c>
      <c r="C314" s="4">
        <v>45751</v>
      </c>
      <c r="D314" s="13">
        <f t="shared" si="80"/>
        <v>11</v>
      </c>
      <c r="E314" s="6" t="s">
        <v>647</v>
      </c>
      <c r="F314" t="s">
        <v>654</v>
      </c>
      <c r="G314" t="s">
        <v>691</v>
      </c>
      <c r="H314" t="s">
        <v>702</v>
      </c>
      <c r="I314" t="s">
        <v>709</v>
      </c>
      <c r="J314" t="s">
        <v>713</v>
      </c>
      <c r="K314" t="s">
        <v>730</v>
      </c>
      <c r="L314" t="s">
        <v>1304</v>
      </c>
      <c r="M314" s="8">
        <v>23.83</v>
      </c>
      <c r="N314" s="8">
        <v>47.29</v>
      </c>
      <c r="O314" s="8">
        <f t="shared" si="81"/>
        <v>47.29</v>
      </c>
      <c r="P314" s="11">
        <v>6.4000000000000001E-2</v>
      </c>
      <c r="Q314" s="13">
        <v>19</v>
      </c>
      <c r="R314" s="8">
        <f t="shared" si="82"/>
        <v>841.00536</v>
      </c>
      <c r="S314" s="8">
        <f t="shared" si="83"/>
        <v>452.77</v>
      </c>
      <c r="T314" s="8">
        <f t="shared" si="84"/>
        <v>388.23536000000001</v>
      </c>
      <c r="U314" s="11">
        <f t="shared" si="85"/>
        <v>0.46163244429262618</v>
      </c>
      <c r="V314" s="17">
        <v>45116</v>
      </c>
      <c r="W314" s="4" t="str">
        <f t="shared" si="86"/>
        <v>Q1-2025</v>
      </c>
      <c r="X314" t="str">
        <f t="shared" si="87"/>
        <v>Asia → India → Mumbai</v>
      </c>
      <c r="Y314" t="str">
        <f t="shared" si="88"/>
        <v>Low</v>
      </c>
      <c r="Z314" s="20">
        <f t="shared" si="89"/>
        <v>45717</v>
      </c>
      <c r="AA314" s="4">
        <f t="array" ref="AA314">MIN(IF($F$2:$F$633=F314,$Z$2:$Z$633))</f>
        <v>44927</v>
      </c>
      <c r="AB314">
        <f t="shared" si="90"/>
        <v>26</v>
      </c>
      <c r="AC314">
        <f t="shared" si="91"/>
        <v>0</v>
      </c>
      <c r="AD314">
        <f t="shared" si="92"/>
        <v>0</v>
      </c>
      <c r="AE314" s="13">
        <f t="shared" si="93"/>
        <v>0</v>
      </c>
      <c r="AH314">
        <f t="shared" si="94"/>
        <v>22.8</v>
      </c>
      <c r="AI314">
        <f t="shared" si="95"/>
        <v>27.404499999999995</v>
      </c>
      <c r="AJ314" s="11">
        <f t="shared" si="96"/>
        <v>6.4000000000000001E-2</v>
      </c>
      <c r="AK314">
        <f t="shared" si="97"/>
        <v>1009.2064319999999</v>
      </c>
      <c r="AL314">
        <f t="shared" si="98"/>
        <v>624.82259999999997</v>
      </c>
      <c r="AM314">
        <f t="shared" si="99"/>
        <v>384.38383199999998</v>
      </c>
    </row>
    <row r="315" spans="1:39" x14ac:dyDescent="0.25">
      <c r="A315" t="s">
        <v>348</v>
      </c>
      <c r="B315" s="4">
        <v>45774</v>
      </c>
      <c r="C315" s="4">
        <v>45804</v>
      </c>
      <c r="D315" s="13">
        <f t="shared" si="80"/>
        <v>30</v>
      </c>
      <c r="E315" s="6" t="s">
        <v>647</v>
      </c>
      <c r="F315" t="s">
        <v>654</v>
      </c>
      <c r="G315" t="s">
        <v>680</v>
      </c>
      <c r="H315" t="s">
        <v>706</v>
      </c>
      <c r="I315" t="s">
        <v>709</v>
      </c>
      <c r="J315" t="s">
        <v>722</v>
      </c>
      <c r="K315" t="s">
        <v>730</v>
      </c>
      <c r="L315" t="s">
        <v>1068</v>
      </c>
      <c r="M315" s="8">
        <v>481.32</v>
      </c>
      <c r="N315" s="8">
        <v>1135.99</v>
      </c>
      <c r="O315" s="8">
        <f t="shared" si="81"/>
        <v>1135.99</v>
      </c>
      <c r="P315" s="11">
        <v>0.14499999999999999</v>
      </c>
      <c r="Q315" s="13">
        <v>5</v>
      </c>
      <c r="R315" s="8">
        <f t="shared" si="82"/>
        <v>4856.35725</v>
      </c>
      <c r="S315" s="8">
        <f t="shared" si="83"/>
        <v>2406.6</v>
      </c>
      <c r="T315" s="8">
        <f t="shared" si="84"/>
        <v>2449.7572500000001</v>
      </c>
      <c r="U315" s="11">
        <f t="shared" si="85"/>
        <v>0.50444337677175621</v>
      </c>
      <c r="V315" s="17">
        <v>45091</v>
      </c>
      <c r="W315" s="4" t="str">
        <f t="shared" si="86"/>
        <v>Q2-2025</v>
      </c>
      <c r="X315" t="str">
        <f t="shared" si="87"/>
        <v>Asia → India → Delhi</v>
      </c>
      <c r="Y315" t="str">
        <f t="shared" si="88"/>
        <v>Medium</v>
      </c>
      <c r="Z315" s="20">
        <f t="shared" si="89"/>
        <v>45748</v>
      </c>
      <c r="AA315" s="4">
        <f t="array" ref="AA315">MIN(IF($F$2:$F$633=F315,$Z$2:$Z$633))</f>
        <v>44927</v>
      </c>
      <c r="AB315">
        <f t="shared" si="90"/>
        <v>27</v>
      </c>
      <c r="AC315">
        <f t="shared" si="91"/>
        <v>0</v>
      </c>
      <c r="AD315">
        <f t="shared" si="92"/>
        <v>0</v>
      </c>
      <c r="AE315" s="13">
        <f t="shared" si="93"/>
        <v>0</v>
      </c>
      <c r="AH315">
        <f t="shared" si="94"/>
        <v>6</v>
      </c>
      <c r="AI315">
        <f t="shared" si="95"/>
        <v>553.51799999999992</v>
      </c>
      <c r="AJ315" s="11">
        <f t="shared" si="96"/>
        <v>0.14499999999999999</v>
      </c>
      <c r="AK315">
        <f t="shared" si="97"/>
        <v>5827.6287000000002</v>
      </c>
      <c r="AL315">
        <f t="shared" si="98"/>
        <v>3321.1079999999993</v>
      </c>
      <c r="AM315">
        <f t="shared" si="99"/>
        <v>2506.5207000000009</v>
      </c>
    </row>
    <row r="316" spans="1:39" x14ac:dyDescent="0.25">
      <c r="A316" t="s">
        <v>443</v>
      </c>
      <c r="B316" s="4">
        <v>45784</v>
      </c>
      <c r="C316" s="4">
        <v>45790</v>
      </c>
      <c r="D316" s="13">
        <f t="shared" si="80"/>
        <v>6</v>
      </c>
      <c r="E316" s="6" t="s">
        <v>647</v>
      </c>
      <c r="F316" t="s">
        <v>654</v>
      </c>
      <c r="G316" t="s">
        <v>668</v>
      </c>
      <c r="H316" t="s">
        <v>706</v>
      </c>
      <c r="I316" t="s">
        <v>711</v>
      </c>
      <c r="J316" t="s">
        <v>713</v>
      </c>
      <c r="K316" t="s">
        <v>730</v>
      </c>
      <c r="L316" t="s">
        <v>1162</v>
      </c>
      <c r="M316" s="8">
        <v>935.98</v>
      </c>
      <c r="N316" s="8">
        <v>2077.69</v>
      </c>
      <c r="O316" s="8">
        <f t="shared" si="81"/>
        <v>2077.69</v>
      </c>
      <c r="P316" s="11">
        <v>0.17499999999999999</v>
      </c>
      <c r="Q316" s="13">
        <v>24</v>
      </c>
      <c r="R316" s="8">
        <f t="shared" si="82"/>
        <v>41138.261999999995</v>
      </c>
      <c r="S316" s="8">
        <f t="shared" si="83"/>
        <v>22463.52</v>
      </c>
      <c r="T316" s="8">
        <f t="shared" si="84"/>
        <v>18674.741999999995</v>
      </c>
      <c r="U316" s="11">
        <f t="shared" si="85"/>
        <v>0.45395067978321491</v>
      </c>
      <c r="V316" s="17">
        <v>45063</v>
      </c>
      <c r="W316" s="4" t="str">
        <f t="shared" si="86"/>
        <v>Q2-2025</v>
      </c>
      <c r="X316" t="str">
        <f t="shared" si="87"/>
        <v>Asia → India → Bengaluru</v>
      </c>
      <c r="Y316" t="str">
        <f t="shared" si="88"/>
        <v>High</v>
      </c>
      <c r="Z316" s="20">
        <f t="shared" si="89"/>
        <v>45778</v>
      </c>
      <c r="AA316" s="4">
        <f t="array" ref="AA316">MIN(IF($F$2:$F$633=F316,$Z$2:$Z$633))</f>
        <v>44927</v>
      </c>
      <c r="AB316">
        <f t="shared" si="90"/>
        <v>28</v>
      </c>
      <c r="AC316">
        <f t="shared" si="91"/>
        <v>1</v>
      </c>
      <c r="AD316">
        <f t="shared" si="92"/>
        <v>0</v>
      </c>
      <c r="AE316" s="13">
        <f t="shared" si="93"/>
        <v>1</v>
      </c>
      <c r="AH316">
        <f t="shared" si="94"/>
        <v>28.799999999999997</v>
      </c>
      <c r="AI316">
        <f t="shared" si="95"/>
        <v>1076.377</v>
      </c>
      <c r="AJ316" s="11">
        <f t="shared" si="96"/>
        <v>0.17499999999999999</v>
      </c>
      <c r="AK316">
        <f t="shared" si="97"/>
        <v>49365.914399999994</v>
      </c>
      <c r="AL316">
        <f t="shared" si="98"/>
        <v>30999.657599999995</v>
      </c>
      <c r="AM316">
        <f t="shared" si="99"/>
        <v>18366.256799999999</v>
      </c>
    </row>
    <row r="317" spans="1:39" x14ac:dyDescent="0.25">
      <c r="A317" t="s">
        <v>400</v>
      </c>
      <c r="B317" s="4">
        <v>45789</v>
      </c>
      <c r="C317" s="4">
        <v>45803</v>
      </c>
      <c r="D317" s="13">
        <f t="shared" si="80"/>
        <v>14</v>
      </c>
      <c r="E317" s="6" t="s">
        <v>647</v>
      </c>
      <c r="F317" t="s">
        <v>654</v>
      </c>
      <c r="G317" t="s">
        <v>696</v>
      </c>
      <c r="H317" t="s">
        <v>701</v>
      </c>
      <c r="I317" t="s">
        <v>709</v>
      </c>
      <c r="J317" t="s">
        <v>715</v>
      </c>
      <c r="K317" t="s">
        <v>728</v>
      </c>
      <c r="L317" t="s">
        <v>1119</v>
      </c>
      <c r="M317" s="8">
        <v>320.12</v>
      </c>
      <c r="N317" s="8">
        <v>594.41999999999996</v>
      </c>
      <c r="O317" s="8">
        <f t="shared" si="81"/>
        <v>594.41999999999996</v>
      </c>
      <c r="P317" s="11">
        <v>0.104</v>
      </c>
      <c r="Q317" s="13">
        <v>18</v>
      </c>
      <c r="R317" s="8">
        <f t="shared" si="82"/>
        <v>9586.8057599999993</v>
      </c>
      <c r="S317" s="8">
        <f t="shared" si="83"/>
        <v>5762.16</v>
      </c>
      <c r="T317" s="8">
        <f t="shared" si="84"/>
        <v>3824.6457599999994</v>
      </c>
      <c r="U317" s="11">
        <f t="shared" si="85"/>
        <v>0.39894891538931104</v>
      </c>
      <c r="V317" s="17">
        <v>45053</v>
      </c>
      <c r="W317" s="4" t="str">
        <f t="shared" si="86"/>
        <v>Q2-2025</v>
      </c>
      <c r="X317" t="str">
        <f t="shared" si="87"/>
        <v>Asia → India → Hyderabad</v>
      </c>
      <c r="Y317" t="str">
        <f t="shared" si="88"/>
        <v>Low</v>
      </c>
      <c r="Z317" s="20">
        <f t="shared" si="89"/>
        <v>45778</v>
      </c>
      <c r="AA317" s="4">
        <f t="array" ref="AA317">MIN(IF($F$2:$F$633=F317,$Z$2:$Z$633))</f>
        <v>44927</v>
      </c>
      <c r="AB317">
        <f t="shared" si="90"/>
        <v>28</v>
      </c>
      <c r="AC317">
        <f t="shared" si="91"/>
        <v>0</v>
      </c>
      <c r="AD317">
        <f t="shared" si="92"/>
        <v>0</v>
      </c>
      <c r="AE317" s="13">
        <f t="shared" si="93"/>
        <v>0</v>
      </c>
      <c r="AH317">
        <f t="shared" si="94"/>
        <v>21.599999999999998</v>
      </c>
      <c r="AI317">
        <f t="shared" si="95"/>
        <v>368.13799999999998</v>
      </c>
      <c r="AJ317" s="11">
        <f t="shared" si="96"/>
        <v>0.104</v>
      </c>
      <c r="AK317">
        <f t="shared" si="97"/>
        <v>11504.166911999999</v>
      </c>
      <c r="AL317">
        <f t="shared" si="98"/>
        <v>7951.7807999999986</v>
      </c>
      <c r="AM317">
        <f t="shared" si="99"/>
        <v>3552.3861120000001</v>
      </c>
    </row>
    <row r="318" spans="1:39" x14ac:dyDescent="0.25">
      <c r="A318" t="s">
        <v>297</v>
      </c>
      <c r="B318" s="4">
        <v>45794</v>
      </c>
      <c r="C318" s="4">
        <v>45805</v>
      </c>
      <c r="D318" s="13">
        <f t="shared" si="80"/>
        <v>11</v>
      </c>
      <c r="E318" s="6" t="s">
        <v>647</v>
      </c>
      <c r="F318" t="s">
        <v>654</v>
      </c>
      <c r="G318" t="s">
        <v>668</v>
      </c>
      <c r="H318" t="s">
        <v>701</v>
      </c>
      <c r="I318" t="s">
        <v>710</v>
      </c>
      <c r="J318" t="s">
        <v>717</v>
      </c>
      <c r="K318" t="s">
        <v>731</v>
      </c>
      <c r="L318" t="s">
        <v>1017</v>
      </c>
      <c r="M318" s="8">
        <v>623.4</v>
      </c>
      <c r="N318" s="8">
        <v>1100.0899999999999</v>
      </c>
      <c r="O318" s="8">
        <f t="shared" si="81"/>
        <v>1100.0899999999999</v>
      </c>
      <c r="P318" s="11">
        <v>0.114</v>
      </c>
      <c r="Q318" s="13">
        <v>12</v>
      </c>
      <c r="R318" s="8">
        <f t="shared" si="82"/>
        <v>11696.156879999999</v>
      </c>
      <c r="S318" s="8">
        <f t="shared" si="83"/>
        <v>7480.7999999999993</v>
      </c>
      <c r="T318" s="8">
        <f t="shared" si="84"/>
        <v>4215.3568799999994</v>
      </c>
      <c r="U318" s="11">
        <f t="shared" si="85"/>
        <v>0.36040529579490388</v>
      </c>
      <c r="V318" s="17">
        <v>45048</v>
      </c>
      <c r="W318" s="4" t="str">
        <f t="shared" si="86"/>
        <v>Q2-2025</v>
      </c>
      <c r="X318" t="str">
        <f t="shared" si="87"/>
        <v>Asia → India → Bengaluru</v>
      </c>
      <c r="Y318" t="str">
        <f t="shared" si="88"/>
        <v>Medium</v>
      </c>
      <c r="Z318" s="20">
        <f t="shared" si="89"/>
        <v>45778</v>
      </c>
      <c r="AA318" s="4">
        <f t="array" ref="AA318">MIN(IF($F$2:$F$633=F318,$Z$2:$Z$633))</f>
        <v>44927</v>
      </c>
      <c r="AB318">
        <f t="shared" si="90"/>
        <v>28</v>
      </c>
      <c r="AC318">
        <f t="shared" si="91"/>
        <v>0</v>
      </c>
      <c r="AD318">
        <f t="shared" si="92"/>
        <v>0</v>
      </c>
      <c r="AE318" s="13">
        <f t="shared" si="93"/>
        <v>0</v>
      </c>
      <c r="AH318">
        <f t="shared" si="94"/>
        <v>14.399999999999999</v>
      </c>
      <c r="AI318">
        <f t="shared" si="95"/>
        <v>716.91</v>
      </c>
      <c r="AJ318" s="11">
        <f t="shared" si="96"/>
        <v>0.114</v>
      </c>
      <c r="AK318">
        <f t="shared" si="97"/>
        <v>14035.388255999997</v>
      </c>
      <c r="AL318">
        <f t="shared" si="98"/>
        <v>10323.503999999999</v>
      </c>
      <c r="AM318">
        <f t="shared" si="99"/>
        <v>3711.8842559999975</v>
      </c>
    </row>
    <row r="319" spans="1:39" x14ac:dyDescent="0.25">
      <c r="A319" t="s">
        <v>431</v>
      </c>
      <c r="B319" s="4">
        <v>45813</v>
      </c>
      <c r="C319" s="4">
        <v>45822</v>
      </c>
      <c r="D319" s="13">
        <f t="shared" si="80"/>
        <v>9</v>
      </c>
      <c r="E319" s="6" t="s">
        <v>647</v>
      </c>
      <c r="F319" t="s">
        <v>654</v>
      </c>
      <c r="G319" t="s">
        <v>680</v>
      </c>
      <c r="H319" t="s">
        <v>703</v>
      </c>
      <c r="I319" t="s">
        <v>707</v>
      </c>
      <c r="J319" t="s">
        <v>720</v>
      </c>
      <c r="K319" t="s">
        <v>733</v>
      </c>
      <c r="L319" t="s">
        <v>1150</v>
      </c>
      <c r="M319" s="8">
        <v>618.69000000000005</v>
      </c>
      <c r="N319" s="8">
        <v>796.15</v>
      </c>
      <c r="O319" s="8">
        <f t="shared" si="81"/>
        <v>796.15</v>
      </c>
      <c r="P319" s="11">
        <v>0.09</v>
      </c>
      <c r="Q319" s="13">
        <v>11</v>
      </c>
      <c r="R319" s="8">
        <f t="shared" si="82"/>
        <v>7969.4615000000003</v>
      </c>
      <c r="S319" s="8">
        <f t="shared" si="83"/>
        <v>6805.59</v>
      </c>
      <c r="T319" s="8">
        <f t="shared" si="84"/>
        <v>1163.8715000000002</v>
      </c>
      <c r="U319" s="11">
        <f t="shared" si="85"/>
        <v>0.14604142325049191</v>
      </c>
      <c r="V319" s="17">
        <v>45030</v>
      </c>
      <c r="W319" s="4" t="str">
        <f t="shared" si="86"/>
        <v>Q2-2025</v>
      </c>
      <c r="X319" t="str">
        <f t="shared" si="87"/>
        <v>Asia → India → Delhi</v>
      </c>
      <c r="Y319" t="str">
        <f t="shared" si="88"/>
        <v>Low</v>
      </c>
      <c r="Z319" s="20">
        <f t="shared" si="89"/>
        <v>45809</v>
      </c>
      <c r="AA319" s="4">
        <f t="array" ref="AA319">MIN(IF($F$2:$F$633=F319,$Z$2:$Z$633))</f>
        <v>44927</v>
      </c>
      <c r="AB319">
        <f t="shared" si="90"/>
        <v>29</v>
      </c>
      <c r="AC319">
        <f t="shared" si="91"/>
        <v>0</v>
      </c>
      <c r="AD319">
        <f t="shared" si="92"/>
        <v>0</v>
      </c>
      <c r="AE319" s="13">
        <f t="shared" si="93"/>
        <v>0</v>
      </c>
      <c r="AH319">
        <f t="shared" si="94"/>
        <v>13.2</v>
      </c>
      <c r="AI319">
        <f t="shared" si="95"/>
        <v>711.49350000000004</v>
      </c>
      <c r="AJ319" s="11">
        <f t="shared" si="96"/>
        <v>0.09</v>
      </c>
      <c r="AK319">
        <f t="shared" si="97"/>
        <v>9563.353799999999</v>
      </c>
      <c r="AL319">
        <f t="shared" si="98"/>
        <v>9391.7142000000003</v>
      </c>
      <c r="AM319">
        <f t="shared" si="99"/>
        <v>171.63959999999861</v>
      </c>
    </row>
    <row r="320" spans="1:39" x14ac:dyDescent="0.25">
      <c r="A320" t="s">
        <v>106</v>
      </c>
      <c r="B320" s="4">
        <v>45817</v>
      </c>
      <c r="C320" s="4">
        <v>45833</v>
      </c>
      <c r="D320" s="13">
        <f t="shared" si="80"/>
        <v>16</v>
      </c>
      <c r="E320" s="6" t="s">
        <v>647</v>
      </c>
      <c r="F320" t="s">
        <v>654</v>
      </c>
      <c r="G320" t="s">
        <v>696</v>
      </c>
      <c r="H320" t="s">
        <v>706</v>
      </c>
      <c r="I320" t="s">
        <v>710</v>
      </c>
      <c r="J320" t="s">
        <v>724</v>
      </c>
      <c r="K320" t="s">
        <v>730</v>
      </c>
      <c r="L320" t="s">
        <v>825</v>
      </c>
      <c r="M320" s="8">
        <v>527.33000000000004</v>
      </c>
      <c r="N320" s="8">
        <v>911.72</v>
      </c>
      <c r="O320" s="8">
        <f t="shared" si="81"/>
        <v>911.72</v>
      </c>
      <c r="P320" s="11">
        <v>0.14399999999999999</v>
      </c>
      <c r="Q320" s="13">
        <v>25</v>
      </c>
      <c r="R320" s="8">
        <f t="shared" si="82"/>
        <v>19510.808000000001</v>
      </c>
      <c r="S320" s="8">
        <f t="shared" si="83"/>
        <v>13183.250000000002</v>
      </c>
      <c r="T320" s="8">
        <f t="shared" si="84"/>
        <v>6327.5579999999991</v>
      </c>
      <c r="U320" s="11">
        <f t="shared" si="85"/>
        <v>0.32431040272652978</v>
      </c>
      <c r="V320" s="17">
        <v>45037</v>
      </c>
      <c r="W320" s="4" t="str">
        <f t="shared" si="86"/>
        <v>Q2-2025</v>
      </c>
      <c r="X320" t="str">
        <f t="shared" si="87"/>
        <v>Asia → India → Hyderabad</v>
      </c>
      <c r="Y320" t="str">
        <f t="shared" si="88"/>
        <v>Medium</v>
      </c>
      <c r="Z320" s="20">
        <f t="shared" si="89"/>
        <v>45809</v>
      </c>
      <c r="AA320" s="4">
        <f t="array" ref="AA320">MIN(IF($F$2:$F$633=F320,$Z$2:$Z$633))</f>
        <v>44927</v>
      </c>
      <c r="AB320">
        <f t="shared" si="90"/>
        <v>29</v>
      </c>
      <c r="AC320">
        <f t="shared" si="91"/>
        <v>0</v>
      </c>
      <c r="AD320">
        <f t="shared" si="92"/>
        <v>0</v>
      </c>
      <c r="AE320" s="13">
        <f t="shared" si="93"/>
        <v>0</v>
      </c>
      <c r="AH320">
        <f t="shared" si="94"/>
        <v>30</v>
      </c>
      <c r="AI320">
        <f t="shared" si="95"/>
        <v>606.42949999999996</v>
      </c>
      <c r="AJ320" s="11">
        <f t="shared" si="96"/>
        <v>0.14399999999999999</v>
      </c>
      <c r="AK320">
        <f t="shared" si="97"/>
        <v>23412.9696</v>
      </c>
      <c r="AL320">
        <f t="shared" si="98"/>
        <v>18192.884999999998</v>
      </c>
      <c r="AM320">
        <f t="shared" si="99"/>
        <v>5220.084600000002</v>
      </c>
    </row>
    <row r="321" spans="1:39" x14ac:dyDescent="0.25">
      <c r="A321" t="s">
        <v>363</v>
      </c>
      <c r="B321" s="4">
        <v>45825</v>
      </c>
      <c r="C321" s="4">
        <v>45843</v>
      </c>
      <c r="D321" s="13">
        <f t="shared" si="80"/>
        <v>18</v>
      </c>
      <c r="E321" s="6" t="s">
        <v>647</v>
      </c>
      <c r="F321" t="s">
        <v>654</v>
      </c>
      <c r="G321" t="s">
        <v>680</v>
      </c>
      <c r="H321" t="s">
        <v>704</v>
      </c>
      <c r="I321" t="s">
        <v>709</v>
      </c>
      <c r="J321" t="s">
        <v>716</v>
      </c>
      <c r="K321" t="s">
        <v>731</v>
      </c>
      <c r="L321" t="s">
        <v>1083</v>
      </c>
      <c r="M321" s="8">
        <v>982.93</v>
      </c>
      <c r="N321" s="8">
        <v>2299.3000000000002</v>
      </c>
      <c r="O321" s="8">
        <f t="shared" si="81"/>
        <v>2299.3000000000002</v>
      </c>
      <c r="P321" s="11">
        <v>0.113</v>
      </c>
      <c r="Q321" s="13">
        <v>6</v>
      </c>
      <c r="R321" s="8">
        <f t="shared" si="82"/>
        <v>12236.874600000001</v>
      </c>
      <c r="S321" s="8">
        <f t="shared" si="83"/>
        <v>5897.58</v>
      </c>
      <c r="T321" s="8">
        <f t="shared" si="84"/>
        <v>6339.2946000000011</v>
      </c>
      <c r="U321" s="11">
        <f t="shared" si="85"/>
        <v>0.51804850562087157</v>
      </c>
      <c r="V321" s="17">
        <v>45035</v>
      </c>
      <c r="W321" s="4" t="str">
        <f t="shared" si="86"/>
        <v>Q2-2025</v>
      </c>
      <c r="X321" t="str">
        <f t="shared" si="87"/>
        <v>Asia → India → Delhi</v>
      </c>
      <c r="Y321" t="str">
        <f t="shared" si="88"/>
        <v>High</v>
      </c>
      <c r="Z321" s="20">
        <f t="shared" si="89"/>
        <v>45809</v>
      </c>
      <c r="AA321" s="4">
        <f t="array" ref="AA321">MIN(IF($F$2:$F$633=F321,$Z$2:$Z$633))</f>
        <v>44927</v>
      </c>
      <c r="AB321">
        <f t="shared" si="90"/>
        <v>29</v>
      </c>
      <c r="AC321">
        <f t="shared" si="91"/>
        <v>0</v>
      </c>
      <c r="AD321">
        <f t="shared" si="92"/>
        <v>0</v>
      </c>
      <c r="AE321" s="13">
        <f t="shared" si="93"/>
        <v>0</v>
      </c>
      <c r="AH321">
        <f t="shared" si="94"/>
        <v>7.1999999999999993</v>
      </c>
      <c r="AI321">
        <f t="shared" si="95"/>
        <v>1130.3694999999998</v>
      </c>
      <c r="AJ321" s="11">
        <f t="shared" si="96"/>
        <v>0.113</v>
      </c>
      <c r="AK321">
        <f t="shared" si="97"/>
        <v>14684.249519999999</v>
      </c>
      <c r="AL321">
        <f t="shared" si="98"/>
        <v>8138.6603999999979</v>
      </c>
      <c r="AM321">
        <f t="shared" si="99"/>
        <v>6545.5891200000015</v>
      </c>
    </row>
    <row r="322" spans="1:39" x14ac:dyDescent="0.25">
      <c r="A322" t="s">
        <v>111</v>
      </c>
      <c r="B322" s="4">
        <v>45870</v>
      </c>
      <c r="C322" s="4">
        <v>45885</v>
      </c>
      <c r="D322" s="13">
        <f t="shared" ref="D322:D385" si="100">C322-B322</f>
        <v>15</v>
      </c>
      <c r="E322" s="6" t="s">
        <v>647</v>
      </c>
      <c r="F322" t="s">
        <v>654</v>
      </c>
      <c r="G322" t="s">
        <v>680</v>
      </c>
      <c r="H322" t="s">
        <v>706</v>
      </c>
      <c r="I322" t="s">
        <v>711</v>
      </c>
      <c r="J322" t="s">
        <v>719</v>
      </c>
      <c r="K322" t="s">
        <v>732</v>
      </c>
      <c r="L322" t="s">
        <v>830</v>
      </c>
      <c r="M322" s="8">
        <v>24.44</v>
      </c>
      <c r="N322" s="8">
        <v>28.69</v>
      </c>
      <c r="O322" s="8">
        <f t="shared" ref="O322:O385" si="101">ABS(N:N)</f>
        <v>28.69</v>
      </c>
      <c r="P322" s="11">
        <v>0.14599999999999999</v>
      </c>
      <c r="Q322" s="13">
        <v>6</v>
      </c>
      <c r="R322" s="8">
        <f t="shared" ref="R322:R385" si="102">O322*Q322*(1-P322)</f>
        <v>147.00756000000001</v>
      </c>
      <c r="S322" s="8">
        <f t="shared" ref="S322:S385" si="103">PRODUCT(M322*Q322)</f>
        <v>146.64000000000001</v>
      </c>
      <c r="T322" s="8">
        <f t="shared" ref="T322:T385" si="104">R322-S322</f>
        <v>0.36755999999999744</v>
      </c>
      <c r="U322" s="11">
        <f t="shared" ref="U322:U385" si="105">IF(T322=0, "0", T322/R322)</f>
        <v>2.5002795774584476E-3</v>
      </c>
      <c r="V322" s="17">
        <v>44985</v>
      </c>
      <c r="W322" s="4" t="str">
        <f t="shared" ref="W322:W385" si="106">"Q"&amp;ROUNDUP(MONTH(B322)/3,0)&amp;"-"&amp;YEAR(B322)</f>
        <v>Q3-2025</v>
      </c>
      <c r="X322" t="str">
        <f t="shared" ref="X322:X385" si="107">E322 &amp; " → " &amp; F322 &amp; " → " &amp; G322</f>
        <v>Asia → India → Delhi</v>
      </c>
      <c r="Y322" t="str">
        <f t="shared" ref="Y322:Y385" si="108">IF(O322&lt;=_xlfn.PERCENTILE.INC($O:$O,0.33),"Low",
IF(O322&lt;=_xlfn.PERCENTILE.INC($O:$O,0.67),"Medium","High"))</f>
        <v>Low</v>
      </c>
      <c r="Z322" s="20">
        <f t="shared" ref="Z322:Z385" si="109">DATE(YEAR(B322),MONTH(B322),1)</f>
        <v>45870</v>
      </c>
      <c r="AA322" s="4">
        <f t="array" ref="AA322">MIN(IF($F$2:$F$633=F322,$Z$2:$Z$633))</f>
        <v>44927</v>
      </c>
      <c r="AB322">
        <f t="shared" si="90"/>
        <v>31</v>
      </c>
      <c r="AC322">
        <f t="shared" si="91"/>
        <v>0</v>
      </c>
      <c r="AD322">
        <f t="shared" si="92"/>
        <v>0</v>
      </c>
      <c r="AE322" s="13">
        <f t="shared" si="93"/>
        <v>0</v>
      </c>
      <c r="AH322">
        <f t="shared" si="94"/>
        <v>7.1999999999999993</v>
      </c>
      <c r="AI322">
        <f t="shared" si="95"/>
        <v>28.105999999999998</v>
      </c>
      <c r="AJ322" s="11">
        <f t="shared" si="96"/>
        <v>0.14599999999999999</v>
      </c>
      <c r="AK322">
        <f t="shared" si="97"/>
        <v>176.40907199999998</v>
      </c>
      <c r="AL322">
        <f t="shared" si="98"/>
        <v>202.36319999999998</v>
      </c>
      <c r="AM322">
        <f t="shared" si="99"/>
        <v>-25.954127999999997</v>
      </c>
    </row>
    <row r="323" spans="1:39" x14ac:dyDescent="0.25">
      <c r="A323" t="s">
        <v>529</v>
      </c>
      <c r="B323" s="4">
        <v>45874</v>
      </c>
      <c r="C323" s="4">
        <v>45897</v>
      </c>
      <c r="D323" s="13">
        <f t="shared" si="100"/>
        <v>23</v>
      </c>
      <c r="E323" s="6" t="s">
        <v>647</v>
      </c>
      <c r="F323" t="s">
        <v>654</v>
      </c>
      <c r="G323" t="s">
        <v>691</v>
      </c>
      <c r="H323" t="s">
        <v>703</v>
      </c>
      <c r="I323" t="s">
        <v>710</v>
      </c>
      <c r="J323" t="s">
        <v>725</v>
      </c>
      <c r="K323" t="s">
        <v>731</v>
      </c>
      <c r="L323" t="s">
        <v>1248</v>
      </c>
      <c r="M323" s="8">
        <v>638.54</v>
      </c>
      <c r="N323" s="8">
        <v>987.24</v>
      </c>
      <c r="O323" s="8">
        <f t="shared" si="101"/>
        <v>987.24</v>
      </c>
      <c r="P323" s="11">
        <v>0</v>
      </c>
      <c r="Q323" s="13">
        <v>11</v>
      </c>
      <c r="R323" s="8">
        <f t="shared" si="102"/>
        <v>10859.64</v>
      </c>
      <c r="S323" s="8">
        <f t="shared" si="103"/>
        <v>7023.94</v>
      </c>
      <c r="T323" s="8">
        <f t="shared" si="104"/>
        <v>3835.7</v>
      </c>
      <c r="U323" s="11">
        <f t="shared" si="105"/>
        <v>0.35320692030306716</v>
      </c>
      <c r="V323" s="17">
        <v>44978</v>
      </c>
      <c r="W323" s="4" t="str">
        <f t="shared" si="106"/>
        <v>Q3-2025</v>
      </c>
      <c r="X323" t="str">
        <f t="shared" si="107"/>
        <v>Asia → India → Mumbai</v>
      </c>
      <c r="Y323" t="str">
        <f t="shared" si="108"/>
        <v>Medium</v>
      </c>
      <c r="Z323" s="20">
        <f t="shared" si="109"/>
        <v>45870</v>
      </c>
      <c r="AA323" s="4">
        <f t="array" ref="AA323">MIN(IF($F$2:$F$633=F323,$Z$2:$Z$633))</f>
        <v>44927</v>
      </c>
      <c r="AB323">
        <f t="shared" ref="AB323:AB386" si="110">DATEDIF(AA323,Z323,"m")</f>
        <v>31</v>
      </c>
      <c r="AC323">
        <f t="shared" ref="AC323:AC386" si="111">IF(D323&lt;=7,1,0)</f>
        <v>0</v>
      </c>
      <c r="AD323">
        <f t="shared" ref="AD323:AD386" si="112">IF(P323&gt;20%,1,0)</f>
        <v>0</v>
      </c>
      <c r="AE323" s="13">
        <f t="shared" ref="AE323:AE386" si="113">IF(D323&lt;=7, 1,0)</f>
        <v>0</v>
      </c>
      <c r="AH323">
        <f t="shared" ref="AH323:AH386" si="114" xml:space="preserve"> Q323 * (1 + $AG$5)</f>
        <v>13.2</v>
      </c>
      <c r="AI323">
        <f t="shared" ref="AI323:AI386" si="115">M323*(1+$AG$4)</f>
        <v>734.32099999999991</v>
      </c>
      <c r="AJ323" s="11">
        <f t="shared" ref="AJ323:AJ386" si="116" xml:space="preserve"> MIN(P323, $AG$3)</f>
        <v>0</v>
      </c>
      <c r="AK323">
        <f t="shared" ref="AK323:AK386" si="117">AH323 * O323 * (1-AJ323)</f>
        <v>13031.567999999999</v>
      </c>
      <c r="AL323">
        <f t="shared" ref="AL323:AL386" si="118">AH323 * AI323</f>
        <v>9693.0371999999988</v>
      </c>
      <c r="AM323">
        <f t="shared" ref="AM323:AM386" si="119" xml:space="preserve"> AK323 - AL323</f>
        <v>3338.5308000000005</v>
      </c>
    </row>
    <row r="324" spans="1:39" x14ac:dyDescent="0.25">
      <c r="A324" t="s">
        <v>437</v>
      </c>
      <c r="B324" s="4">
        <v>45915</v>
      </c>
      <c r="C324" s="4">
        <v>45925</v>
      </c>
      <c r="D324" s="13">
        <f t="shared" si="100"/>
        <v>10</v>
      </c>
      <c r="E324" s="6" t="s">
        <v>647</v>
      </c>
      <c r="F324" t="s">
        <v>654</v>
      </c>
      <c r="G324" t="s">
        <v>680</v>
      </c>
      <c r="H324" t="s">
        <v>704</v>
      </c>
      <c r="I324" t="s">
        <v>707</v>
      </c>
      <c r="J324" t="s">
        <v>720</v>
      </c>
      <c r="K324" t="s">
        <v>730</v>
      </c>
      <c r="L324" t="s">
        <v>1156</v>
      </c>
      <c r="M324" s="8">
        <v>1488.91</v>
      </c>
      <c r="N324" s="8">
        <v>1483.74</v>
      </c>
      <c r="O324" s="8">
        <f t="shared" si="101"/>
        <v>1483.74</v>
      </c>
      <c r="P324" s="11">
        <v>0.16800000000000001</v>
      </c>
      <c r="Q324" s="13">
        <v>24</v>
      </c>
      <c r="R324" s="8">
        <f t="shared" si="102"/>
        <v>29627.320319999999</v>
      </c>
      <c r="S324" s="8">
        <f t="shared" si="103"/>
        <v>35733.840000000004</v>
      </c>
      <c r="T324" s="8">
        <f t="shared" si="104"/>
        <v>-6106.5196800000049</v>
      </c>
      <c r="U324" s="11">
        <f t="shared" si="105"/>
        <v>-0.20611110333450519</v>
      </c>
      <c r="V324" s="17">
        <v>44939</v>
      </c>
      <c r="W324" s="4" t="str">
        <f t="shared" si="106"/>
        <v>Q3-2025</v>
      </c>
      <c r="X324" t="str">
        <f t="shared" si="107"/>
        <v>Asia → India → Delhi</v>
      </c>
      <c r="Y324" t="str">
        <f t="shared" si="108"/>
        <v>Medium</v>
      </c>
      <c r="Z324" s="20">
        <f t="shared" si="109"/>
        <v>45901</v>
      </c>
      <c r="AA324" s="4">
        <f t="array" ref="AA324">MIN(IF($F$2:$F$633=F324,$Z$2:$Z$633))</f>
        <v>44927</v>
      </c>
      <c r="AB324">
        <f t="shared" si="110"/>
        <v>32</v>
      </c>
      <c r="AC324">
        <f t="shared" si="111"/>
        <v>0</v>
      </c>
      <c r="AD324">
        <f t="shared" si="112"/>
        <v>0</v>
      </c>
      <c r="AE324" s="13">
        <f t="shared" si="113"/>
        <v>0</v>
      </c>
      <c r="AH324">
        <f t="shared" si="114"/>
        <v>28.799999999999997</v>
      </c>
      <c r="AI324">
        <f t="shared" si="115"/>
        <v>1712.2465</v>
      </c>
      <c r="AJ324" s="11">
        <f t="shared" si="116"/>
        <v>0.16800000000000001</v>
      </c>
      <c r="AK324">
        <f t="shared" si="117"/>
        <v>35552.784383999999</v>
      </c>
      <c r="AL324">
        <f t="shared" si="118"/>
        <v>49312.699199999995</v>
      </c>
      <c r="AM324">
        <f t="shared" si="119"/>
        <v>-13759.914815999997</v>
      </c>
    </row>
    <row r="325" spans="1:39" x14ac:dyDescent="0.25">
      <c r="A325" t="s">
        <v>566</v>
      </c>
      <c r="B325" s="4">
        <v>44988</v>
      </c>
      <c r="C325" s="4">
        <v>45005</v>
      </c>
      <c r="D325" s="13">
        <f t="shared" ref="D325:D356" si="120">C325-B325</f>
        <v>17</v>
      </c>
      <c r="E325" s="6" t="s">
        <v>647</v>
      </c>
      <c r="F325" t="s">
        <v>652</v>
      </c>
      <c r="G325" t="s">
        <v>694</v>
      </c>
      <c r="H325" t="s">
        <v>705</v>
      </c>
      <c r="I325" t="s">
        <v>708</v>
      </c>
      <c r="J325" t="s">
        <v>726</v>
      </c>
      <c r="K325" t="s">
        <v>729</v>
      </c>
      <c r="L325" t="s">
        <v>1284</v>
      </c>
      <c r="M325" s="8">
        <v>1171.17</v>
      </c>
      <c r="N325" s="8">
        <v>2030.64</v>
      </c>
      <c r="O325" s="8">
        <f t="shared" ref="O325:O356" si="121">ABS(N:N)</f>
        <v>2030.64</v>
      </c>
      <c r="P325" s="11">
        <v>0.157</v>
      </c>
      <c r="Q325" s="13">
        <v>11</v>
      </c>
      <c r="R325" s="8">
        <f t="shared" si="102"/>
        <v>18830.12472</v>
      </c>
      <c r="S325" s="8">
        <f t="shared" si="103"/>
        <v>12882.87</v>
      </c>
      <c r="T325" s="8">
        <f t="shared" si="104"/>
        <v>5947.254719999999</v>
      </c>
      <c r="U325" s="11">
        <f t="shared" si="105"/>
        <v>0.31583724528830415</v>
      </c>
      <c r="V325" s="17">
        <v>45870</v>
      </c>
      <c r="W325" s="4" t="str">
        <f t="shared" si="106"/>
        <v>Q1-2023</v>
      </c>
      <c r="X325" t="str">
        <f t="shared" si="107"/>
        <v>Asia → Japan → Nagoya</v>
      </c>
      <c r="Y325" t="str">
        <f t="shared" si="108"/>
        <v>High</v>
      </c>
      <c r="Z325" s="20">
        <f t="shared" si="109"/>
        <v>44986</v>
      </c>
      <c r="AA325" s="4">
        <f t="array" ref="AA325">MIN(IF($F$2:$F$633=F325,$Z$2:$Z$633))</f>
        <v>44986</v>
      </c>
      <c r="AB325">
        <f t="shared" ref="AB325:AB356" si="122">DATEDIF(AA325,Z325,"m")</f>
        <v>0</v>
      </c>
      <c r="AC325">
        <f t="shared" si="111"/>
        <v>0</v>
      </c>
      <c r="AD325">
        <f t="shared" si="112"/>
        <v>0</v>
      </c>
      <c r="AE325" s="13">
        <f t="shared" si="113"/>
        <v>0</v>
      </c>
      <c r="AH325">
        <f t="shared" si="114"/>
        <v>13.2</v>
      </c>
      <c r="AI325">
        <f t="shared" si="115"/>
        <v>1346.8454999999999</v>
      </c>
      <c r="AJ325" s="11">
        <f t="shared" si="116"/>
        <v>0.157</v>
      </c>
      <c r="AK325">
        <f t="shared" si="117"/>
        <v>22596.149664</v>
      </c>
      <c r="AL325">
        <f t="shared" si="118"/>
        <v>17778.360599999996</v>
      </c>
      <c r="AM325">
        <f t="shared" si="119"/>
        <v>4817.7890640000041</v>
      </c>
    </row>
    <row r="326" spans="1:39" x14ac:dyDescent="0.25">
      <c r="A326" t="s">
        <v>178</v>
      </c>
      <c r="B326" s="4">
        <v>45010</v>
      </c>
      <c r="C326" s="4">
        <v>45011</v>
      </c>
      <c r="D326" s="13">
        <f t="shared" si="120"/>
        <v>1</v>
      </c>
      <c r="E326" s="6" t="s">
        <v>647</v>
      </c>
      <c r="F326" t="s">
        <v>652</v>
      </c>
      <c r="G326" t="s">
        <v>666</v>
      </c>
      <c r="H326" t="s">
        <v>705</v>
      </c>
      <c r="I326" t="s">
        <v>710</v>
      </c>
      <c r="J326" t="s">
        <v>714</v>
      </c>
      <c r="K326" t="s">
        <v>732</v>
      </c>
      <c r="L326" t="s">
        <v>897</v>
      </c>
      <c r="M326" s="8">
        <v>135.12</v>
      </c>
      <c r="N326" s="8">
        <v>301.7</v>
      </c>
      <c r="O326" s="8">
        <f t="shared" si="121"/>
        <v>301.7</v>
      </c>
      <c r="P326" s="11">
        <v>0.14000000000000001</v>
      </c>
      <c r="Q326" s="13">
        <v>47</v>
      </c>
      <c r="R326" s="8">
        <f t="shared" si="102"/>
        <v>12194.714</v>
      </c>
      <c r="S326" s="8">
        <f t="shared" si="103"/>
        <v>6350.64</v>
      </c>
      <c r="T326" s="8">
        <f t="shared" si="104"/>
        <v>5844.0739999999996</v>
      </c>
      <c r="U326" s="11">
        <f t="shared" si="105"/>
        <v>0.47923009920527859</v>
      </c>
      <c r="V326" s="17">
        <v>45855</v>
      </c>
      <c r="W326" s="4" t="str">
        <f t="shared" si="106"/>
        <v>Q1-2023</v>
      </c>
      <c r="X326" t="str">
        <f t="shared" si="107"/>
        <v>Asia → Japan → Osaka</v>
      </c>
      <c r="Y326" t="str">
        <f t="shared" si="108"/>
        <v>Low</v>
      </c>
      <c r="Z326" s="20">
        <f t="shared" si="109"/>
        <v>44986</v>
      </c>
      <c r="AA326" s="4">
        <f t="array" ref="AA326">MIN(IF($F$2:$F$633=F326,$Z$2:$Z$633))</f>
        <v>44986</v>
      </c>
      <c r="AB326">
        <f t="shared" si="122"/>
        <v>0</v>
      </c>
      <c r="AC326">
        <f t="shared" si="111"/>
        <v>1</v>
      </c>
      <c r="AD326">
        <f t="shared" si="112"/>
        <v>0</v>
      </c>
      <c r="AE326" s="13">
        <f t="shared" si="113"/>
        <v>1</v>
      </c>
      <c r="AH326">
        <f t="shared" si="114"/>
        <v>56.4</v>
      </c>
      <c r="AI326">
        <f t="shared" si="115"/>
        <v>155.38800000000001</v>
      </c>
      <c r="AJ326" s="11">
        <f t="shared" si="116"/>
        <v>0.14000000000000001</v>
      </c>
      <c r="AK326">
        <f t="shared" si="117"/>
        <v>14633.656799999997</v>
      </c>
      <c r="AL326">
        <f t="shared" si="118"/>
        <v>8763.8832000000002</v>
      </c>
      <c r="AM326">
        <f t="shared" si="119"/>
        <v>5869.7735999999968</v>
      </c>
    </row>
    <row r="327" spans="1:39" x14ac:dyDescent="0.25">
      <c r="A327" t="s">
        <v>451</v>
      </c>
      <c r="B327" s="4">
        <v>45035</v>
      </c>
      <c r="C327" s="4">
        <v>45037</v>
      </c>
      <c r="D327" s="13">
        <f t="shared" si="120"/>
        <v>2</v>
      </c>
      <c r="E327" s="6" t="s">
        <v>647</v>
      </c>
      <c r="F327" t="s">
        <v>652</v>
      </c>
      <c r="G327" t="s">
        <v>694</v>
      </c>
      <c r="H327" t="s">
        <v>705</v>
      </c>
      <c r="I327" t="s">
        <v>711</v>
      </c>
      <c r="J327" t="s">
        <v>724</v>
      </c>
      <c r="K327" t="s">
        <v>727</v>
      </c>
      <c r="L327" t="s">
        <v>1170</v>
      </c>
      <c r="M327" s="8">
        <v>607.04</v>
      </c>
      <c r="N327" s="8">
        <v>1229.3399999999999</v>
      </c>
      <c r="O327" s="8">
        <f t="shared" si="121"/>
        <v>1229.3399999999999</v>
      </c>
      <c r="P327" s="11">
        <v>0.14699999999999999</v>
      </c>
      <c r="Q327" s="13">
        <v>7</v>
      </c>
      <c r="R327" s="8">
        <f t="shared" si="102"/>
        <v>7340.3891399999993</v>
      </c>
      <c r="S327" s="8">
        <f t="shared" si="103"/>
        <v>4249.28</v>
      </c>
      <c r="T327" s="8">
        <f t="shared" si="104"/>
        <v>3091.1091399999996</v>
      </c>
      <c r="U327" s="11">
        <f t="shared" si="105"/>
        <v>0.42110970972310058</v>
      </c>
      <c r="V327" s="17">
        <v>45817</v>
      </c>
      <c r="W327" s="4" t="str">
        <f t="shared" si="106"/>
        <v>Q2-2023</v>
      </c>
      <c r="X327" t="str">
        <f t="shared" si="107"/>
        <v>Asia → Japan → Nagoya</v>
      </c>
      <c r="Y327" t="str">
        <f t="shared" si="108"/>
        <v>Medium</v>
      </c>
      <c r="Z327" s="20">
        <f t="shared" si="109"/>
        <v>45017</v>
      </c>
      <c r="AA327" s="4">
        <f t="array" ref="AA327">MIN(IF($F$2:$F$633=F327,$Z$2:$Z$633))</f>
        <v>44986</v>
      </c>
      <c r="AB327">
        <f t="shared" si="122"/>
        <v>1</v>
      </c>
      <c r="AC327">
        <f t="shared" si="111"/>
        <v>1</v>
      </c>
      <c r="AD327">
        <f t="shared" si="112"/>
        <v>0</v>
      </c>
      <c r="AE327" s="13">
        <f t="shared" si="113"/>
        <v>1</v>
      </c>
      <c r="AH327">
        <f t="shared" si="114"/>
        <v>8.4</v>
      </c>
      <c r="AI327">
        <f t="shared" si="115"/>
        <v>698.09599999999989</v>
      </c>
      <c r="AJ327" s="11">
        <f t="shared" si="116"/>
        <v>0.14699999999999999</v>
      </c>
      <c r="AK327">
        <f t="shared" si="117"/>
        <v>8808.4669680000006</v>
      </c>
      <c r="AL327">
        <f t="shared" si="118"/>
        <v>5864.0063999999993</v>
      </c>
      <c r="AM327">
        <f t="shared" si="119"/>
        <v>2944.4605680000013</v>
      </c>
    </row>
    <row r="328" spans="1:39" x14ac:dyDescent="0.25">
      <c r="A328" t="s">
        <v>620</v>
      </c>
      <c r="B328" s="4">
        <v>45038</v>
      </c>
      <c r="C328" s="4">
        <v>45060</v>
      </c>
      <c r="D328" s="13">
        <f t="shared" si="120"/>
        <v>22</v>
      </c>
      <c r="E328" s="6" t="s">
        <v>647</v>
      </c>
      <c r="F328" t="s">
        <v>652</v>
      </c>
      <c r="G328" t="s">
        <v>694</v>
      </c>
      <c r="H328" t="s">
        <v>706</v>
      </c>
      <c r="I328" t="s">
        <v>707</v>
      </c>
      <c r="J328" t="s">
        <v>720</v>
      </c>
      <c r="K328" t="s">
        <v>733</v>
      </c>
      <c r="L328" t="s">
        <v>1338</v>
      </c>
      <c r="M328" s="8">
        <v>1209.22</v>
      </c>
      <c r="N328" s="8">
        <v>1404.33</v>
      </c>
      <c r="O328" s="8">
        <f t="shared" si="121"/>
        <v>1404.33</v>
      </c>
      <c r="P328" s="11">
        <v>0.10299999999999999</v>
      </c>
      <c r="Q328" s="13">
        <v>11</v>
      </c>
      <c r="R328" s="8">
        <f t="shared" si="102"/>
        <v>13856.52411</v>
      </c>
      <c r="S328" s="8">
        <f t="shared" si="103"/>
        <v>13301.42</v>
      </c>
      <c r="T328" s="8">
        <f t="shared" si="104"/>
        <v>555.10411000000022</v>
      </c>
      <c r="U328" s="11">
        <f t="shared" si="105"/>
        <v>4.0060848275751328E-2</v>
      </c>
      <c r="V328" s="17">
        <v>45806</v>
      </c>
      <c r="W328" s="4" t="str">
        <f t="shared" si="106"/>
        <v>Q2-2023</v>
      </c>
      <c r="X328" t="str">
        <f t="shared" si="107"/>
        <v>Asia → Japan → Nagoya</v>
      </c>
      <c r="Y328" t="str">
        <f t="shared" si="108"/>
        <v>Medium</v>
      </c>
      <c r="Z328" s="20">
        <f t="shared" si="109"/>
        <v>45017</v>
      </c>
      <c r="AA328" s="4">
        <f t="array" ref="AA328">MIN(IF($F$2:$F$633=F328,$Z$2:$Z$633))</f>
        <v>44986</v>
      </c>
      <c r="AB328">
        <f t="shared" si="122"/>
        <v>1</v>
      </c>
      <c r="AC328">
        <f t="shared" si="111"/>
        <v>0</v>
      </c>
      <c r="AD328">
        <f t="shared" si="112"/>
        <v>0</v>
      </c>
      <c r="AE328" s="13">
        <f t="shared" si="113"/>
        <v>0</v>
      </c>
      <c r="AH328">
        <f t="shared" si="114"/>
        <v>13.2</v>
      </c>
      <c r="AI328">
        <f t="shared" si="115"/>
        <v>1390.6029999999998</v>
      </c>
      <c r="AJ328" s="11">
        <f t="shared" si="116"/>
        <v>0.10299999999999999</v>
      </c>
      <c r="AK328">
        <f t="shared" si="117"/>
        <v>16627.828932</v>
      </c>
      <c r="AL328">
        <f t="shared" si="118"/>
        <v>18355.959599999998</v>
      </c>
      <c r="AM328">
        <f t="shared" si="119"/>
        <v>-1728.130667999998</v>
      </c>
    </row>
    <row r="329" spans="1:39" x14ac:dyDescent="0.25">
      <c r="A329" t="s">
        <v>330</v>
      </c>
      <c r="B329" s="4">
        <v>45052</v>
      </c>
      <c r="C329" s="4">
        <v>45060</v>
      </c>
      <c r="D329" s="13">
        <f t="shared" si="120"/>
        <v>8</v>
      </c>
      <c r="E329" s="6" t="s">
        <v>647</v>
      </c>
      <c r="F329" t="s">
        <v>652</v>
      </c>
      <c r="G329" t="s">
        <v>666</v>
      </c>
      <c r="H329" t="s">
        <v>706</v>
      </c>
      <c r="I329" t="s">
        <v>709</v>
      </c>
      <c r="J329" t="s">
        <v>717</v>
      </c>
      <c r="K329" t="s">
        <v>730</v>
      </c>
      <c r="L329" t="s">
        <v>1050</v>
      </c>
      <c r="M329" s="8">
        <v>291.18</v>
      </c>
      <c r="N329" s="8">
        <v>479.54</v>
      </c>
      <c r="O329" s="8">
        <f t="shared" si="121"/>
        <v>479.54</v>
      </c>
      <c r="P329" s="11">
        <v>0.14099999999999999</v>
      </c>
      <c r="Q329" s="13">
        <v>22</v>
      </c>
      <c r="R329" s="8">
        <f t="shared" si="102"/>
        <v>9062.34692</v>
      </c>
      <c r="S329" s="8">
        <f t="shared" si="103"/>
        <v>6405.96</v>
      </c>
      <c r="T329" s="8">
        <f t="shared" si="104"/>
        <v>2656.3869199999999</v>
      </c>
      <c r="U329" s="11">
        <f t="shared" si="105"/>
        <v>0.29312350801066001</v>
      </c>
      <c r="V329" s="17">
        <v>45794</v>
      </c>
      <c r="W329" s="4" t="str">
        <f t="shared" si="106"/>
        <v>Q2-2023</v>
      </c>
      <c r="X329" t="str">
        <f t="shared" si="107"/>
        <v>Asia → Japan → Osaka</v>
      </c>
      <c r="Y329" t="str">
        <f t="shared" si="108"/>
        <v>Low</v>
      </c>
      <c r="Z329" s="20">
        <f t="shared" si="109"/>
        <v>45047</v>
      </c>
      <c r="AA329" s="4">
        <f t="array" ref="AA329">MIN(IF($F$2:$F$633=F329,$Z$2:$Z$633))</f>
        <v>44986</v>
      </c>
      <c r="AB329">
        <f t="shared" si="122"/>
        <v>2</v>
      </c>
      <c r="AC329">
        <f t="shared" si="111"/>
        <v>0</v>
      </c>
      <c r="AD329">
        <f t="shared" si="112"/>
        <v>0</v>
      </c>
      <c r="AE329" s="13">
        <f t="shared" si="113"/>
        <v>0</v>
      </c>
      <c r="AH329">
        <f t="shared" si="114"/>
        <v>26.4</v>
      </c>
      <c r="AI329">
        <f t="shared" si="115"/>
        <v>334.85699999999997</v>
      </c>
      <c r="AJ329" s="11">
        <f t="shared" si="116"/>
        <v>0.14099999999999999</v>
      </c>
      <c r="AK329">
        <f t="shared" si="117"/>
        <v>10874.816304</v>
      </c>
      <c r="AL329">
        <f t="shared" si="118"/>
        <v>8840.2247999999981</v>
      </c>
      <c r="AM329">
        <f t="shared" si="119"/>
        <v>2034.5915040000018</v>
      </c>
    </row>
    <row r="330" spans="1:39" x14ac:dyDescent="0.25">
      <c r="A330" t="s">
        <v>299</v>
      </c>
      <c r="B330" s="4">
        <v>45101</v>
      </c>
      <c r="C330" s="4">
        <v>45128</v>
      </c>
      <c r="D330" s="13">
        <f t="shared" si="120"/>
        <v>27</v>
      </c>
      <c r="E330" s="6" t="s">
        <v>647</v>
      </c>
      <c r="F330" t="s">
        <v>652</v>
      </c>
      <c r="G330" t="s">
        <v>694</v>
      </c>
      <c r="H330" t="s">
        <v>704</v>
      </c>
      <c r="I330" t="s">
        <v>709</v>
      </c>
      <c r="J330" t="s">
        <v>713</v>
      </c>
      <c r="K330" t="s">
        <v>730</v>
      </c>
      <c r="L330" t="s">
        <v>1019</v>
      </c>
      <c r="M330" s="8">
        <v>554.76</v>
      </c>
      <c r="N330" s="8">
        <v>728.69</v>
      </c>
      <c r="O330" s="8">
        <f t="shared" si="121"/>
        <v>728.69</v>
      </c>
      <c r="P330" s="11">
        <v>0.22</v>
      </c>
      <c r="Q330" s="13">
        <v>7</v>
      </c>
      <c r="R330" s="8">
        <f t="shared" si="102"/>
        <v>3978.6474000000003</v>
      </c>
      <c r="S330" s="8">
        <f t="shared" si="103"/>
        <v>3883.3199999999997</v>
      </c>
      <c r="T330" s="8">
        <f t="shared" si="104"/>
        <v>95.32740000000058</v>
      </c>
      <c r="U330" s="11">
        <f t="shared" si="105"/>
        <v>2.395975074343119E-2</v>
      </c>
      <c r="V330" s="17">
        <v>45754</v>
      </c>
      <c r="W330" s="4" t="str">
        <f t="shared" si="106"/>
        <v>Q2-2023</v>
      </c>
      <c r="X330" t="str">
        <f t="shared" si="107"/>
        <v>Asia → Japan → Nagoya</v>
      </c>
      <c r="Y330" t="str">
        <f t="shared" si="108"/>
        <v>Low</v>
      </c>
      <c r="Z330" s="20">
        <f t="shared" si="109"/>
        <v>45078</v>
      </c>
      <c r="AA330" s="4">
        <f t="array" ref="AA330">MIN(IF($F$2:$F$633=F330,$Z$2:$Z$633))</f>
        <v>44986</v>
      </c>
      <c r="AB330">
        <f t="shared" si="122"/>
        <v>3</v>
      </c>
      <c r="AC330">
        <f t="shared" si="111"/>
        <v>0</v>
      </c>
      <c r="AD330">
        <f t="shared" si="112"/>
        <v>1</v>
      </c>
      <c r="AE330" s="13">
        <f t="shared" si="113"/>
        <v>0</v>
      </c>
      <c r="AH330">
        <f t="shared" si="114"/>
        <v>8.4</v>
      </c>
      <c r="AI330">
        <f t="shared" si="115"/>
        <v>637.97399999999993</v>
      </c>
      <c r="AJ330" s="11">
        <f t="shared" si="116"/>
        <v>0.22</v>
      </c>
      <c r="AK330">
        <f t="shared" si="117"/>
        <v>4774.3768800000007</v>
      </c>
      <c r="AL330">
        <f t="shared" si="118"/>
        <v>5358.9816000000001</v>
      </c>
      <c r="AM330">
        <f t="shared" si="119"/>
        <v>-584.60471999999936</v>
      </c>
    </row>
    <row r="331" spans="1:39" x14ac:dyDescent="0.25">
      <c r="A331" t="s">
        <v>104</v>
      </c>
      <c r="B331" s="4">
        <v>45106</v>
      </c>
      <c r="C331" s="4">
        <v>45109</v>
      </c>
      <c r="D331" s="13">
        <f t="shared" si="120"/>
        <v>3</v>
      </c>
      <c r="E331" s="6" t="s">
        <v>647</v>
      </c>
      <c r="F331" t="s">
        <v>652</v>
      </c>
      <c r="G331" t="s">
        <v>694</v>
      </c>
      <c r="H331" t="s">
        <v>702</v>
      </c>
      <c r="I331" t="s">
        <v>709</v>
      </c>
      <c r="J331" t="s">
        <v>721</v>
      </c>
      <c r="K331" t="s">
        <v>732</v>
      </c>
      <c r="L331" t="s">
        <v>823</v>
      </c>
      <c r="M331" s="8">
        <v>55.65</v>
      </c>
      <c r="N331" s="8">
        <v>83.57</v>
      </c>
      <c r="O331" s="8">
        <f t="shared" si="121"/>
        <v>83.57</v>
      </c>
      <c r="P331" s="11">
        <v>6.6000000000000003E-2</v>
      </c>
      <c r="Q331" s="13">
        <v>8</v>
      </c>
      <c r="R331" s="8">
        <f t="shared" si="102"/>
        <v>624.43503999999996</v>
      </c>
      <c r="S331" s="8">
        <f t="shared" si="103"/>
        <v>445.2</v>
      </c>
      <c r="T331" s="8">
        <f t="shared" si="104"/>
        <v>179.23503999999997</v>
      </c>
      <c r="U331" s="11">
        <f t="shared" si="105"/>
        <v>0.2870355257449998</v>
      </c>
      <c r="V331" s="17">
        <v>45751</v>
      </c>
      <c r="W331" s="4" t="str">
        <f t="shared" si="106"/>
        <v>Q2-2023</v>
      </c>
      <c r="X331" t="str">
        <f t="shared" si="107"/>
        <v>Asia → Japan → Nagoya</v>
      </c>
      <c r="Y331" t="str">
        <f t="shared" si="108"/>
        <v>Low</v>
      </c>
      <c r="Z331" s="20">
        <f t="shared" si="109"/>
        <v>45078</v>
      </c>
      <c r="AA331" s="4">
        <f t="array" ref="AA331">MIN(IF($F$2:$F$633=F331,$Z$2:$Z$633))</f>
        <v>44986</v>
      </c>
      <c r="AB331">
        <f t="shared" si="122"/>
        <v>3</v>
      </c>
      <c r="AC331">
        <f t="shared" si="111"/>
        <v>1</v>
      </c>
      <c r="AD331">
        <f t="shared" si="112"/>
        <v>0</v>
      </c>
      <c r="AE331" s="13">
        <f t="shared" si="113"/>
        <v>1</v>
      </c>
      <c r="AH331">
        <f t="shared" si="114"/>
        <v>9.6</v>
      </c>
      <c r="AI331">
        <f t="shared" si="115"/>
        <v>63.997499999999995</v>
      </c>
      <c r="AJ331" s="11">
        <f t="shared" si="116"/>
        <v>6.6000000000000003E-2</v>
      </c>
      <c r="AK331">
        <f t="shared" si="117"/>
        <v>749.32204799999988</v>
      </c>
      <c r="AL331">
        <f t="shared" si="118"/>
        <v>614.37599999999998</v>
      </c>
      <c r="AM331">
        <f t="shared" si="119"/>
        <v>134.94604799999991</v>
      </c>
    </row>
    <row r="332" spans="1:39" x14ac:dyDescent="0.25">
      <c r="A332" t="s">
        <v>474</v>
      </c>
      <c r="B332" s="4">
        <v>45116</v>
      </c>
      <c r="C332" s="4">
        <v>45126</v>
      </c>
      <c r="D332" s="13">
        <f t="shared" si="120"/>
        <v>10</v>
      </c>
      <c r="E332" s="6" t="s">
        <v>647</v>
      </c>
      <c r="F332" t="s">
        <v>652</v>
      </c>
      <c r="G332" t="s">
        <v>689</v>
      </c>
      <c r="H332" t="s">
        <v>706</v>
      </c>
      <c r="I332" t="s">
        <v>710</v>
      </c>
      <c r="J332" t="s">
        <v>725</v>
      </c>
      <c r="K332" t="s">
        <v>727</v>
      </c>
      <c r="L332" t="s">
        <v>1193</v>
      </c>
      <c r="M332" s="8">
        <v>141.26</v>
      </c>
      <c r="N332" s="8">
        <v>206.88</v>
      </c>
      <c r="O332" s="8">
        <f t="shared" si="121"/>
        <v>206.88</v>
      </c>
      <c r="P332" s="11">
        <v>0.107</v>
      </c>
      <c r="Q332" s="13">
        <v>9</v>
      </c>
      <c r="R332" s="8">
        <f t="shared" si="102"/>
        <v>1662.6945600000001</v>
      </c>
      <c r="S332" s="8">
        <f t="shared" si="103"/>
        <v>1271.3399999999999</v>
      </c>
      <c r="T332" s="8">
        <f t="shared" si="104"/>
        <v>391.35456000000022</v>
      </c>
      <c r="U332" s="11">
        <f t="shared" si="105"/>
        <v>0.23537369365062469</v>
      </c>
      <c r="V332" s="17">
        <v>45722</v>
      </c>
      <c r="W332" s="4" t="str">
        <f t="shared" si="106"/>
        <v>Q3-2023</v>
      </c>
      <c r="X332" t="str">
        <f t="shared" si="107"/>
        <v>Asia → Japan → Tokyo</v>
      </c>
      <c r="Y332" t="str">
        <f t="shared" si="108"/>
        <v>Low</v>
      </c>
      <c r="Z332" s="20">
        <f t="shared" si="109"/>
        <v>45108</v>
      </c>
      <c r="AA332" s="4">
        <f t="array" ref="AA332">MIN(IF($F$2:$F$633=F332,$Z$2:$Z$633))</f>
        <v>44986</v>
      </c>
      <c r="AB332">
        <f t="shared" si="122"/>
        <v>4</v>
      </c>
      <c r="AC332">
        <f t="shared" si="111"/>
        <v>0</v>
      </c>
      <c r="AD332">
        <f t="shared" si="112"/>
        <v>0</v>
      </c>
      <c r="AE332" s="13">
        <f t="shared" si="113"/>
        <v>0</v>
      </c>
      <c r="AH332">
        <f t="shared" si="114"/>
        <v>10.799999999999999</v>
      </c>
      <c r="AI332">
        <f t="shared" si="115"/>
        <v>162.44899999999998</v>
      </c>
      <c r="AJ332" s="11">
        <f t="shared" si="116"/>
        <v>0.107</v>
      </c>
      <c r="AK332">
        <f t="shared" si="117"/>
        <v>1995.2334719999997</v>
      </c>
      <c r="AL332">
        <f t="shared" si="118"/>
        <v>1754.4491999999996</v>
      </c>
      <c r="AM332">
        <f t="shared" si="119"/>
        <v>240.7842720000001</v>
      </c>
    </row>
    <row r="333" spans="1:39" x14ac:dyDescent="0.25">
      <c r="A333" t="s">
        <v>240</v>
      </c>
      <c r="B333" s="4">
        <v>45137</v>
      </c>
      <c r="C333" s="4">
        <v>45145</v>
      </c>
      <c r="D333" s="13">
        <f t="shared" si="120"/>
        <v>8</v>
      </c>
      <c r="E333" s="6" t="s">
        <v>647</v>
      </c>
      <c r="F333" t="s">
        <v>652</v>
      </c>
      <c r="G333" t="s">
        <v>694</v>
      </c>
      <c r="H333" t="s">
        <v>702</v>
      </c>
      <c r="I333" t="s">
        <v>709</v>
      </c>
      <c r="J333" t="s">
        <v>720</v>
      </c>
      <c r="K333" t="s">
        <v>729</v>
      </c>
      <c r="L333" t="s">
        <v>960</v>
      </c>
      <c r="M333" s="8">
        <v>1352.44</v>
      </c>
      <c r="N333" s="8">
        <v>2698.01</v>
      </c>
      <c r="O333" s="8">
        <f t="shared" si="121"/>
        <v>2698.01</v>
      </c>
      <c r="P333" s="11">
        <v>0.13100000000000001</v>
      </c>
      <c r="Q333" s="13">
        <v>13</v>
      </c>
      <c r="R333" s="8">
        <f t="shared" si="102"/>
        <v>30479.418970000002</v>
      </c>
      <c r="S333" s="8">
        <f t="shared" si="103"/>
        <v>17581.72</v>
      </c>
      <c r="T333" s="8">
        <f t="shared" si="104"/>
        <v>12897.698970000001</v>
      </c>
      <c r="U333" s="11">
        <f t="shared" si="105"/>
        <v>0.42316091992090887</v>
      </c>
      <c r="V333" s="17">
        <v>45707</v>
      </c>
      <c r="W333" s="4" t="str">
        <f t="shared" si="106"/>
        <v>Q3-2023</v>
      </c>
      <c r="X333" t="str">
        <f t="shared" si="107"/>
        <v>Asia → Japan → Nagoya</v>
      </c>
      <c r="Y333" t="str">
        <f t="shared" si="108"/>
        <v>High</v>
      </c>
      <c r="Z333" s="20">
        <f t="shared" si="109"/>
        <v>45108</v>
      </c>
      <c r="AA333" s="4">
        <f t="array" ref="AA333">MIN(IF($F$2:$F$633=F333,$Z$2:$Z$633))</f>
        <v>44986</v>
      </c>
      <c r="AB333">
        <f t="shared" si="122"/>
        <v>4</v>
      </c>
      <c r="AC333">
        <f t="shared" si="111"/>
        <v>0</v>
      </c>
      <c r="AD333">
        <f t="shared" si="112"/>
        <v>0</v>
      </c>
      <c r="AE333" s="13">
        <f t="shared" si="113"/>
        <v>0</v>
      </c>
      <c r="AH333">
        <f t="shared" si="114"/>
        <v>15.6</v>
      </c>
      <c r="AI333">
        <f t="shared" si="115"/>
        <v>1555.306</v>
      </c>
      <c r="AJ333" s="11">
        <f t="shared" si="116"/>
        <v>0.13100000000000001</v>
      </c>
      <c r="AK333">
        <f t="shared" si="117"/>
        <v>36575.302764000007</v>
      </c>
      <c r="AL333">
        <f t="shared" si="118"/>
        <v>24262.7736</v>
      </c>
      <c r="AM333">
        <f t="shared" si="119"/>
        <v>12312.529164000007</v>
      </c>
    </row>
    <row r="334" spans="1:39" x14ac:dyDescent="0.25">
      <c r="A334" t="s">
        <v>186</v>
      </c>
      <c r="B334" s="4">
        <v>45190</v>
      </c>
      <c r="C334" s="4">
        <v>45209</v>
      </c>
      <c r="D334" s="13">
        <f t="shared" si="120"/>
        <v>19</v>
      </c>
      <c r="E334" s="6" t="s">
        <v>647</v>
      </c>
      <c r="F334" t="s">
        <v>652</v>
      </c>
      <c r="G334" t="s">
        <v>689</v>
      </c>
      <c r="H334" t="s">
        <v>702</v>
      </c>
      <c r="I334" t="s">
        <v>708</v>
      </c>
      <c r="J334" t="s">
        <v>726</v>
      </c>
      <c r="K334" t="s">
        <v>727</v>
      </c>
      <c r="L334" t="s">
        <v>905</v>
      </c>
      <c r="M334" s="8">
        <v>845.63</v>
      </c>
      <c r="N334" s="8">
        <v>2062.12</v>
      </c>
      <c r="O334" s="8">
        <f t="shared" si="121"/>
        <v>2062.12</v>
      </c>
      <c r="P334" s="11">
        <v>0.13400000000000001</v>
      </c>
      <c r="Q334" s="13">
        <v>5</v>
      </c>
      <c r="R334" s="8">
        <f t="shared" si="102"/>
        <v>8928.9795999999988</v>
      </c>
      <c r="S334" s="8">
        <f t="shared" si="103"/>
        <v>4228.1499999999996</v>
      </c>
      <c r="T334" s="8">
        <f t="shared" si="104"/>
        <v>4700.8295999999991</v>
      </c>
      <c r="U334" s="11">
        <f t="shared" si="105"/>
        <v>0.52646884757133949</v>
      </c>
      <c r="V334" s="17">
        <v>45655</v>
      </c>
      <c r="W334" s="4" t="str">
        <f t="shared" si="106"/>
        <v>Q3-2023</v>
      </c>
      <c r="X334" t="str">
        <f t="shared" si="107"/>
        <v>Asia → Japan → Tokyo</v>
      </c>
      <c r="Y334" t="str">
        <f t="shared" si="108"/>
        <v>High</v>
      </c>
      <c r="Z334" s="20">
        <f t="shared" si="109"/>
        <v>45170</v>
      </c>
      <c r="AA334" s="4">
        <f t="array" ref="AA334">MIN(IF($F$2:$F$633=F334,$Z$2:$Z$633))</f>
        <v>44986</v>
      </c>
      <c r="AB334">
        <f t="shared" si="122"/>
        <v>6</v>
      </c>
      <c r="AC334">
        <f t="shared" si="111"/>
        <v>0</v>
      </c>
      <c r="AD334">
        <f t="shared" si="112"/>
        <v>0</v>
      </c>
      <c r="AE334" s="13">
        <f t="shared" si="113"/>
        <v>0</v>
      </c>
      <c r="AH334">
        <f t="shared" si="114"/>
        <v>6</v>
      </c>
      <c r="AI334">
        <f t="shared" si="115"/>
        <v>972.47449999999992</v>
      </c>
      <c r="AJ334" s="11">
        <f t="shared" si="116"/>
        <v>0.13400000000000001</v>
      </c>
      <c r="AK334">
        <f t="shared" si="117"/>
        <v>10714.775519999999</v>
      </c>
      <c r="AL334">
        <f t="shared" si="118"/>
        <v>5834.8469999999998</v>
      </c>
      <c r="AM334">
        <f t="shared" si="119"/>
        <v>4879.9285199999995</v>
      </c>
    </row>
    <row r="335" spans="1:39" x14ac:dyDescent="0.25">
      <c r="A335" t="s">
        <v>530</v>
      </c>
      <c r="B335" s="4">
        <v>45199</v>
      </c>
      <c r="C335" s="4">
        <v>45229</v>
      </c>
      <c r="D335" s="13">
        <f t="shared" si="120"/>
        <v>30</v>
      </c>
      <c r="E335" s="6" t="s">
        <v>647</v>
      </c>
      <c r="F335" t="s">
        <v>652</v>
      </c>
      <c r="G335" t="s">
        <v>689</v>
      </c>
      <c r="H335" t="s">
        <v>706</v>
      </c>
      <c r="I335" t="s">
        <v>708</v>
      </c>
      <c r="J335" t="s">
        <v>726</v>
      </c>
      <c r="K335" t="s">
        <v>728</v>
      </c>
      <c r="L335" t="s">
        <v>1249</v>
      </c>
      <c r="M335" s="8">
        <v>649.13</v>
      </c>
      <c r="N335" s="8">
        <v>975.43</v>
      </c>
      <c r="O335" s="8">
        <f t="shared" si="121"/>
        <v>975.43</v>
      </c>
      <c r="P335" s="11">
        <v>0.157</v>
      </c>
      <c r="Q335" s="13">
        <v>27</v>
      </c>
      <c r="R335" s="8">
        <f t="shared" si="102"/>
        <v>22201.762229999997</v>
      </c>
      <c r="S335" s="8">
        <f t="shared" si="103"/>
        <v>17526.509999999998</v>
      </c>
      <c r="T335" s="8">
        <f t="shared" si="104"/>
        <v>4675.2522299999982</v>
      </c>
      <c r="U335" s="11">
        <f t="shared" si="105"/>
        <v>0.21058023149543473</v>
      </c>
      <c r="V335" s="17">
        <v>45654</v>
      </c>
      <c r="W335" s="4" t="str">
        <f t="shared" si="106"/>
        <v>Q3-2023</v>
      </c>
      <c r="X335" t="str">
        <f t="shared" si="107"/>
        <v>Asia → Japan → Tokyo</v>
      </c>
      <c r="Y335" t="str">
        <f t="shared" si="108"/>
        <v>Medium</v>
      </c>
      <c r="Z335" s="20">
        <f t="shared" si="109"/>
        <v>45170</v>
      </c>
      <c r="AA335" s="4">
        <f t="array" ref="AA335">MIN(IF($F$2:$F$633=F335,$Z$2:$Z$633))</f>
        <v>44986</v>
      </c>
      <c r="AB335">
        <f t="shared" si="122"/>
        <v>6</v>
      </c>
      <c r="AC335">
        <f t="shared" si="111"/>
        <v>0</v>
      </c>
      <c r="AD335">
        <f t="shared" si="112"/>
        <v>0</v>
      </c>
      <c r="AE335" s="13">
        <f t="shared" si="113"/>
        <v>0</v>
      </c>
      <c r="AH335">
        <f t="shared" si="114"/>
        <v>32.4</v>
      </c>
      <c r="AI335">
        <f t="shared" si="115"/>
        <v>746.4994999999999</v>
      </c>
      <c r="AJ335" s="11">
        <f t="shared" si="116"/>
        <v>0.157</v>
      </c>
      <c r="AK335">
        <f t="shared" si="117"/>
        <v>26642.114675999997</v>
      </c>
      <c r="AL335">
        <f t="shared" si="118"/>
        <v>24186.583799999997</v>
      </c>
      <c r="AM335">
        <f t="shared" si="119"/>
        <v>2455.5308760000007</v>
      </c>
    </row>
    <row r="336" spans="1:39" x14ac:dyDescent="0.25">
      <c r="A336" t="s">
        <v>434</v>
      </c>
      <c r="B336" s="4">
        <v>45211</v>
      </c>
      <c r="C336" s="4">
        <v>45228</v>
      </c>
      <c r="D336" s="13">
        <f t="shared" si="120"/>
        <v>17</v>
      </c>
      <c r="E336" s="6" t="s">
        <v>647</v>
      </c>
      <c r="F336" t="s">
        <v>652</v>
      </c>
      <c r="G336" t="s">
        <v>694</v>
      </c>
      <c r="H336" t="s">
        <v>703</v>
      </c>
      <c r="I336" t="s">
        <v>711</v>
      </c>
      <c r="J336" t="s">
        <v>722</v>
      </c>
      <c r="K336" t="s">
        <v>730</v>
      </c>
      <c r="L336" t="s">
        <v>1153</v>
      </c>
      <c r="M336" s="8">
        <v>1102.19</v>
      </c>
      <c r="N336" s="8">
        <v>1711.16</v>
      </c>
      <c r="O336" s="8">
        <f t="shared" si="121"/>
        <v>1711.16</v>
      </c>
      <c r="P336" s="11">
        <v>0.151</v>
      </c>
      <c r="Q336" s="13">
        <v>10</v>
      </c>
      <c r="R336" s="8">
        <f t="shared" si="102"/>
        <v>14527.748400000002</v>
      </c>
      <c r="S336" s="8">
        <f t="shared" si="103"/>
        <v>11021.900000000001</v>
      </c>
      <c r="T336" s="8">
        <f t="shared" si="104"/>
        <v>3505.8484000000008</v>
      </c>
      <c r="U336" s="11">
        <f t="shared" si="105"/>
        <v>0.24132083675127525</v>
      </c>
      <c r="V336" s="17">
        <v>45623</v>
      </c>
      <c r="W336" s="4" t="str">
        <f t="shared" si="106"/>
        <v>Q4-2023</v>
      </c>
      <c r="X336" t="str">
        <f t="shared" si="107"/>
        <v>Asia → Japan → Nagoya</v>
      </c>
      <c r="Y336" t="str">
        <f t="shared" si="108"/>
        <v>High</v>
      </c>
      <c r="Z336" s="20">
        <f t="shared" si="109"/>
        <v>45200</v>
      </c>
      <c r="AA336" s="4">
        <f t="array" ref="AA336">MIN(IF($F$2:$F$633=F336,$Z$2:$Z$633))</f>
        <v>44986</v>
      </c>
      <c r="AB336">
        <f t="shared" si="122"/>
        <v>7</v>
      </c>
      <c r="AC336">
        <f t="shared" si="111"/>
        <v>0</v>
      </c>
      <c r="AD336">
        <f t="shared" si="112"/>
        <v>0</v>
      </c>
      <c r="AE336" s="13">
        <f t="shared" si="113"/>
        <v>0</v>
      </c>
      <c r="AH336">
        <f t="shared" si="114"/>
        <v>12</v>
      </c>
      <c r="AI336">
        <f t="shared" si="115"/>
        <v>1267.5184999999999</v>
      </c>
      <c r="AJ336" s="11">
        <f t="shared" si="116"/>
        <v>0.151</v>
      </c>
      <c r="AK336">
        <f t="shared" si="117"/>
        <v>17433.29808</v>
      </c>
      <c r="AL336">
        <f t="shared" si="118"/>
        <v>15210.221999999998</v>
      </c>
      <c r="AM336">
        <f t="shared" si="119"/>
        <v>2223.0760800000025</v>
      </c>
    </row>
    <row r="337" spans="1:39" x14ac:dyDescent="0.25">
      <c r="A337" t="s">
        <v>644</v>
      </c>
      <c r="B337" s="4">
        <v>45249</v>
      </c>
      <c r="C337" s="4">
        <v>45279</v>
      </c>
      <c r="D337" s="13">
        <f t="shared" si="120"/>
        <v>30</v>
      </c>
      <c r="E337" s="6" t="s">
        <v>647</v>
      </c>
      <c r="F337" t="s">
        <v>652</v>
      </c>
      <c r="G337" t="s">
        <v>694</v>
      </c>
      <c r="H337" t="s">
        <v>704</v>
      </c>
      <c r="I337" t="s">
        <v>707</v>
      </c>
      <c r="J337" t="s">
        <v>1422</v>
      </c>
      <c r="K337" t="s">
        <v>730</v>
      </c>
      <c r="L337" t="s">
        <v>1362</v>
      </c>
      <c r="M337" s="8">
        <v>807.11</v>
      </c>
      <c r="N337" s="8">
        <v>1853.86</v>
      </c>
      <c r="O337" s="8">
        <f t="shared" si="121"/>
        <v>1853.86</v>
      </c>
      <c r="P337" s="11">
        <v>0.13900000000000001</v>
      </c>
      <c r="Q337" s="13">
        <v>8</v>
      </c>
      <c r="R337" s="8">
        <f t="shared" si="102"/>
        <v>12769.38768</v>
      </c>
      <c r="S337" s="8">
        <f t="shared" si="103"/>
        <v>6456.88</v>
      </c>
      <c r="T337" s="8">
        <f t="shared" si="104"/>
        <v>6312.5076799999997</v>
      </c>
      <c r="U337" s="11">
        <f t="shared" si="105"/>
        <v>0.49434693645388639</v>
      </c>
      <c r="V337" s="17">
        <v>45613</v>
      </c>
      <c r="W337" s="4" t="str">
        <f t="shared" si="106"/>
        <v>Q4-2023</v>
      </c>
      <c r="X337" t="str">
        <f t="shared" si="107"/>
        <v>Asia → Japan → Nagoya</v>
      </c>
      <c r="Y337" t="str">
        <f t="shared" si="108"/>
        <v>High</v>
      </c>
      <c r="Z337" s="20">
        <f t="shared" si="109"/>
        <v>45231</v>
      </c>
      <c r="AA337" s="4">
        <f t="array" ref="AA337">MIN(IF($F$2:$F$633=F337,$Z$2:$Z$633))</f>
        <v>44986</v>
      </c>
      <c r="AB337">
        <f t="shared" si="122"/>
        <v>8</v>
      </c>
      <c r="AC337">
        <f t="shared" si="111"/>
        <v>0</v>
      </c>
      <c r="AD337">
        <f t="shared" si="112"/>
        <v>0</v>
      </c>
      <c r="AE337" s="13">
        <f t="shared" si="113"/>
        <v>0</v>
      </c>
      <c r="AH337">
        <f t="shared" si="114"/>
        <v>9.6</v>
      </c>
      <c r="AI337">
        <f t="shared" si="115"/>
        <v>928.17649999999992</v>
      </c>
      <c r="AJ337" s="11">
        <f t="shared" si="116"/>
        <v>0.13900000000000001</v>
      </c>
      <c r="AK337">
        <f t="shared" si="117"/>
        <v>15323.265215999998</v>
      </c>
      <c r="AL337">
        <f t="shared" si="118"/>
        <v>8910.4943999999996</v>
      </c>
      <c r="AM337">
        <f t="shared" si="119"/>
        <v>6412.7708159999984</v>
      </c>
    </row>
    <row r="338" spans="1:39" x14ac:dyDescent="0.25">
      <c r="A338" t="s">
        <v>129</v>
      </c>
      <c r="B338" s="4">
        <v>45250</v>
      </c>
      <c r="C338" s="4">
        <v>45265</v>
      </c>
      <c r="D338" s="13">
        <f t="shared" si="120"/>
        <v>15</v>
      </c>
      <c r="E338" s="6" t="s">
        <v>647</v>
      </c>
      <c r="F338" t="s">
        <v>652</v>
      </c>
      <c r="G338" t="s">
        <v>689</v>
      </c>
      <c r="H338" t="s">
        <v>706</v>
      </c>
      <c r="I338" t="s">
        <v>707</v>
      </c>
      <c r="J338" t="s">
        <v>716</v>
      </c>
      <c r="K338" t="s">
        <v>729</v>
      </c>
      <c r="L338" t="s">
        <v>848</v>
      </c>
      <c r="M338" s="8">
        <v>354.24</v>
      </c>
      <c r="N338" s="8">
        <v>249.87</v>
      </c>
      <c r="O338" s="8">
        <f t="shared" si="121"/>
        <v>249.87</v>
      </c>
      <c r="P338" s="11">
        <v>0</v>
      </c>
      <c r="Q338" s="13">
        <v>6</v>
      </c>
      <c r="R338" s="8">
        <f t="shared" si="102"/>
        <v>1499.22</v>
      </c>
      <c r="S338" s="8">
        <f t="shared" si="103"/>
        <v>2125.44</v>
      </c>
      <c r="T338" s="8">
        <f t="shared" si="104"/>
        <v>-626.22</v>
      </c>
      <c r="U338" s="11">
        <f t="shared" si="105"/>
        <v>-0.41769720254532355</v>
      </c>
      <c r="V338" s="17">
        <v>45595</v>
      </c>
      <c r="W338" s="4" t="str">
        <f t="shared" si="106"/>
        <v>Q4-2023</v>
      </c>
      <c r="X338" t="str">
        <f t="shared" si="107"/>
        <v>Asia → Japan → Tokyo</v>
      </c>
      <c r="Y338" t="str">
        <f t="shared" si="108"/>
        <v>Low</v>
      </c>
      <c r="Z338" s="20">
        <f t="shared" si="109"/>
        <v>45231</v>
      </c>
      <c r="AA338" s="4">
        <f t="array" ref="AA338">MIN(IF($F$2:$F$633=F338,$Z$2:$Z$633))</f>
        <v>44986</v>
      </c>
      <c r="AB338">
        <f t="shared" si="122"/>
        <v>8</v>
      </c>
      <c r="AC338">
        <f t="shared" si="111"/>
        <v>0</v>
      </c>
      <c r="AD338">
        <f t="shared" si="112"/>
        <v>0</v>
      </c>
      <c r="AE338" s="13">
        <f t="shared" si="113"/>
        <v>0</v>
      </c>
      <c r="AH338">
        <f t="shared" si="114"/>
        <v>7.1999999999999993</v>
      </c>
      <c r="AI338">
        <f t="shared" si="115"/>
        <v>407.37599999999998</v>
      </c>
      <c r="AJ338" s="11">
        <f t="shared" si="116"/>
        <v>0</v>
      </c>
      <c r="AK338">
        <f t="shared" si="117"/>
        <v>1799.0639999999999</v>
      </c>
      <c r="AL338">
        <f t="shared" si="118"/>
        <v>2933.1071999999995</v>
      </c>
      <c r="AM338">
        <f t="shared" si="119"/>
        <v>-1134.0431999999996</v>
      </c>
    </row>
    <row r="339" spans="1:39" x14ac:dyDescent="0.25">
      <c r="A339" t="s">
        <v>359</v>
      </c>
      <c r="B339" s="4">
        <v>45261</v>
      </c>
      <c r="C339" s="4">
        <v>45278</v>
      </c>
      <c r="D339" s="13">
        <f t="shared" si="120"/>
        <v>17</v>
      </c>
      <c r="E339" s="6" t="s">
        <v>647</v>
      </c>
      <c r="F339" t="s">
        <v>652</v>
      </c>
      <c r="G339" t="s">
        <v>694</v>
      </c>
      <c r="H339" t="s">
        <v>705</v>
      </c>
      <c r="I339" t="s">
        <v>711</v>
      </c>
      <c r="J339" t="s">
        <v>725</v>
      </c>
      <c r="K339" t="s">
        <v>731</v>
      </c>
      <c r="L339" t="s">
        <v>1079</v>
      </c>
      <c r="M339" s="8">
        <v>1495.79</v>
      </c>
      <c r="N339" s="8">
        <v>2783.12</v>
      </c>
      <c r="O339" s="8">
        <f t="shared" si="121"/>
        <v>2783.12</v>
      </c>
      <c r="P339" s="11">
        <v>0.02</v>
      </c>
      <c r="Q339" s="13">
        <v>5</v>
      </c>
      <c r="R339" s="8">
        <f t="shared" si="102"/>
        <v>13637.287999999999</v>
      </c>
      <c r="S339" s="8">
        <f t="shared" si="103"/>
        <v>7478.95</v>
      </c>
      <c r="T339" s="8">
        <f t="shared" si="104"/>
        <v>6158.3379999999988</v>
      </c>
      <c r="U339" s="11">
        <f t="shared" si="105"/>
        <v>0.45158084217331185</v>
      </c>
      <c r="V339" s="17">
        <v>45598</v>
      </c>
      <c r="W339" s="4" t="str">
        <f t="shared" si="106"/>
        <v>Q4-2023</v>
      </c>
      <c r="X339" t="str">
        <f t="shared" si="107"/>
        <v>Asia → Japan → Nagoya</v>
      </c>
      <c r="Y339" t="str">
        <f t="shared" si="108"/>
        <v>High</v>
      </c>
      <c r="Z339" s="20">
        <f t="shared" si="109"/>
        <v>45261</v>
      </c>
      <c r="AA339" s="4">
        <f t="array" ref="AA339">MIN(IF($F$2:$F$633=F339,$Z$2:$Z$633))</f>
        <v>44986</v>
      </c>
      <c r="AB339">
        <f t="shared" si="122"/>
        <v>9</v>
      </c>
      <c r="AC339">
        <f t="shared" si="111"/>
        <v>0</v>
      </c>
      <c r="AD339">
        <f t="shared" si="112"/>
        <v>0</v>
      </c>
      <c r="AE339" s="13">
        <f t="shared" si="113"/>
        <v>0</v>
      </c>
      <c r="AH339">
        <f t="shared" si="114"/>
        <v>6</v>
      </c>
      <c r="AI339">
        <f t="shared" si="115"/>
        <v>1720.1584999999998</v>
      </c>
      <c r="AJ339" s="11">
        <f t="shared" si="116"/>
        <v>0.02</v>
      </c>
      <c r="AK339">
        <f t="shared" si="117"/>
        <v>16364.7456</v>
      </c>
      <c r="AL339">
        <f t="shared" si="118"/>
        <v>10320.950999999999</v>
      </c>
      <c r="AM339">
        <f t="shared" si="119"/>
        <v>6043.7946000000011</v>
      </c>
    </row>
    <row r="340" spans="1:39" x14ac:dyDescent="0.25">
      <c r="A340" t="s">
        <v>167</v>
      </c>
      <c r="B340" s="4">
        <v>45265</v>
      </c>
      <c r="C340" s="4">
        <v>45267</v>
      </c>
      <c r="D340" s="13">
        <f t="shared" si="120"/>
        <v>2</v>
      </c>
      <c r="E340" s="6" t="s">
        <v>647</v>
      </c>
      <c r="F340" t="s">
        <v>652</v>
      </c>
      <c r="G340" t="s">
        <v>689</v>
      </c>
      <c r="H340" t="s">
        <v>703</v>
      </c>
      <c r="I340" t="s">
        <v>709</v>
      </c>
      <c r="J340" t="s">
        <v>722</v>
      </c>
      <c r="K340" t="s">
        <v>728</v>
      </c>
      <c r="L340" t="s">
        <v>886</v>
      </c>
      <c r="M340" s="8">
        <v>1097.5899999999999</v>
      </c>
      <c r="N340" s="8">
        <v>845.55</v>
      </c>
      <c r="O340" s="8">
        <f t="shared" si="121"/>
        <v>845.55</v>
      </c>
      <c r="P340" s="11">
        <v>0.184</v>
      </c>
      <c r="Q340" s="13">
        <v>6</v>
      </c>
      <c r="R340" s="8">
        <f t="shared" si="102"/>
        <v>4139.8127999999997</v>
      </c>
      <c r="S340" s="8">
        <f t="shared" si="103"/>
        <v>6585.5399999999991</v>
      </c>
      <c r="T340" s="8">
        <f t="shared" si="104"/>
        <v>-2445.7271999999994</v>
      </c>
      <c r="U340" s="11">
        <f t="shared" si="105"/>
        <v>-0.59078207594314402</v>
      </c>
      <c r="V340" s="17">
        <v>45576</v>
      </c>
      <c r="W340" s="4" t="str">
        <f t="shared" si="106"/>
        <v>Q4-2023</v>
      </c>
      <c r="X340" t="str">
        <f t="shared" si="107"/>
        <v>Asia → Japan → Tokyo</v>
      </c>
      <c r="Y340" t="str">
        <f t="shared" si="108"/>
        <v>Medium</v>
      </c>
      <c r="Z340" s="20">
        <f t="shared" si="109"/>
        <v>45261</v>
      </c>
      <c r="AA340" s="4">
        <f t="array" ref="AA340">MIN(IF($F$2:$F$633=F340,$Z$2:$Z$633))</f>
        <v>44986</v>
      </c>
      <c r="AB340">
        <f t="shared" si="122"/>
        <v>9</v>
      </c>
      <c r="AC340">
        <f t="shared" si="111"/>
        <v>1</v>
      </c>
      <c r="AD340">
        <f t="shared" si="112"/>
        <v>0</v>
      </c>
      <c r="AE340" s="13">
        <f t="shared" si="113"/>
        <v>1</v>
      </c>
      <c r="AH340">
        <f t="shared" si="114"/>
        <v>7.1999999999999993</v>
      </c>
      <c r="AI340">
        <f t="shared" si="115"/>
        <v>1262.2284999999997</v>
      </c>
      <c r="AJ340" s="11">
        <f t="shared" si="116"/>
        <v>0.184</v>
      </c>
      <c r="AK340">
        <f t="shared" si="117"/>
        <v>4967.7753599999996</v>
      </c>
      <c r="AL340">
        <f t="shared" si="118"/>
        <v>9088.0451999999968</v>
      </c>
      <c r="AM340">
        <f t="shared" si="119"/>
        <v>-4120.2698399999972</v>
      </c>
    </row>
    <row r="341" spans="1:39" x14ac:dyDescent="0.25">
      <c r="A341" t="s">
        <v>19</v>
      </c>
      <c r="B341" s="4">
        <v>45266</v>
      </c>
      <c r="C341" s="4">
        <v>45291</v>
      </c>
      <c r="D341" s="13">
        <f t="shared" si="120"/>
        <v>25</v>
      </c>
      <c r="E341" s="6" t="s">
        <v>647</v>
      </c>
      <c r="F341" t="s">
        <v>652</v>
      </c>
      <c r="G341" t="s">
        <v>666</v>
      </c>
      <c r="H341" t="s">
        <v>704</v>
      </c>
      <c r="I341" t="s">
        <v>707</v>
      </c>
      <c r="J341" t="s">
        <v>716</v>
      </c>
      <c r="K341" t="s">
        <v>728</v>
      </c>
      <c r="L341" t="s">
        <v>738</v>
      </c>
      <c r="M341" s="8">
        <v>663.03</v>
      </c>
      <c r="N341" s="8">
        <v>813.51</v>
      </c>
      <c r="O341" s="8">
        <f t="shared" si="121"/>
        <v>813.51</v>
      </c>
      <c r="P341" s="11">
        <v>0.10199999999999999</v>
      </c>
      <c r="Q341" s="13">
        <v>15</v>
      </c>
      <c r="R341" s="8">
        <f t="shared" si="102"/>
        <v>10957.9797</v>
      </c>
      <c r="S341" s="8">
        <f t="shared" si="103"/>
        <v>9945.4499999999989</v>
      </c>
      <c r="T341" s="8">
        <f t="shared" si="104"/>
        <v>1012.529700000001</v>
      </c>
      <c r="U341" s="11">
        <f t="shared" si="105"/>
        <v>9.2401129379715952E-2</v>
      </c>
      <c r="V341" s="17">
        <v>45604</v>
      </c>
      <c r="W341" s="4" t="str">
        <f t="shared" si="106"/>
        <v>Q4-2023</v>
      </c>
      <c r="X341" t="str">
        <f t="shared" si="107"/>
        <v>Asia → Japan → Osaka</v>
      </c>
      <c r="Y341" t="str">
        <f t="shared" si="108"/>
        <v>Low</v>
      </c>
      <c r="Z341" s="20">
        <f t="shared" si="109"/>
        <v>45261</v>
      </c>
      <c r="AA341" s="4">
        <f t="array" ref="AA341">MIN(IF($F$2:$F$633=F341,$Z$2:$Z$633))</f>
        <v>44986</v>
      </c>
      <c r="AB341">
        <f t="shared" si="122"/>
        <v>9</v>
      </c>
      <c r="AC341">
        <f t="shared" si="111"/>
        <v>0</v>
      </c>
      <c r="AD341">
        <f t="shared" si="112"/>
        <v>0</v>
      </c>
      <c r="AE341" s="13">
        <f t="shared" si="113"/>
        <v>0</v>
      </c>
      <c r="AH341">
        <f t="shared" si="114"/>
        <v>18</v>
      </c>
      <c r="AI341">
        <f t="shared" si="115"/>
        <v>762.48449999999991</v>
      </c>
      <c r="AJ341" s="11">
        <f t="shared" si="116"/>
        <v>0.10199999999999999</v>
      </c>
      <c r="AK341">
        <f t="shared" si="117"/>
        <v>13149.575640000001</v>
      </c>
      <c r="AL341">
        <f t="shared" si="118"/>
        <v>13724.720999999998</v>
      </c>
      <c r="AM341">
        <f t="shared" si="119"/>
        <v>-575.1453599999968</v>
      </c>
    </row>
    <row r="342" spans="1:39" x14ac:dyDescent="0.25">
      <c r="A342" t="s">
        <v>460</v>
      </c>
      <c r="B342" s="4">
        <v>45284</v>
      </c>
      <c r="C342" s="4">
        <v>45304</v>
      </c>
      <c r="D342" s="13">
        <f t="shared" si="120"/>
        <v>20</v>
      </c>
      <c r="E342" s="6" t="s">
        <v>647</v>
      </c>
      <c r="F342" t="s">
        <v>652</v>
      </c>
      <c r="G342" t="s">
        <v>694</v>
      </c>
      <c r="H342" t="s">
        <v>702</v>
      </c>
      <c r="I342" t="s">
        <v>711</v>
      </c>
      <c r="J342" t="s">
        <v>717</v>
      </c>
      <c r="K342" t="s">
        <v>731</v>
      </c>
      <c r="L342" t="s">
        <v>1179</v>
      </c>
      <c r="M342" s="8">
        <v>625.37</v>
      </c>
      <c r="N342" s="8">
        <v>1319.04</v>
      </c>
      <c r="O342" s="8">
        <f t="shared" si="121"/>
        <v>1319.04</v>
      </c>
      <c r="P342" s="11">
        <v>7.3999999999999996E-2</v>
      </c>
      <c r="Q342" s="13">
        <v>8</v>
      </c>
      <c r="R342" s="8">
        <f t="shared" si="102"/>
        <v>9771.4483199999995</v>
      </c>
      <c r="S342" s="8">
        <f t="shared" si="103"/>
        <v>5002.96</v>
      </c>
      <c r="T342" s="8">
        <f t="shared" si="104"/>
        <v>4768.4883199999995</v>
      </c>
      <c r="U342" s="11">
        <f t="shared" si="105"/>
        <v>0.48800220436513547</v>
      </c>
      <c r="V342" s="17">
        <v>45569</v>
      </c>
      <c r="W342" s="4" t="str">
        <f t="shared" si="106"/>
        <v>Q4-2023</v>
      </c>
      <c r="X342" t="str">
        <f t="shared" si="107"/>
        <v>Asia → Japan → Nagoya</v>
      </c>
      <c r="Y342" t="str">
        <f t="shared" si="108"/>
        <v>Medium</v>
      </c>
      <c r="Z342" s="20">
        <f t="shared" si="109"/>
        <v>45261</v>
      </c>
      <c r="AA342" s="4">
        <f t="array" ref="AA342">MIN(IF($F$2:$F$633=F342,$Z$2:$Z$633))</f>
        <v>44986</v>
      </c>
      <c r="AB342">
        <f t="shared" si="122"/>
        <v>9</v>
      </c>
      <c r="AC342">
        <f t="shared" si="111"/>
        <v>0</v>
      </c>
      <c r="AD342">
        <f t="shared" si="112"/>
        <v>0</v>
      </c>
      <c r="AE342" s="13">
        <f t="shared" si="113"/>
        <v>0</v>
      </c>
      <c r="AH342">
        <f t="shared" si="114"/>
        <v>9.6</v>
      </c>
      <c r="AI342">
        <f t="shared" si="115"/>
        <v>719.17549999999994</v>
      </c>
      <c r="AJ342" s="11">
        <f t="shared" si="116"/>
        <v>7.3999999999999996E-2</v>
      </c>
      <c r="AK342">
        <f t="shared" si="117"/>
        <v>11725.737983999999</v>
      </c>
      <c r="AL342">
        <f t="shared" si="118"/>
        <v>6904.0847999999996</v>
      </c>
      <c r="AM342">
        <f t="shared" si="119"/>
        <v>4821.6531839999998</v>
      </c>
    </row>
    <row r="343" spans="1:39" x14ac:dyDescent="0.25">
      <c r="A343" t="s">
        <v>494</v>
      </c>
      <c r="B343" s="4">
        <v>45293</v>
      </c>
      <c r="C343" s="4">
        <v>45306</v>
      </c>
      <c r="D343" s="13">
        <f t="shared" si="120"/>
        <v>13</v>
      </c>
      <c r="E343" s="6" t="s">
        <v>647</v>
      </c>
      <c r="F343" t="s">
        <v>652</v>
      </c>
      <c r="G343" t="s">
        <v>694</v>
      </c>
      <c r="H343" t="s">
        <v>705</v>
      </c>
      <c r="I343" t="s">
        <v>709</v>
      </c>
      <c r="J343" t="s">
        <v>715</v>
      </c>
      <c r="K343" t="s">
        <v>729</v>
      </c>
      <c r="L343" t="s">
        <v>1213</v>
      </c>
      <c r="M343" s="8">
        <v>1219.06</v>
      </c>
      <c r="N343" s="8">
        <v>2738.69</v>
      </c>
      <c r="O343" s="8">
        <f t="shared" si="121"/>
        <v>2738.69</v>
      </c>
      <c r="P343" s="11">
        <v>7.5999999999999998E-2</v>
      </c>
      <c r="Q343" s="13">
        <v>16</v>
      </c>
      <c r="R343" s="8">
        <f t="shared" si="102"/>
        <v>40488.792960000006</v>
      </c>
      <c r="S343" s="8">
        <f t="shared" si="103"/>
        <v>19504.96</v>
      </c>
      <c r="T343" s="8">
        <f t="shared" si="104"/>
        <v>20983.832960000007</v>
      </c>
      <c r="U343" s="11">
        <f t="shared" si="105"/>
        <v>0.51826274447673737</v>
      </c>
      <c r="V343" s="17">
        <v>45554</v>
      </c>
      <c r="W343" s="4" t="str">
        <f t="shared" si="106"/>
        <v>Q1-2024</v>
      </c>
      <c r="X343" t="str">
        <f t="shared" si="107"/>
        <v>Asia → Japan → Nagoya</v>
      </c>
      <c r="Y343" t="str">
        <f t="shared" si="108"/>
        <v>High</v>
      </c>
      <c r="Z343" s="20">
        <f t="shared" si="109"/>
        <v>45292</v>
      </c>
      <c r="AA343" s="4">
        <f t="array" ref="AA343">MIN(IF($F$2:$F$633=F343,$Z$2:$Z$633))</f>
        <v>44986</v>
      </c>
      <c r="AB343">
        <f t="shared" si="122"/>
        <v>10</v>
      </c>
      <c r="AC343">
        <f t="shared" si="111"/>
        <v>0</v>
      </c>
      <c r="AD343">
        <f t="shared" si="112"/>
        <v>0</v>
      </c>
      <c r="AE343" s="13">
        <f t="shared" si="113"/>
        <v>0</v>
      </c>
      <c r="AH343">
        <f t="shared" si="114"/>
        <v>19.2</v>
      </c>
      <c r="AI343">
        <f t="shared" si="115"/>
        <v>1401.9189999999999</v>
      </c>
      <c r="AJ343" s="11">
        <f t="shared" si="116"/>
        <v>7.5999999999999998E-2</v>
      </c>
      <c r="AK343">
        <f t="shared" si="117"/>
        <v>48586.551551999997</v>
      </c>
      <c r="AL343">
        <f t="shared" si="118"/>
        <v>26916.844799999995</v>
      </c>
      <c r="AM343">
        <f t="shared" si="119"/>
        <v>21669.706752000002</v>
      </c>
    </row>
    <row r="344" spans="1:39" x14ac:dyDescent="0.25">
      <c r="A344" t="s">
        <v>249</v>
      </c>
      <c r="B344" s="4">
        <v>45302</v>
      </c>
      <c r="C344" s="4">
        <v>45324</v>
      </c>
      <c r="D344" s="13">
        <f t="shared" si="120"/>
        <v>22</v>
      </c>
      <c r="E344" s="6" t="s">
        <v>647</v>
      </c>
      <c r="F344" t="s">
        <v>652</v>
      </c>
      <c r="G344" t="s">
        <v>694</v>
      </c>
      <c r="H344" t="s">
        <v>705</v>
      </c>
      <c r="I344" t="s">
        <v>708</v>
      </c>
      <c r="J344" t="s">
        <v>1422</v>
      </c>
      <c r="K344" t="s">
        <v>728</v>
      </c>
      <c r="L344" t="s">
        <v>969</v>
      </c>
      <c r="M344" s="8">
        <v>1237.68</v>
      </c>
      <c r="N344" s="8">
        <v>1432.8</v>
      </c>
      <c r="O344" s="8">
        <f t="shared" si="121"/>
        <v>1432.8</v>
      </c>
      <c r="P344" s="11">
        <v>6.8000000000000005E-2</v>
      </c>
      <c r="Q344" s="13">
        <v>13</v>
      </c>
      <c r="R344" s="8">
        <f t="shared" si="102"/>
        <v>17359.804799999998</v>
      </c>
      <c r="S344" s="8">
        <f t="shared" si="103"/>
        <v>16089.84</v>
      </c>
      <c r="T344" s="8">
        <f t="shared" si="104"/>
        <v>1269.9647999999979</v>
      </c>
      <c r="U344" s="11">
        <f t="shared" si="105"/>
        <v>7.315547695559331E-2</v>
      </c>
      <c r="V344" s="17">
        <v>45544</v>
      </c>
      <c r="W344" s="4" t="str">
        <f t="shared" si="106"/>
        <v>Q1-2024</v>
      </c>
      <c r="X344" t="str">
        <f t="shared" si="107"/>
        <v>Asia → Japan → Nagoya</v>
      </c>
      <c r="Y344" t="str">
        <f t="shared" si="108"/>
        <v>Medium</v>
      </c>
      <c r="Z344" s="20">
        <f t="shared" si="109"/>
        <v>45292</v>
      </c>
      <c r="AA344" s="4">
        <f t="array" ref="AA344">MIN(IF($F$2:$F$633=F344,$Z$2:$Z$633))</f>
        <v>44986</v>
      </c>
      <c r="AB344">
        <f t="shared" si="122"/>
        <v>10</v>
      </c>
      <c r="AC344">
        <f t="shared" si="111"/>
        <v>0</v>
      </c>
      <c r="AD344">
        <f t="shared" si="112"/>
        <v>0</v>
      </c>
      <c r="AE344" s="13">
        <f t="shared" si="113"/>
        <v>0</v>
      </c>
      <c r="AH344">
        <f t="shared" si="114"/>
        <v>15.6</v>
      </c>
      <c r="AI344">
        <f t="shared" si="115"/>
        <v>1423.3319999999999</v>
      </c>
      <c r="AJ344" s="11">
        <f t="shared" si="116"/>
        <v>6.8000000000000005E-2</v>
      </c>
      <c r="AK344">
        <f t="shared" si="117"/>
        <v>20831.765759999998</v>
      </c>
      <c r="AL344">
        <f t="shared" si="118"/>
        <v>22203.979199999998</v>
      </c>
      <c r="AM344">
        <f t="shared" si="119"/>
        <v>-1372.2134399999995</v>
      </c>
    </row>
    <row r="345" spans="1:39" x14ac:dyDescent="0.25">
      <c r="A345" t="s">
        <v>544</v>
      </c>
      <c r="B345" s="4">
        <v>45316</v>
      </c>
      <c r="C345" s="4">
        <v>45330</v>
      </c>
      <c r="D345" s="13">
        <f t="shared" si="120"/>
        <v>14</v>
      </c>
      <c r="E345" s="6" t="s">
        <v>647</v>
      </c>
      <c r="F345" t="s">
        <v>652</v>
      </c>
      <c r="G345" t="s">
        <v>666</v>
      </c>
      <c r="H345" t="s">
        <v>704</v>
      </c>
      <c r="I345" t="s">
        <v>709</v>
      </c>
      <c r="J345" t="s">
        <v>714</v>
      </c>
      <c r="K345" t="s">
        <v>729</v>
      </c>
      <c r="L345" t="s">
        <v>1263</v>
      </c>
      <c r="M345" s="8">
        <v>937.16</v>
      </c>
      <c r="N345" s="8">
        <v>1069.77</v>
      </c>
      <c r="O345" s="8">
        <f t="shared" si="121"/>
        <v>1069.77</v>
      </c>
      <c r="P345" s="11">
        <v>3.7999999999999999E-2</v>
      </c>
      <c r="Q345" s="13">
        <v>9</v>
      </c>
      <c r="R345" s="8">
        <f t="shared" si="102"/>
        <v>9262.0686600000008</v>
      </c>
      <c r="S345" s="8">
        <f t="shared" si="103"/>
        <v>8434.44</v>
      </c>
      <c r="T345" s="8">
        <f t="shared" si="104"/>
        <v>827.62866000000031</v>
      </c>
      <c r="U345" s="11">
        <f t="shared" si="105"/>
        <v>8.9356783066645962E-2</v>
      </c>
      <c r="V345" s="17">
        <v>45531</v>
      </c>
      <c r="W345" s="4" t="str">
        <f t="shared" si="106"/>
        <v>Q1-2024</v>
      </c>
      <c r="X345" t="str">
        <f t="shared" si="107"/>
        <v>Asia → Japan → Osaka</v>
      </c>
      <c r="Y345" t="str">
        <f t="shared" si="108"/>
        <v>Medium</v>
      </c>
      <c r="Z345" s="20">
        <f t="shared" si="109"/>
        <v>45292</v>
      </c>
      <c r="AA345" s="4">
        <f t="array" ref="AA345">MIN(IF($F$2:$F$633=F345,$Z$2:$Z$633))</f>
        <v>44986</v>
      </c>
      <c r="AB345">
        <f t="shared" si="122"/>
        <v>10</v>
      </c>
      <c r="AC345">
        <f t="shared" si="111"/>
        <v>0</v>
      </c>
      <c r="AD345">
        <f t="shared" si="112"/>
        <v>0</v>
      </c>
      <c r="AE345" s="13">
        <f t="shared" si="113"/>
        <v>0</v>
      </c>
      <c r="AH345">
        <f t="shared" si="114"/>
        <v>10.799999999999999</v>
      </c>
      <c r="AI345">
        <f t="shared" si="115"/>
        <v>1077.7339999999999</v>
      </c>
      <c r="AJ345" s="11">
        <f t="shared" si="116"/>
        <v>3.7999999999999999E-2</v>
      </c>
      <c r="AK345">
        <f t="shared" si="117"/>
        <v>11114.482391999998</v>
      </c>
      <c r="AL345">
        <f t="shared" si="118"/>
        <v>11639.527199999999</v>
      </c>
      <c r="AM345">
        <f t="shared" si="119"/>
        <v>-525.04480800000056</v>
      </c>
    </row>
    <row r="346" spans="1:39" x14ac:dyDescent="0.25">
      <c r="A346" t="s">
        <v>229</v>
      </c>
      <c r="B346" s="4">
        <v>45351</v>
      </c>
      <c r="C346" s="4">
        <v>45381</v>
      </c>
      <c r="D346" s="13">
        <f t="shared" si="120"/>
        <v>30</v>
      </c>
      <c r="E346" s="6" t="s">
        <v>647</v>
      </c>
      <c r="F346" t="s">
        <v>652</v>
      </c>
      <c r="G346" t="s">
        <v>694</v>
      </c>
      <c r="H346" t="s">
        <v>705</v>
      </c>
      <c r="I346" t="s">
        <v>711</v>
      </c>
      <c r="J346" t="s">
        <v>714</v>
      </c>
      <c r="K346" t="s">
        <v>729</v>
      </c>
      <c r="L346" t="s">
        <v>949</v>
      </c>
      <c r="M346" s="8">
        <v>231.11</v>
      </c>
      <c r="N346" s="8">
        <v>318.17</v>
      </c>
      <c r="O346" s="8">
        <f t="shared" si="121"/>
        <v>318.17</v>
      </c>
      <c r="P346" s="11">
        <v>0.20100000000000001</v>
      </c>
      <c r="Q346" s="13">
        <v>60</v>
      </c>
      <c r="R346" s="8">
        <f t="shared" si="102"/>
        <v>15253.069799999999</v>
      </c>
      <c r="S346" s="8">
        <f t="shared" si="103"/>
        <v>13866.6</v>
      </c>
      <c r="T346" s="8">
        <f t="shared" si="104"/>
        <v>1386.4697999999989</v>
      </c>
      <c r="U346" s="11">
        <f t="shared" si="105"/>
        <v>9.0897754889969692E-2</v>
      </c>
      <c r="V346" s="17">
        <v>45516</v>
      </c>
      <c r="W346" s="4" t="str">
        <f t="shared" si="106"/>
        <v>Q1-2024</v>
      </c>
      <c r="X346" t="str">
        <f t="shared" si="107"/>
        <v>Asia → Japan → Nagoya</v>
      </c>
      <c r="Y346" t="str">
        <f t="shared" si="108"/>
        <v>Low</v>
      </c>
      <c r="Z346" s="20">
        <f t="shared" si="109"/>
        <v>45323</v>
      </c>
      <c r="AA346" s="4">
        <f t="array" ref="AA346">MIN(IF($F$2:$F$633=F346,$Z$2:$Z$633))</f>
        <v>44986</v>
      </c>
      <c r="AB346">
        <f t="shared" si="122"/>
        <v>11</v>
      </c>
      <c r="AC346">
        <f t="shared" si="111"/>
        <v>0</v>
      </c>
      <c r="AD346">
        <f t="shared" si="112"/>
        <v>1</v>
      </c>
      <c r="AE346" s="13">
        <f t="shared" si="113"/>
        <v>0</v>
      </c>
      <c r="AH346">
        <f t="shared" si="114"/>
        <v>72</v>
      </c>
      <c r="AI346">
        <f t="shared" si="115"/>
        <v>265.7765</v>
      </c>
      <c r="AJ346" s="11">
        <f t="shared" si="116"/>
        <v>0.20100000000000001</v>
      </c>
      <c r="AK346">
        <f t="shared" si="117"/>
        <v>18303.68376</v>
      </c>
      <c r="AL346">
        <f t="shared" si="118"/>
        <v>19135.907999999999</v>
      </c>
      <c r="AM346">
        <f t="shared" si="119"/>
        <v>-832.22423999999955</v>
      </c>
    </row>
    <row r="347" spans="1:39" x14ac:dyDescent="0.25">
      <c r="A347" t="s">
        <v>82</v>
      </c>
      <c r="B347" s="4">
        <v>45434</v>
      </c>
      <c r="C347" s="4">
        <v>45449</v>
      </c>
      <c r="D347" s="13">
        <f t="shared" si="120"/>
        <v>15</v>
      </c>
      <c r="E347" s="6" t="s">
        <v>647</v>
      </c>
      <c r="F347" t="s">
        <v>652</v>
      </c>
      <c r="G347" t="s">
        <v>694</v>
      </c>
      <c r="H347" t="s">
        <v>701</v>
      </c>
      <c r="I347" t="s">
        <v>710</v>
      </c>
      <c r="J347" t="s">
        <v>712</v>
      </c>
      <c r="K347" t="s">
        <v>732</v>
      </c>
      <c r="L347" t="s">
        <v>801</v>
      </c>
      <c r="M347" s="8">
        <v>673.88</v>
      </c>
      <c r="N347" s="8">
        <v>1228.01</v>
      </c>
      <c r="O347" s="8">
        <f t="shared" si="121"/>
        <v>1228.01</v>
      </c>
      <c r="P347" s="11">
        <v>0.105</v>
      </c>
      <c r="Q347" s="13">
        <v>13</v>
      </c>
      <c r="R347" s="8">
        <f t="shared" si="102"/>
        <v>14287.896349999999</v>
      </c>
      <c r="S347" s="8">
        <f t="shared" si="103"/>
        <v>8760.44</v>
      </c>
      <c r="T347" s="8">
        <f t="shared" si="104"/>
        <v>5527.4563499999986</v>
      </c>
      <c r="U347" s="11">
        <f t="shared" si="105"/>
        <v>0.38686285332689996</v>
      </c>
      <c r="V347" s="17">
        <v>45413</v>
      </c>
      <c r="W347" s="4" t="str">
        <f t="shared" si="106"/>
        <v>Q2-2024</v>
      </c>
      <c r="X347" t="str">
        <f t="shared" si="107"/>
        <v>Asia → Japan → Nagoya</v>
      </c>
      <c r="Y347" t="str">
        <f t="shared" si="108"/>
        <v>Medium</v>
      </c>
      <c r="Z347" s="20">
        <f t="shared" si="109"/>
        <v>45413</v>
      </c>
      <c r="AA347" s="4">
        <f t="array" ref="AA347">MIN(IF($F$2:$F$633=F347,$Z$2:$Z$633))</f>
        <v>44986</v>
      </c>
      <c r="AB347">
        <f t="shared" si="122"/>
        <v>14</v>
      </c>
      <c r="AC347">
        <f t="shared" si="111"/>
        <v>0</v>
      </c>
      <c r="AD347">
        <f t="shared" si="112"/>
        <v>0</v>
      </c>
      <c r="AE347" s="13">
        <f t="shared" si="113"/>
        <v>0</v>
      </c>
      <c r="AH347">
        <f t="shared" si="114"/>
        <v>15.6</v>
      </c>
      <c r="AI347">
        <f t="shared" si="115"/>
        <v>774.96199999999999</v>
      </c>
      <c r="AJ347" s="11">
        <f t="shared" si="116"/>
        <v>0.105</v>
      </c>
      <c r="AK347">
        <f t="shared" si="117"/>
        <v>17145.475619999997</v>
      </c>
      <c r="AL347">
        <f t="shared" si="118"/>
        <v>12089.4072</v>
      </c>
      <c r="AM347">
        <f t="shared" si="119"/>
        <v>5056.0684199999978</v>
      </c>
    </row>
    <row r="348" spans="1:39" x14ac:dyDescent="0.25">
      <c r="A348" t="s">
        <v>602</v>
      </c>
      <c r="B348" s="4">
        <v>45459</v>
      </c>
      <c r="C348" s="4">
        <v>45464</v>
      </c>
      <c r="D348" s="13">
        <f t="shared" si="120"/>
        <v>5</v>
      </c>
      <c r="E348" s="6" t="s">
        <v>647</v>
      </c>
      <c r="F348" t="s">
        <v>652</v>
      </c>
      <c r="G348" t="s">
        <v>689</v>
      </c>
      <c r="H348" t="s">
        <v>705</v>
      </c>
      <c r="I348" t="s">
        <v>710</v>
      </c>
      <c r="J348" t="s">
        <v>721</v>
      </c>
      <c r="K348" t="s">
        <v>730</v>
      </c>
      <c r="L348" t="s">
        <v>1320</v>
      </c>
      <c r="M348" s="8">
        <v>1367.13</v>
      </c>
      <c r="N348" s="8">
        <v>3062.01</v>
      </c>
      <c r="O348" s="8">
        <f t="shared" si="121"/>
        <v>3062.01</v>
      </c>
      <c r="P348" s="11">
        <v>0.10299999999999999</v>
      </c>
      <c r="Q348" s="13">
        <v>25</v>
      </c>
      <c r="R348" s="8">
        <f t="shared" si="102"/>
        <v>68665.574250000005</v>
      </c>
      <c r="S348" s="8">
        <f t="shared" si="103"/>
        <v>34178.25</v>
      </c>
      <c r="T348" s="8">
        <f t="shared" si="104"/>
        <v>34487.324250000005</v>
      </c>
      <c r="U348" s="11">
        <f t="shared" si="105"/>
        <v>0.50225057645971705</v>
      </c>
      <c r="V348" s="17">
        <v>45382</v>
      </c>
      <c r="W348" s="4" t="str">
        <f t="shared" si="106"/>
        <v>Q2-2024</v>
      </c>
      <c r="X348" t="str">
        <f t="shared" si="107"/>
        <v>Asia → Japan → Tokyo</v>
      </c>
      <c r="Y348" t="str">
        <f t="shared" si="108"/>
        <v>High</v>
      </c>
      <c r="Z348" s="20">
        <f t="shared" si="109"/>
        <v>45444</v>
      </c>
      <c r="AA348" s="4">
        <f t="array" ref="AA348">MIN(IF($F$2:$F$633=F348,$Z$2:$Z$633))</f>
        <v>44986</v>
      </c>
      <c r="AB348">
        <f t="shared" si="122"/>
        <v>15</v>
      </c>
      <c r="AC348">
        <f t="shared" si="111"/>
        <v>1</v>
      </c>
      <c r="AD348">
        <f t="shared" si="112"/>
        <v>0</v>
      </c>
      <c r="AE348" s="13">
        <f t="shared" si="113"/>
        <v>1</v>
      </c>
      <c r="AH348">
        <f t="shared" si="114"/>
        <v>30</v>
      </c>
      <c r="AI348">
        <f t="shared" si="115"/>
        <v>1572.1994999999999</v>
      </c>
      <c r="AJ348" s="11">
        <f t="shared" si="116"/>
        <v>0.10299999999999999</v>
      </c>
      <c r="AK348">
        <f t="shared" si="117"/>
        <v>82398.689100000003</v>
      </c>
      <c r="AL348">
        <f t="shared" si="118"/>
        <v>47165.985000000001</v>
      </c>
      <c r="AM348">
        <f t="shared" si="119"/>
        <v>35232.704100000003</v>
      </c>
    </row>
    <row r="349" spans="1:39" x14ac:dyDescent="0.25">
      <c r="A349" t="s">
        <v>358</v>
      </c>
      <c r="B349" s="4">
        <v>45485</v>
      </c>
      <c r="C349" s="4">
        <v>45486</v>
      </c>
      <c r="D349" s="13">
        <f t="shared" si="120"/>
        <v>1</v>
      </c>
      <c r="E349" s="6" t="s">
        <v>647</v>
      </c>
      <c r="F349" t="s">
        <v>652</v>
      </c>
      <c r="G349" t="s">
        <v>694</v>
      </c>
      <c r="H349" t="s">
        <v>705</v>
      </c>
      <c r="I349" t="s">
        <v>709</v>
      </c>
      <c r="J349" t="s">
        <v>721</v>
      </c>
      <c r="K349" t="s">
        <v>729</v>
      </c>
      <c r="L349" t="s">
        <v>1078</v>
      </c>
      <c r="M349" s="8">
        <v>105.13</v>
      </c>
      <c r="N349" s="8">
        <v>244.13</v>
      </c>
      <c r="O349" s="8">
        <f t="shared" si="121"/>
        <v>244.13</v>
      </c>
      <c r="P349" s="11">
        <v>7.0999999999999994E-2</v>
      </c>
      <c r="Q349" s="13">
        <v>14</v>
      </c>
      <c r="R349" s="8">
        <f t="shared" si="102"/>
        <v>3175.1547799999998</v>
      </c>
      <c r="S349" s="8">
        <f t="shared" si="103"/>
        <v>1471.82</v>
      </c>
      <c r="T349" s="8">
        <f t="shared" si="104"/>
        <v>1703.3347799999999</v>
      </c>
      <c r="U349" s="11">
        <f t="shared" si="105"/>
        <v>0.53645724319618837</v>
      </c>
      <c r="V349" s="17">
        <v>45362</v>
      </c>
      <c r="W349" s="4" t="str">
        <f t="shared" si="106"/>
        <v>Q3-2024</v>
      </c>
      <c r="X349" t="str">
        <f t="shared" si="107"/>
        <v>Asia → Japan → Nagoya</v>
      </c>
      <c r="Y349" t="str">
        <f t="shared" si="108"/>
        <v>Low</v>
      </c>
      <c r="Z349" s="20">
        <f t="shared" si="109"/>
        <v>45474</v>
      </c>
      <c r="AA349" s="4">
        <f t="array" ref="AA349">MIN(IF($F$2:$F$633=F349,$Z$2:$Z$633))</f>
        <v>44986</v>
      </c>
      <c r="AB349">
        <f t="shared" si="122"/>
        <v>16</v>
      </c>
      <c r="AC349">
        <f t="shared" si="111"/>
        <v>1</v>
      </c>
      <c r="AD349">
        <f t="shared" si="112"/>
        <v>0</v>
      </c>
      <c r="AE349" s="13">
        <f t="shared" si="113"/>
        <v>1</v>
      </c>
      <c r="AH349">
        <f t="shared" si="114"/>
        <v>16.8</v>
      </c>
      <c r="AI349">
        <f t="shared" si="115"/>
        <v>120.89949999999999</v>
      </c>
      <c r="AJ349" s="11">
        <f t="shared" si="116"/>
        <v>7.0999999999999994E-2</v>
      </c>
      <c r="AK349">
        <f t="shared" si="117"/>
        <v>3810.1857360000004</v>
      </c>
      <c r="AL349">
        <f t="shared" si="118"/>
        <v>2031.1116</v>
      </c>
      <c r="AM349">
        <f t="shared" si="119"/>
        <v>1779.0741360000004</v>
      </c>
    </row>
    <row r="350" spans="1:39" x14ac:dyDescent="0.25">
      <c r="A350" t="s">
        <v>185</v>
      </c>
      <c r="B350" s="4">
        <v>45488</v>
      </c>
      <c r="C350" s="4">
        <v>45488</v>
      </c>
      <c r="D350" s="13">
        <f t="shared" si="120"/>
        <v>0</v>
      </c>
      <c r="E350" s="6" t="s">
        <v>647</v>
      </c>
      <c r="F350" t="s">
        <v>652</v>
      </c>
      <c r="G350" t="s">
        <v>689</v>
      </c>
      <c r="H350" t="s">
        <v>705</v>
      </c>
      <c r="I350" t="s">
        <v>709</v>
      </c>
      <c r="J350" t="s">
        <v>715</v>
      </c>
      <c r="K350" t="s">
        <v>733</v>
      </c>
      <c r="L350" t="s">
        <v>904</v>
      </c>
      <c r="M350" s="8">
        <v>801.77</v>
      </c>
      <c r="N350" s="8">
        <v>1218.92</v>
      </c>
      <c r="O350" s="8">
        <f t="shared" si="121"/>
        <v>1218.92</v>
      </c>
      <c r="P350" s="11">
        <v>0.254</v>
      </c>
      <c r="Q350" s="13">
        <v>16</v>
      </c>
      <c r="R350" s="8">
        <f t="shared" si="102"/>
        <v>14549.029120000001</v>
      </c>
      <c r="S350" s="8">
        <f t="shared" si="103"/>
        <v>12828.32</v>
      </c>
      <c r="T350" s="8">
        <f t="shared" si="104"/>
        <v>1720.7091200000013</v>
      </c>
      <c r="U350" s="11">
        <f t="shared" si="105"/>
        <v>0.11826968698788344</v>
      </c>
      <c r="V350" s="17">
        <v>45360</v>
      </c>
      <c r="W350" s="4" t="str">
        <f t="shared" si="106"/>
        <v>Q3-2024</v>
      </c>
      <c r="X350" t="str">
        <f t="shared" si="107"/>
        <v>Asia → Japan → Tokyo</v>
      </c>
      <c r="Y350" t="str">
        <f t="shared" si="108"/>
        <v>Medium</v>
      </c>
      <c r="Z350" s="20">
        <f t="shared" si="109"/>
        <v>45474</v>
      </c>
      <c r="AA350" s="4">
        <f t="array" ref="AA350">MIN(IF($F$2:$F$633=F350,$Z$2:$Z$633))</f>
        <v>44986</v>
      </c>
      <c r="AB350">
        <f t="shared" si="122"/>
        <v>16</v>
      </c>
      <c r="AC350">
        <f t="shared" si="111"/>
        <v>1</v>
      </c>
      <c r="AD350">
        <f t="shared" si="112"/>
        <v>1</v>
      </c>
      <c r="AE350" s="13">
        <f t="shared" si="113"/>
        <v>1</v>
      </c>
      <c r="AH350">
        <f t="shared" si="114"/>
        <v>19.2</v>
      </c>
      <c r="AI350">
        <f t="shared" si="115"/>
        <v>922.03549999999996</v>
      </c>
      <c r="AJ350" s="11">
        <f t="shared" si="116"/>
        <v>0.25</v>
      </c>
      <c r="AK350">
        <f t="shared" si="117"/>
        <v>17552.448</v>
      </c>
      <c r="AL350">
        <f t="shared" si="118"/>
        <v>17703.081599999998</v>
      </c>
      <c r="AM350">
        <f t="shared" si="119"/>
        <v>-150.63359999999739</v>
      </c>
    </row>
    <row r="351" spans="1:39" x14ac:dyDescent="0.25">
      <c r="A351" t="s">
        <v>607</v>
      </c>
      <c r="B351" s="4">
        <v>45504</v>
      </c>
      <c r="C351" s="4">
        <v>45519</v>
      </c>
      <c r="D351" s="13">
        <f t="shared" si="120"/>
        <v>15</v>
      </c>
      <c r="E351" s="6" t="s">
        <v>647</v>
      </c>
      <c r="F351" t="s">
        <v>652</v>
      </c>
      <c r="G351" t="s">
        <v>689</v>
      </c>
      <c r="H351" t="s">
        <v>701</v>
      </c>
      <c r="I351" t="s">
        <v>709</v>
      </c>
      <c r="J351" t="s">
        <v>721</v>
      </c>
      <c r="K351" t="s">
        <v>732</v>
      </c>
      <c r="L351" t="s">
        <v>1325</v>
      </c>
      <c r="M351" s="8">
        <v>1252.52</v>
      </c>
      <c r="N351" s="8">
        <v>1417.24</v>
      </c>
      <c r="O351" s="8">
        <f t="shared" si="121"/>
        <v>1417.24</v>
      </c>
      <c r="P351" s="11">
        <v>0.192</v>
      </c>
      <c r="Q351" s="13">
        <v>5</v>
      </c>
      <c r="R351" s="8">
        <f t="shared" si="102"/>
        <v>5725.6496000000006</v>
      </c>
      <c r="S351" s="8">
        <f t="shared" si="103"/>
        <v>6262.6</v>
      </c>
      <c r="T351" s="8">
        <f t="shared" si="104"/>
        <v>-536.95039999999972</v>
      </c>
      <c r="U351" s="11">
        <f t="shared" si="105"/>
        <v>-9.3779821943696953E-2</v>
      </c>
      <c r="V351" s="17">
        <v>45354</v>
      </c>
      <c r="W351" s="4" t="str">
        <f t="shared" si="106"/>
        <v>Q3-2024</v>
      </c>
      <c r="X351" t="str">
        <f t="shared" si="107"/>
        <v>Asia → Japan → Tokyo</v>
      </c>
      <c r="Y351" t="str">
        <f t="shared" si="108"/>
        <v>Medium</v>
      </c>
      <c r="Z351" s="20">
        <f t="shared" si="109"/>
        <v>45474</v>
      </c>
      <c r="AA351" s="4">
        <f t="array" ref="AA351">MIN(IF($F$2:$F$633=F351,$Z$2:$Z$633))</f>
        <v>44986</v>
      </c>
      <c r="AB351">
        <f t="shared" si="122"/>
        <v>16</v>
      </c>
      <c r="AC351">
        <f t="shared" si="111"/>
        <v>0</v>
      </c>
      <c r="AD351">
        <f t="shared" si="112"/>
        <v>0</v>
      </c>
      <c r="AE351" s="13">
        <f t="shared" si="113"/>
        <v>0</v>
      </c>
      <c r="AH351">
        <f t="shared" si="114"/>
        <v>6</v>
      </c>
      <c r="AI351">
        <f t="shared" si="115"/>
        <v>1440.3979999999999</v>
      </c>
      <c r="AJ351" s="11">
        <f t="shared" si="116"/>
        <v>0.192</v>
      </c>
      <c r="AK351">
        <f t="shared" si="117"/>
        <v>6870.779520000001</v>
      </c>
      <c r="AL351">
        <f t="shared" si="118"/>
        <v>8642.387999999999</v>
      </c>
      <c r="AM351">
        <f t="shared" si="119"/>
        <v>-1771.6084799999981</v>
      </c>
    </row>
    <row r="352" spans="1:39" x14ac:dyDescent="0.25">
      <c r="A352" t="s">
        <v>170</v>
      </c>
      <c r="B352" s="4">
        <v>45511</v>
      </c>
      <c r="C352" s="4">
        <v>45521</v>
      </c>
      <c r="D352" s="13">
        <f t="shared" si="120"/>
        <v>10</v>
      </c>
      <c r="E352" s="6" t="s">
        <v>647</v>
      </c>
      <c r="F352" t="s">
        <v>652</v>
      </c>
      <c r="G352" t="s">
        <v>666</v>
      </c>
      <c r="H352" t="s">
        <v>704</v>
      </c>
      <c r="I352" t="s">
        <v>708</v>
      </c>
      <c r="J352" t="s">
        <v>723</v>
      </c>
      <c r="K352" t="s">
        <v>729</v>
      </c>
      <c r="L352" t="s">
        <v>889</v>
      </c>
      <c r="M352" s="8">
        <v>436.58</v>
      </c>
      <c r="N352" s="8">
        <v>527.48</v>
      </c>
      <c r="O352" s="8">
        <f t="shared" si="121"/>
        <v>527.48</v>
      </c>
      <c r="P352" s="11">
        <v>0.111</v>
      </c>
      <c r="Q352" s="13">
        <v>19</v>
      </c>
      <c r="R352" s="8">
        <f t="shared" si="102"/>
        <v>8909.6646800000017</v>
      </c>
      <c r="S352" s="8">
        <f t="shared" si="103"/>
        <v>8295.02</v>
      </c>
      <c r="T352" s="8">
        <f t="shared" si="104"/>
        <v>614.64468000000124</v>
      </c>
      <c r="U352" s="11">
        <f t="shared" si="105"/>
        <v>6.8986286473802644E-2</v>
      </c>
      <c r="V352" s="17">
        <v>45340</v>
      </c>
      <c r="W352" s="4" t="str">
        <f t="shared" si="106"/>
        <v>Q3-2024</v>
      </c>
      <c r="X352" t="str">
        <f t="shared" si="107"/>
        <v>Asia → Japan → Osaka</v>
      </c>
      <c r="Y352" t="str">
        <f t="shared" si="108"/>
        <v>Low</v>
      </c>
      <c r="Z352" s="20">
        <f t="shared" si="109"/>
        <v>45505</v>
      </c>
      <c r="AA352" s="4">
        <f t="array" ref="AA352">MIN(IF($F$2:$F$633=F352,$Z$2:$Z$633))</f>
        <v>44986</v>
      </c>
      <c r="AB352">
        <f t="shared" si="122"/>
        <v>17</v>
      </c>
      <c r="AC352">
        <f t="shared" si="111"/>
        <v>0</v>
      </c>
      <c r="AD352">
        <f t="shared" si="112"/>
        <v>0</v>
      </c>
      <c r="AE352" s="13">
        <f t="shared" si="113"/>
        <v>0</v>
      </c>
      <c r="AH352">
        <f t="shared" si="114"/>
        <v>22.8</v>
      </c>
      <c r="AI352">
        <f t="shared" si="115"/>
        <v>502.06699999999995</v>
      </c>
      <c r="AJ352" s="11">
        <f t="shared" si="116"/>
        <v>0.111</v>
      </c>
      <c r="AK352">
        <f t="shared" si="117"/>
        <v>10691.597616000001</v>
      </c>
      <c r="AL352">
        <f t="shared" si="118"/>
        <v>11447.1276</v>
      </c>
      <c r="AM352">
        <f t="shared" si="119"/>
        <v>-755.52998399999888</v>
      </c>
    </row>
    <row r="353" spans="1:39" x14ac:dyDescent="0.25">
      <c r="A353" t="s">
        <v>367</v>
      </c>
      <c r="B353" s="4">
        <v>45512</v>
      </c>
      <c r="C353" s="4">
        <v>45524</v>
      </c>
      <c r="D353" s="13">
        <f t="shared" si="120"/>
        <v>12</v>
      </c>
      <c r="E353" s="6" t="s">
        <v>647</v>
      </c>
      <c r="F353" t="s">
        <v>652</v>
      </c>
      <c r="G353" t="s">
        <v>666</v>
      </c>
      <c r="H353" t="s">
        <v>705</v>
      </c>
      <c r="I353" t="s">
        <v>707</v>
      </c>
      <c r="J353" t="s">
        <v>722</v>
      </c>
      <c r="K353" t="s">
        <v>729</v>
      </c>
      <c r="L353" t="s">
        <v>1087</v>
      </c>
      <c r="M353" s="8">
        <v>1233.3599999999999</v>
      </c>
      <c r="N353" s="8">
        <v>2120.4</v>
      </c>
      <c r="O353" s="8">
        <f t="shared" si="121"/>
        <v>2120.4</v>
      </c>
      <c r="P353" s="11">
        <v>0.17899999999999999</v>
      </c>
      <c r="Q353" s="13">
        <v>20</v>
      </c>
      <c r="R353" s="8">
        <f t="shared" si="102"/>
        <v>34816.968000000001</v>
      </c>
      <c r="S353" s="8">
        <f t="shared" si="103"/>
        <v>24667.199999999997</v>
      </c>
      <c r="T353" s="8">
        <f t="shared" si="104"/>
        <v>10149.768000000004</v>
      </c>
      <c r="U353" s="11">
        <f t="shared" si="105"/>
        <v>0.29151785991244278</v>
      </c>
      <c r="V353" s="17">
        <v>45347</v>
      </c>
      <c r="W353" s="4" t="str">
        <f t="shared" si="106"/>
        <v>Q3-2024</v>
      </c>
      <c r="X353" t="str">
        <f t="shared" si="107"/>
        <v>Asia → Japan → Osaka</v>
      </c>
      <c r="Y353" t="str">
        <f t="shared" si="108"/>
        <v>High</v>
      </c>
      <c r="Z353" s="20">
        <f t="shared" si="109"/>
        <v>45505</v>
      </c>
      <c r="AA353" s="4">
        <f t="array" ref="AA353">MIN(IF($F$2:$F$633=F353,$Z$2:$Z$633))</f>
        <v>44986</v>
      </c>
      <c r="AB353">
        <f t="shared" si="122"/>
        <v>17</v>
      </c>
      <c r="AC353">
        <f t="shared" si="111"/>
        <v>0</v>
      </c>
      <c r="AD353">
        <f t="shared" si="112"/>
        <v>0</v>
      </c>
      <c r="AE353" s="13">
        <f t="shared" si="113"/>
        <v>0</v>
      </c>
      <c r="AH353">
        <f t="shared" si="114"/>
        <v>24</v>
      </c>
      <c r="AI353">
        <f t="shared" si="115"/>
        <v>1418.3639999999998</v>
      </c>
      <c r="AJ353" s="11">
        <f t="shared" si="116"/>
        <v>0.17899999999999999</v>
      </c>
      <c r="AK353">
        <f t="shared" si="117"/>
        <v>41780.361600000004</v>
      </c>
      <c r="AL353">
        <f t="shared" si="118"/>
        <v>34040.735999999997</v>
      </c>
      <c r="AM353">
        <f t="shared" si="119"/>
        <v>7739.6256000000067</v>
      </c>
    </row>
    <row r="354" spans="1:39" x14ac:dyDescent="0.25">
      <c r="A354" t="s">
        <v>424</v>
      </c>
      <c r="B354" s="4">
        <v>45534</v>
      </c>
      <c r="C354" s="4">
        <v>45540</v>
      </c>
      <c r="D354" s="13">
        <f t="shared" si="120"/>
        <v>6</v>
      </c>
      <c r="E354" s="6" t="s">
        <v>647</v>
      </c>
      <c r="F354" t="s">
        <v>652</v>
      </c>
      <c r="G354" t="s">
        <v>694</v>
      </c>
      <c r="H354" t="s">
        <v>702</v>
      </c>
      <c r="I354" t="s">
        <v>708</v>
      </c>
      <c r="J354" t="s">
        <v>725</v>
      </c>
      <c r="K354" t="s">
        <v>731</v>
      </c>
      <c r="L354" t="s">
        <v>1143</v>
      </c>
      <c r="M354" s="8">
        <v>466.16</v>
      </c>
      <c r="N354" s="8">
        <v>876.81</v>
      </c>
      <c r="O354" s="8">
        <f t="shared" si="121"/>
        <v>876.81</v>
      </c>
      <c r="P354" s="11">
        <v>0.24099999999999999</v>
      </c>
      <c r="Q354" s="13">
        <v>8</v>
      </c>
      <c r="R354" s="8">
        <f t="shared" si="102"/>
        <v>5323.9903199999999</v>
      </c>
      <c r="S354" s="8">
        <f t="shared" si="103"/>
        <v>3729.28</v>
      </c>
      <c r="T354" s="8">
        <f t="shared" si="104"/>
        <v>1594.7103199999997</v>
      </c>
      <c r="U354" s="11">
        <f t="shared" si="105"/>
        <v>0.29953291124691594</v>
      </c>
      <c r="V354" s="17">
        <v>45307</v>
      </c>
      <c r="W354" s="4" t="str">
        <f t="shared" si="106"/>
        <v>Q3-2024</v>
      </c>
      <c r="X354" t="str">
        <f t="shared" si="107"/>
        <v>Asia → Japan → Nagoya</v>
      </c>
      <c r="Y354" t="str">
        <f t="shared" si="108"/>
        <v>Medium</v>
      </c>
      <c r="Z354" s="20">
        <f t="shared" si="109"/>
        <v>45505</v>
      </c>
      <c r="AA354" s="4">
        <f t="array" ref="AA354">MIN(IF($F$2:$F$633=F354,$Z$2:$Z$633))</f>
        <v>44986</v>
      </c>
      <c r="AB354">
        <f t="shared" si="122"/>
        <v>17</v>
      </c>
      <c r="AC354">
        <f t="shared" si="111"/>
        <v>1</v>
      </c>
      <c r="AD354">
        <f t="shared" si="112"/>
        <v>1</v>
      </c>
      <c r="AE354" s="13">
        <f t="shared" si="113"/>
        <v>1</v>
      </c>
      <c r="AH354">
        <f t="shared" si="114"/>
        <v>9.6</v>
      </c>
      <c r="AI354">
        <f t="shared" si="115"/>
        <v>536.08399999999995</v>
      </c>
      <c r="AJ354" s="11">
        <f t="shared" si="116"/>
        <v>0.24099999999999999</v>
      </c>
      <c r="AK354">
        <f t="shared" si="117"/>
        <v>6388.7883839999986</v>
      </c>
      <c r="AL354">
        <f t="shared" si="118"/>
        <v>5146.4063999999989</v>
      </c>
      <c r="AM354">
        <f t="shared" si="119"/>
        <v>1242.3819839999996</v>
      </c>
    </row>
    <row r="355" spans="1:39" x14ac:dyDescent="0.25">
      <c r="A355" t="s">
        <v>569</v>
      </c>
      <c r="B355" s="4">
        <v>45535</v>
      </c>
      <c r="C355" s="4">
        <v>45561</v>
      </c>
      <c r="D355" s="13">
        <f t="shared" si="120"/>
        <v>26</v>
      </c>
      <c r="E355" s="6" t="s">
        <v>647</v>
      </c>
      <c r="F355" t="s">
        <v>652</v>
      </c>
      <c r="G355" t="s">
        <v>689</v>
      </c>
      <c r="H355" t="s">
        <v>702</v>
      </c>
      <c r="I355" t="s">
        <v>708</v>
      </c>
      <c r="J355" t="s">
        <v>714</v>
      </c>
      <c r="K355" t="s">
        <v>730</v>
      </c>
      <c r="L355" t="s">
        <v>1287</v>
      </c>
      <c r="M355" s="8">
        <v>1189.03</v>
      </c>
      <c r="N355" s="8">
        <v>2949.62</v>
      </c>
      <c r="O355" s="8">
        <f t="shared" si="121"/>
        <v>2949.62</v>
      </c>
      <c r="P355" s="11">
        <v>0.125</v>
      </c>
      <c r="Q355" s="13">
        <v>13</v>
      </c>
      <c r="R355" s="8">
        <f t="shared" si="102"/>
        <v>33551.927499999998</v>
      </c>
      <c r="S355" s="8">
        <f t="shared" si="103"/>
        <v>15457.39</v>
      </c>
      <c r="T355" s="8">
        <f t="shared" si="104"/>
        <v>18094.537499999999</v>
      </c>
      <c r="U355" s="11">
        <f t="shared" si="105"/>
        <v>0.53929949330034765</v>
      </c>
      <c r="V355" s="17">
        <v>45330</v>
      </c>
      <c r="W355" s="4" t="str">
        <f t="shared" si="106"/>
        <v>Q3-2024</v>
      </c>
      <c r="X355" t="str">
        <f t="shared" si="107"/>
        <v>Asia → Japan → Tokyo</v>
      </c>
      <c r="Y355" t="str">
        <f t="shared" si="108"/>
        <v>High</v>
      </c>
      <c r="Z355" s="20">
        <f t="shared" si="109"/>
        <v>45505</v>
      </c>
      <c r="AA355" s="4">
        <f t="array" ref="AA355">MIN(IF($F$2:$F$633=F355,$Z$2:$Z$633))</f>
        <v>44986</v>
      </c>
      <c r="AB355">
        <f t="shared" si="122"/>
        <v>17</v>
      </c>
      <c r="AC355">
        <f t="shared" si="111"/>
        <v>0</v>
      </c>
      <c r="AD355">
        <f t="shared" si="112"/>
        <v>0</v>
      </c>
      <c r="AE355" s="13">
        <f t="shared" si="113"/>
        <v>0</v>
      </c>
      <c r="AH355">
        <f t="shared" si="114"/>
        <v>15.6</v>
      </c>
      <c r="AI355">
        <f t="shared" si="115"/>
        <v>1367.3844999999999</v>
      </c>
      <c r="AJ355" s="11">
        <f t="shared" si="116"/>
        <v>0.125</v>
      </c>
      <c r="AK355">
        <f t="shared" si="117"/>
        <v>40262.313000000002</v>
      </c>
      <c r="AL355">
        <f t="shared" si="118"/>
        <v>21331.198199999999</v>
      </c>
      <c r="AM355">
        <f t="shared" si="119"/>
        <v>18931.114800000003</v>
      </c>
    </row>
    <row r="356" spans="1:39" x14ac:dyDescent="0.25">
      <c r="A356" t="s">
        <v>495</v>
      </c>
      <c r="B356" s="4">
        <v>45538</v>
      </c>
      <c r="C356" s="4">
        <v>45542</v>
      </c>
      <c r="D356" s="13">
        <f t="shared" si="120"/>
        <v>4</v>
      </c>
      <c r="E356" s="6" t="s">
        <v>647</v>
      </c>
      <c r="F356" t="s">
        <v>652</v>
      </c>
      <c r="G356" t="s">
        <v>689</v>
      </c>
      <c r="H356" t="s">
        <v>705</v>
      </c>
      <c r="I356" t="s">
        <v>710</v>
      </c>
      <c r="J356" t="s">
        <v>725</v>
      </c>
      <c r="K356" t="s">
        <v>728</v>
      </c>
      <c r="L356" t="s">
        <v>1214</v>
      </c>
      <c r="M356" s="8">
        <v>43.23</v>
      </c>
      <c r="N356" s="8">
        <v>94.78</v>
      </c>
      <c r="O356" s="8">
        <f t="shared" si="121"/>
        <v>94.78</v>
      </c>
      <c r="P356" s="11">
        <v>9.0999999999999998E-2</v>
      </c>
      <c r="Q356" s="13">
        <v>55</v>
      </c>
      <c r="R356" s="8">
        <f t="shared" si="102"/>
        <v>4738.5261</v>
      </c>
      <c r="S356" s="8">
        <f t="shared" si="103"/>
        <v>2377.6499999999996</v>
      </c>
      <c r="T356" s="8">
        <f t="shared" si="104"/>
        <v>2360.8761000000004</v>
      </c>
      <c r="U356" s="11">
        <f t="shared" si="105"/>
        <v>0.49823005090127082</v>
      </c>
      <c r="V356" s="17">
        <v>45304</v>
      </c>
      <c r="W356" s="4" t="str">
        <f t="shared" si="106"/>
        <v>Q3-2024</v>
      </c>
      <c r="X356" t="str">
        <f t="shared" si="107"/>
        <v>Asia → Japan → Tokyo</v>
      </c>
      <c r="Y356" t="str">
        <f t="shared" si="108"/>
        <v>Low</v>
      </c>
      <c r="Z356" s="20">
        <f t="shared" si="109"/>
        <v>45536</v>
      </c>
      <c r="AA356" s="4">
        <f t="array" ref="AA356">MIN(IF($F$2:$F$633=F356,$Z$2:$Z$633))</f>
        <v>44986</v>
      </c>
      <c r="AB356">
        <f t="shared" si="122"/>
        <v>18</v>
      </c>
      <c r="AC356">
        <f t="shared" si="111"/>
        <v>1</v>
      </c>
      <c r="AD356">
        <f t="shared" si="112"/>
        <v>0</v>
      </c>
      <c r="AE356" s="13">
        <f t="shared" si="113"/>
        <v>1</v>
      </c>
      <c r="AH356">
        <f t="shared" si="114"/>
        <v>66</v>
      </c>
      <c r="AI356">
        <f t="shared" si="115"/>
        <v>49.714499999999994</v>
      </c>
      <c r="AJ356" s="11">
        <f t="shared" si="116"/>
        <v>9.0999999999999998E-2</v>
      </c>
      <c r="AK356">
        <f t="shared" si="117"/>
        <v>5686.2313200000008</v>
      </c>
      <c r="AL356">
        <f t="shared" si="118"/>
        <v>3281.1569999999997</v>
      </c>
      <c r="AM356">
        <f t="shared" si="119"/>
        <v>2405.0743200000011</v>
      </c>
    </row>
    <row r="357" spans="1:39" x14ac:dyDescent="0.25">
      <c r="A357" t="s">
        <v>597</v>
      </c>
      <c r="B357" s="4">
        <v>45539</v>
      </c>
      <c r="C357" s="4">
        <v>45541</v>
      </c>
      <c r="D357" s="13">
        <f t="shared" ref="D357:D383" si="123">C357-B357</f>
        <v>2</v>
      </c>
      <c r="E357" s="6" t="s">
        <v>647</v>
      </c>
      <c r="F357" t="s">
        <v>652</v>
      </c>
      <c r="G357" t="s">
        <v>666</v>
      </c>
      <c r="H357" t="s">
        <v>701</v>
      </c>
      <c r="I357" t="s">
        <v>711</v>
      </c>
      <c r="J357" t="s">
        <v>720</v>
      </c>
      <c r="K357" t="s">
        <v>731</v>
      </c>
      <c r="L357" t="s">
        <v>1315</v>
      </c>
      <c r="M357" s="8">
        <v>1368.17</v>
      </c>
      <c r="N357" s="8">
        <v>2307.75</v>
      </c>
      <c r="O357" s="8">
        <f t="shared" ref="O357:O383" si="124">ABS(N:N)</f>
        <v>2307.75</v>
      </c>
      <c r="P357" s="11">
        <v>0.16300000000000001</v>
      </c>
      <c r="Q357" s="13">
        <v>21</v>
      </c>
      <c r="R357" s="8">
        <f t="shared" si="102"/>
        <v>40563.321749999996</v>
      </c>
      <c r="S357" s="8">
        <f t="shared" si="103"/>
        <v>28731.57</v>
      </c>
      <c r="T357" s="8">
        <f t="shared" si="104"/>
        <v>11831.751749999996</v>
      </c>
      <c r="U357" s="11">
        <f t="shared" si="105"/>
        <v>0.29168596750831921</v>
      </c>
      <c r="V357" s="17">
        <v>45315</v>
      </c>
      <c r="W357" s="4" t="str">
        <f t="shared" si="106"/>
        <v>Q3-2024</v>
      </c>
      <c r="X357" t="str">
        <f t="shared" si="107"/>
        <v>Asia → Japan → Osaka</v>
      </c>
      <c r="Y357" t="str">
        <f t="shared" si="108"/>
        <v>High</v>
      </c>
      <c r="Z357" s="20">
        <f t="shared" si="109"/>
        <v>45536</v>
      </c>
      <c r="AA357" s="4">
        <f t="array" ref="AA357">MIN(IF($F$2:$F$633=F357,$Z$2:$Z$633))</f>
        <v>44986</v>
      </c>
      <c r="AB357">
        <f t="shared" ref="AB357:AB383" si="125">DATEDIF(AA357,Z357,"m")</f>
        <v>18</v>
      </c>
      <c r="AC357">
        <f t="shared" si="111"/>
        <v>1</v>
      </c>
      <c r="AD357">
        <f t="shared" si="112"/>
        <v>0</v>
      </c>
      <c r="AE357" s="13">
        <f t="shared" si="113"/>
        <v>1</v>
      </c>
      <c r="AH357">
        <f t="shared" si="114"/>
        <v>25.2</v>
      </c>
      <c r="AI357">
        <f t="shared" si="115"/>
        <v>1573.3954999999999</v>
      </c>
      <c r="AJ357" s="11">
        <f t="shared" si="116"/>
        <v>0.16300000000000001</v>
      </c>
      <c r="AK357">
        <f t="shared" si="117"/>
        <v>48675.986099999995</v>
      </c>
      <c r="AL357">
        <f t="shared" si="118"/>
        <v>39649.566599999998</v>
      </c>
      <c r="AM357">
        <f t="shared" si="119"/>
        <v>9026.4194999999963</v>
      </c>
    </row>
    <row r="358" spans="1:39" x14ac:dyDescent="0.25">
      <c r="A358" t="s">
        <v>247</v>
      </c>
      <c r="B358" s="4">
        <v>45540</v>
      </c>
      <c r="C358" s="4">
        <v>45560</v>
      </c>
      <c r="D358" s="13">
        <f t="shared" si="123"/>
        <v>20</v>
      </c>
      <c r="E358" s="6" t="s">
        <v>647</v>
      </c>
      <c r="F358" t="s">
        <v>652</v>
      </c>
      <c r="G358" t="s">
        <v>666</v>
      </c>
      <c r="H358" t="s">
        <v>706</v>
      </c>
      <c r="I358" t="s">
        <v>710</v>
      </c>
      <c r="J358" t="s">
        <v>726</v>
      </c>
      <c r="K358" t="s">
        <v>732</v>
      </c>
      <c r="L358" t="s">
        <v>967</v>
      </c>
      <c r="M358" s="8">
        <v>195.54</v>
      </c>
      <c r="N358" s="8">
        <v>405.97</v>
      </c>
      <c r="O358" s="8">
        <f t="shared" si="124"/>
        <v>405.97</v>
      </c>
      <c r="P358" s="11">
        <v>0.187</v>
      </c>
      <c r="Q358" s="13">
        <v>16</v>
      </c>
      <c r="R358" s="8">
        <f t="shared" si="102"/>
        <v>5280.8577599999999</v>
      </c>
      <c r="S358" s="8">
        <f t="shared" si="103"/>
        <v>3128.64</v>
      </c>
      <c r="T358" s="8">
        <f t="shared" si="104"/>
        <v>2152.21776</v>
      </c>
      <c r="U358" s="11">
        <f t="shared" si="105"/>
        <v>0.40755079152141377</v>
      </c>
      <c r="V358" s="17">
        <v>45309</v>
      </c>
      <c r="W358" s="4" t="str">
        <f t="shared" si="106"/>
        <v>Q3-2024</v>
      </c>
      <c r="X358" t="str">
        <f t="shared" si="107"/>
        <v>Asia → Japan → Osaka</v>
      </c>
      <c r="Y358" t="str">
        <f t="shared" si="108"/>
        <v>Low</v>
      </c>
      <c r="Z358" s="20">
        <f t="shared" si="109"/>
        <v>45536</v>
      </c>
      <c r="AA358" s="4">
        <f t="array" ref="AA358">MIN(IF($F$2:$F$633=F358,$Z$2:$Z$633))</f>
        <v>44986</v>
      </c>
      <c r="AB358">
        <f t="shared" si="125"/>
        <v>18</v>
      </c>
      <c r="AC358">
        <f t="shared" si="111"/>
        <v>0</v>
      </c>
      <c r="AD358">
        <f t="shared" si="112"/>
        <v>0</v>
      </c>
      <c r="AE358" s="13">
        <f t="shared" si="113"/>
        <v>0</v>
      </c>
      <c r="AH358">
        <f t="shared" si="114"/>
        <v>19.2</v>
      </c>
      <c r="AI358">
        <f t="shared" si="115"/>
        <v>224.87099999999998</v>
      </c>
      <c r="AJ358" s="11">
        <f t="shared" si="116"/>
        <v>0.187</v>
      </c>
      <c r="AK358">
        <f t="shared" si="117"/>
        <v>6337.0293119999997</v>
      </c>
      <c r="AL358">
        <f t="shared" si="118"/>
        <v>4317.5231999999996</v>
      </c>
      <c r="AM358">
        <f t="shared" si="119"/>
        <v>2019.506112</v>
      </c>
    </row>
    <row r="359" spans="1:39" x14ac:dyDescent="0.25">
      <c r="A359" t="s">
        <v>123</v>
      </c>
      <c r="B359" s="4">
        <v>45581</v>
      </c>
      <c r="C359" s="4">
        <v>45604</v>
      </c>
      <c r="D359" s="13">
        <f t="shared" si="123"/>
        <v>23</v>
      </c>
      <c r="E359" s="6" t="s">
        <v>647</v>
      </c>
      <c r="F359" t="s">
        <v>652</v>
      </c>
      <c r="G359" t="s">
        <v>666</v>
      </c>
      <c r="H359" t="s">
        <v>705</v>
      </c>
      <c r="I359" t="s">
        <v>707</v>
      </c>
      <c r="J359" t="s">
        <v>713</v>
      </c>
      <c r="K359" t="s">
        <v>729</v>
      </c>
      <c r="L359" t="s">
        <v>842</v>
      </c>
      <c r="M359" s="8">
        <v>82.14</v>
      </c>
      <c r="N359" s="8">
        <v>166.04</v>
      </c>
      <c r="O359" s="8">
        <f t="shared" si="124"/>
        <v>166.04</v>
      </c>
      <c r="P359" s="11">
        <v>0</v>
      </c>
      <c r="Q359" s="13">
        <v>10</v>
      </c>
      <c r="R359" s="8">
        <f t="shared" si="102"/>
        <v>1660.3999999999999</v>
      </c>
      <c r="S359" s="8">
        <f t="shared" si="103"/>
        <v>821.4</v>
      </c>
      <c r="T359" s="8">
        <f t="shared" si="104"/>
        <v>838.99999999999989</v>
      </c>
      <c r="U359" s="11">
        <f t="shared" si="105"/>
        <v>0.50529992772825827</v>
      </c>
      <c r="V359" s="17">
        <v>45286</v>
      </c>
      <c r="W359" s="4" t="str">
        <f t="shared" si="106"/>
        <v>Q4-2024</v>
      </c>
      <c r="X359" t="str">
        <f t="shared" si="107"/>
        <v>Asia → Japan → Osaka</v>
      </c>
      <c r="Y359" t="str">
        <f t="shared" si="108"/>
        <v>Low</v>
      </c>
      <c r="Z359" s="20">
        <f t="shared" si="109"/>
        <v>45566</v>
      </c>
      <c r="AA359" s="4">
        <f t="array" ref="AA359">MIN(IF($F$2:$F$633=F359,$Z$2:$Z$633))</f>
        <v>44986</v>
      </c>
      <c r="AB359">
        <f t="shared" si="125"/>
        <v>19</v>
      </c>
      <c r="AC359">
        <f t="shared" si="111"/>
        <v>0</v>
      </c>
      <c r="AD359">
        <f t="shared" si="112"/>
        <v>0</v>
      </c>
      <c r="AE359" s="13">
        <f t="shared" si="113"/>
        <v>0</v>
      </c>
      <c r="AH359">
        <f t="shared" si="114"/>
        <v>12</v>
      </c>
      <c r="AI359">
        <f t="shared" si="115"/>
        <v>94.460999999999999</v>
      </c>
      <c r="AJ359" s="11">
        <f t="shared" si="116"/>
        <v>0</v>
      </c>
      <c r="AK359">
        <f t="shared" si="117"/>
        <v>1992.48</v>
      </c>
      <c r="AL359">
        <f t="shared" si="118"/>
        <v>1133.5319999999999</v>
      </c>
      <c r="AM359">
        <f t="shared" si="119"/>
        <v>858.94800000000009</v>
      </c>
    </row>
    <row r="360" spans="1:39" x14ac:dyDescent="0.25">
      <c r="A360" t="s">
        <v>210</v>
      </c>
      <c r="B360" s="4">
        <v>45588</v>
      </c>
      <c r="C360" s="4">
        <v>45610</v>
      </c>
      <c r="D360" s="13">
        <f t="shared" si="123"/>
        <v>22</v>
      </c>
      <c r="E360" s="6" t="s">
        <v>647</v>
      </c>
      <c r="F360" t="s">
        <v>652</v>
      </c>
      <c r="G360" t="s">
        <v>666</v>
      </c>
      <c r="H360" t="s">
        <v>703</v>
      </c>
      <c r="I360" t="s">
        <v>711</v>
      </c>
      <c r="J360" t="s">
        <v>717</v>
      </c>
      <c r="K360" t="s">
        <v>730</v>
      </c>
      <c r="L360" t="s">
        <v>930</v>
      </c>
      <c r="M360" s="8">
        <v>1406.4</v>
      </c>
      <c r="N360" s="8">
        <v>1564.76</v>
      </c>
      <c r="O360" s="8">
        <f t="shared" si="124"/>
        <v>1564.76</v>
      </c>
      <c r="P360" s="11">
        <v>0.185</v>
      </c>
      <c r="Q360" s="13">
        <v>17</v>
      </c>
      <c r="R360" s="8">
        <f t="shared" si="102"/>
        <v>21679.749799999998</v>
      </c>
      <c r="S360" s="8">
        <f t="shared" si="103"/>
        <v>23908.800000000003</v>
      </c>
      <c r="T360" s="8">
        <f t="shared" si="104"/>
        <v>-2229.0502000000051</v>
      </c>
      <c r="U360" s="11">
        <f t="shared" si="105"/>
        <v>-0.10281715520536151</v>
      </c>
      <c r="V360" s="17">
        <v>45284</v>
      </c>
      <c r="W360" s="4" t="str">
        <f t="shared" si="106"/>
        <v>Q4-2024</v>
      </c>
      <c r="X360" t="str">
        <f t="shared" si="107"/>
        <v>Asia → Japan → Osaka</v>
      </c>
      <c r="Y360" t="str">
        <f t="shared" si="108"/>
        <v>Medium</v>
      </c>
      <c r="Z360" s="20">
        <f t="shared" si="109"/>
        <v>45566</v>
      </c>
      <c r="AA360" s="4">
        <f t="array" ref="AA360">MIN(IF($F$2:$F$633=F360,$Z$2:$Z$633))</f>
        <v>44986</v>
      </c>
      <c r="AB360">
        <f t="shared" si="125"/>
        <v>19</v>
      </c>
      <c r="AC360">
        <f t="shared" si="111"/>
        <v>0</v>
      </c>
      <c r="AD360">
        <f t="shared" si="112"/>
        <v>0</v>
      </c>
      <c r="AE360" s="13">
        <f t="shared" si="113"/>
        <v>0</v>
      </c>
      <c r="AH360">
        <f t="shared" si="114"/>
        <v>20.399999999999999</v>
      </c>
      <c r="AI360">
        <f t="shared" si="115"/>
        <v>1617.36</v>
      </c>
      <c r="AJ360" s="11">
        <f t="shared" si="116"/>
        <v>0.185</v>
      </c>
      <c r="AK360">
        <f t="shared" si="117"/>
        <v>26015.69976</v>
      </c>
      <c r="AL360">
        <f t="shared" si="118"/>
        <v>32994.143999999993</v>
      </c>
      <c r="AM360">
        <f t="shared" si="119"/>
        <v>-6978.4442399999934</v>
      </c>
    </row>
    <row r="361" spans="1:39" x14ac:dyDescent="0.25">
      <c r="A361" t="s">
        <v>268</v>
      </c>
      <c r="B361" s="4">
        <v>45592</v>
      </c>
      <c r="C361" s="4">
        <v>45616</v>
      </c>
      <c r="D361" s="13">
        <f t="shared" si="123"/>
        <v>24</v>
      </c>
      <c r="E361" s="6" t="s">
        <v>647</v>
      </c>
      <c r="F361" t="s">
        <v>652</v>
      </c>
      <c r="G361" t="s">
        <v>694</v>
      </c>
      <c r="H361" t="s">
        <v>703</v>
      </c>
      <c r="I361" t="s">
        <v>708</v>
      </c>
      <c r="J361" t="s">
        <v>722</v>
      </c>
      <c r="K361" t="s">
        <v>732</v>
      </c>
      <c r="L361" t="s">
        <v>988</v>
      </c>
      <c r="M361" s="8">
        <v>317.25</v>
      </c>
      <c r="N361" s="8">
        <v>758.92</v>
      </c>
      <c r="O361" s="8">
        <f t="shared" si="124"/>
        <v>758.92</v>
      </c>
      <c r="P361" s="11">
        <v>5.2999999999999999E-2</v>
      </c>
      <c r="Q361" s="13">
        <v>9</v>
      </c>
      <c r="R361" s="8">
        <f t="shared" si="102"/>
        <v>6468.2751599999992</v>
      </c>
      <c r="S361" s="8">
        <f t="shared" si="103"/>
        <v>2855.25</v>
      </c>
      <c r="T361" s="8">
        <f t="shared" si="104"/>
        <v>3613.0251599999992</v>
      </c>
      <c r="U361" s="11">
        <f t="shared" si="105"/>
        <v>0.5585762928489888</v>
      </c>
      <c r="V361" s="17">
        <v>45282</v>
      </c>
      <c r="W361" s="4" t="str">
        <f t="shared" si="106"/>
        <v>Q4-2024</v>
      </c>
      <c r="X361" t="str">
        <f t="shared" si="107"/>
        <v>Asia → Japan → Nagoya</v>
      </c>
      <c r="Y361" t="str">
        <f t="shared" si="108"/>
        <v>Low</v>
      </c>
      <c r="Z361" s="20">
        <f t="shared" si="109"/>
        <v>45566</v>
      </c>
      <c r="AA361" s="4">
        <f t="array" ref="AA361">MIN(IF($F$2:$F$633=F361,$Z$2:$Z$633))</f>
        <v>44986</v>
      </c>
      <c r="AB361">
        <f t="shared" si="125"/>
        <v>19</v>
      </c>
      <c r="AC361">
        <f t="shared" si="111"/>
        <v>0</v>
      </c>
      <c r="AD361">
        <f t="shared" si="112"/>
        <v>0</v>
      </c>
      <c r="AE361" s="13">
        <f t="shared" si="113"/>
        <v>0</v>
      </c>
      <c r="AH361">
        <f t="shared" si="114"/>
        <v>10.799999999999999</v>
      </c>
      <c r="AI361">
        <f t="shared" si="115"/>
        <v>364.83749999999998</v>
      </c>
      <c r="AJ361" s="11">
        <f t="shared" si="116"/>
        <v>5.2999999999999999E-2</v>
      </c>
      <c r="AK361">
        <f t="shared" si="117"/>
        <v>7761.9301919999989</v>
      </c>
      <c r="AL361">
        <f t="shared" si="118"/>
        <v>3940.2449999999994</v>
      </c>
      <c r="AM361">
        <f t="shared" si="119"/>
        <v>3821.6851919999995</v>
      </c>
    </row>
    <row r="362" spans="1:39" x14ac:dyDescent="0.25">
      <c r="A362" t="s">
        <v>411</v>
      </c>
      <c r="B362" s="4">
        <v>45638</v>
      </c>
      <c r="C362" s="4">
        <v>45646</v>
      </c>
      <c r="D362" s="13">
        <f t="shared" si="123"/>
        <v>8</v>
      </c>
      <c r="E362" s="6" t="s">
        <v>647</v>
      </c>
      <c r="F362" t="s">
        <v>652</v>
      </c>
      <c r="G362" t="s">
        <v>689</v>
      </c>
      <c r="H362" t="s">
        <v>701</v>
      </c>
      <c r="I362" t="s">
        <v>707</v>
      </c>
      <c r="J362" t="s">
        <v>717</v>
      </c>
      <c r="K362" t="s">
        <v>731</v>
      </c>
      <c r="L362" t="s">
        <v>1130</v>
      </c>
      <c r="M362" s="8">
        <v>1202.47</v>
      </c>
      <c r="N362" s="8">
        <v>1444.72</v>
      </c>
      <c r="O362" s="8">
        <f t="shared" si="124"/>
        <v>1444.72</v>
      </c>
      <c r="P362" s="11">
        <v>0.24099999999999999</v>
      </c>
      <c r="Q362" s="13">
        <v>17</v>
      </c>
      <c r="R362" s="8">
        <f t="shared" si="102"/>
        <v>18641.222160000001</v>
      </c>
      <c r="S362" s="8">
        <f t="shared" si="103"/>
        <v>20441.990000000002</v>
      </c>
      <c r="T362" s="8">
        <f t="shared" si="104"/>
        <v>-1800.7678400000004</v>
      </c>
      <c r="U362" s="11">
        <f t="shared" si="105"/>
        <v>-9.6601382921343834E-2</v>
      </c>
      <c r="V362" s="17">
        <v>45208</v>
      </c>
      <c r="W362" s="4" t="str">
        <f t="shared" si="106"/>
        <v>Q4-2024</v>
      </c>
      <c r="X362" t="str">
        <f t="shared" si="107"/>
        <v>Asia → Japan → Tokyo</v>
      </c>
      <c r="Y362" t="str">
        <f t="shared" si="108"/>
        <v>Medium</v>
      </c>
      <c r="Z362" s="20">
        <f t="shared" si="109"/>
        <v>45627</v>
      </c>
      <c r="AA362" s="4">
        <f t="array" ref="AA362">MIN(IF($F$2:$F$633=F362,$Z$2:$Z$633))</f>
        <v>44986</v>
      </c>
      <c r="AB362">
        <f t="shared" si="125"/>
        <v>21</v>
      </c>
      <c r="AC362">
        <f t="shared" si="111"/>
        <v>0</v>
      </c>
      <c r="AD362">
        <f t="shared" si="112"/>
        <v>1</v>
      </c>
      <c r="AE362" s="13">
        <f t="shared" si="113"/>
        <v>0</v>
      </c>
      <c r="AH362">
        <f t="shared" si="114"/>
        <v>20.399999999999999</v>
      </c>
      <c r="AI362">
        <f t="shared" si="115"/>
        <v>1382.8405</v>
      </c>
      <c r="AJ362" s="11">
        <f t="shared" si="116"/>
        <v>0.24099999999999999</v>
      </c>
      <c r="AK362">
        <f t="shared" si="117"/>
        <v>22369.466591999997</v>
      </c>
      <c r="AL362">
        <f t="shared" si="118"/>
        <v>28209.946199999998</v>
      </c>
      <c r="AM362">
        <f t="shared" si="119"/>
        <v>-5840.4796080000015</v>
      </c>
    </row>
    <row r="363" spans="1:39" x14ac:dyDescent="0.25">
      <c r="A363" t="s">
        <v>26</v>
      </c>
      <c r="B363" s="4">
        <v>45660</v>
      </c>
      <c r="C363" s="4">
        <v>45680</v>
      </c>
      <c r="D363" s="13">
        <f t="shared" si="123"/>
        <v>20</v>
      </c>
      <c r="E363" s="6" t="s">
        <v>647</v>
      </c>
      <c r="F363" t="s">
        <v>652</v>
      </c>
      <c r="G363" t="s">
        <v>666</v>
      </c>
      <c r="H363" t="s">
        <v>701</v>
      </c>
      <c r="I363" t="s">
        <v>710</v>
      </c>
      <c r="J363" t="s">
        <v>721</v>
      </c>
      <c r="K363" t="s">
        <v>730</v>
      </c>
      <c r="L363" t="s">
        <v>745</v>
      </c>
      <c r="M363" s="8">
        <v>908.6</v>
      </c>
      <c r="N363" s="8">
        <v>691.37</v>
      </c>
      <c r="O363" s="8">
        <f t="shared" si="124"/>
        <v>691.37</v>
      </c>
      <c r="P363" s="11">
        <v>0.25</v>
      </c>
      <c r="Q363" s="13">
        <v>20</v>
      </c>
      <c r="R363" s="8">
        <f t="shared" si="102"/>
        <v>10370.549999999999</v>
      </c>
      <c r="S363" s="8">
        <f t="shared" si="103"/>
        <v>18172</v>
      </c>
      <c r="T363" s="8">
        <f t="shared" si="104"/>
        <v>-7801.4500000000007</v>
      </c>
      <c r="U363" s="11">
        <f t="shared" si="105"/>
        <v>-0.75226964818645115</v>
      </c>
      <c r="V363" s="17">
        <v>45189</v>
      </c>
      <c r="W363" s="4" t="str">
        <f t="shared" si="106"/>
        <v>Q1-2025</v>
      </c>
      <c r="X363" t="str">
        <f t="shared" si="107"/>
        <v>Asia → Japan → Osaka</v>
      </c>
      <c r="Y363" t="str">
        <f t="shared" si="108"/>
        <v>Low</v>
      </c>
      <c r="Z363" s="20">
        <f t="shared" si="109"/>
        <v>45658</v>
      </c>
      <c r="AA363" s="4">
        <f t="array" ref="AA363">MIN(IF($F$2:$F$633=F363,$Z$2:$Z$633))</f>
        <v>44986</v>
      </c>
      <c r="AB363">
        <f t="shared" si="125"/>
        <v>22</v>
      </c>
      <c r="AC363">
        <f t="shared" si="111"/>
        <v>0</v>
      </c>
      <c r="AD363">
        <f t="shared" si="112"/>
        <v>1</v>
      </c>
      <c r="AE363" s="13">
        <f t="shared" si="113"/>
        <v>0</v>
      </c>
      <c r="AH363">
        <f t="shared" si="114"/>
        <v>24</v>
      </c>
      <c r="AI363">
        <f t="shared" si="115"/>
        <v>1044.8899999999999</v>
      </c>
      <c r="AJ363" s="11">
        <f t="shared" si="116"/>
        <v>0.25</v>
      </c>
      <c r="AK363">
        <f t="shared" si="117"/>
        <v>12444.66</v>
      </c>
      <c r="AL363">
        <f t="shared" si="118"/>
        <v>25077.359999999997</v>
      </c>
      <c r="AM363">
        <f t="shared" si="119"/>
        <v>-12632.699999999997</v>
      </c>
    </row>
    <row r="364" spans="1:39" x14ac:dyDescent="0.25">
      <c r="A364" t="s">
        <v>322</v>
      </c>
      <c r="B364" s="4">
        <v>45679</v>
      </c>
      <c r="C364" s="4">
        <v>45692</v>
      </c>
      <c r="D364" s="13">
        <f t="shared" si="123"/>
        <v>13</v>
      </c>
      <c r="E364" s="6" t="s">
        <v>647</v>
      </c>
      <c r="F364" t="s">
        <v>652</v>
      </c>
      <c r="G364" t="s">
        <v>689</v>
      </c>
      <c r="H364" t="s">
        <v>705</v>
      </c>
      <c r="I364" t="s">
        <v>710</v>
      </c>
      <c r="J364" t="s">
        <v>716</v>
      </c>
      <c r="K364" t="s">
        <v>728</v>
      </c>
      <c r="L364" t="s">
        <v>1042</v>
      </c>
      <c r="M364" s="8">
        <v>122.29</v>
      </c>
      <c r="N364" s="8">
        <v>224.95</v>
      </c>
      <c r="O364" s="8">
        <f t="shared" si="124"/>
        <v>224.95</v>
      </c>
      <c r="P364" s="11">
        <v>0.153</v>
      </c>
      <c r="Q364" s="13">
        <v>28</v>
      </c>
      <c r="R364" s="8">
        <f t="shared" si="102"/>
        <v>5334.9141999999993</v>
      </c>
      <c r="S364" s="8">
        <f t="shared" si="103"/>
        <v>3424.1200000000003</v>
      </c>
      <c r="T364" s="8">
        <f t="shared" si="104"/>
        <v>1910.7941999999989</v>
      </c>
      <c r="U364" s="11">
        <f t="shared" si="105"/>
        <v>0.3581677471026618</v>
      </c>
      <c r="V364" s="17">
        <v>45157</v>
      </c>
      <c r="W364" s="4" t="str">
        <f t="shared" si="106"/>
        <v>Q1-2025</v>
      </c>
      <c r="X364" t="str">
        <f t="shared" si="107"/>
        <v>Asia → Japan → Tokyo</v>
      </c>
      <c r="Y364" t="str">
        <f t="shared" si="108"/>
        <v>Low</v>
      </c>
      <c r="Z364" s="20">
        <f t="shared" si="109"/>
        <v>45658</v>
      </c>
      <c r="AA364" s="4">
        <f t="array" ref="AA364">MIN(IF($F$2:$F$633=F364,$Z$2:$Z$633))</f>
        <v>44986</v>
      </c>
      <c r="AB364">
        <f t="shared" si="125"/>
        <v>22</v>
      </c>
      <c r="AC364">
        <f t="shared" si="111"/>
        <v>0</v>
      </c>
      <c r="AD364">
        <f t="shared" si="112"/>
        <v>0</v>
      </c>
      <c r="AE364" s="13">
        <f t="shared" si="113"/>
        <v>0</v>
      </c>
      <c r="AH364">
        <f t="shared" si="114"/>
        <v>33.6</v>
      </c>
      <c r="AI364">
        <f t="shared" si="115"/>
        <v>140.6335</v>
      </c>
      <c r="AJ364" s="11">
        <f t="shared" si="116"/>
        <v>0.153</v>
      </c>
      <c r="AK364">
        <f t="shared" si="117"/>
        <v>6401.8970399999998</v>
      </c>
      <c r="AL364">
        <f t="shared" si="118"/>
        <v>4725.2856000000002</v>
      </c>
      <c r="AM364">
        <f t="shared" si="119"/>
        <v>1676.6114399999997</v>
      </c>
    </row>
    <row r="365" spans="1:39" x14ac:dyDescent="0.25">
      <c r="A365" t="s">
        <v>197</v>
      </c>
      <c r="B365" s="4">
        <v>45690</v>
      </c>
      <c r="C365" s="4">
        <v>45720</v>
      </c>
      <c r="D365" s="13">
        <f t="shared" si="123"/>
        <v>30</v>
      </c>
      <c r="E365" s="6" t="s">
        <v>647</v>
      </c>
      <c r="F365" t="s">
        <v>652</v>
      </c>
      <c r="G365" t="s">
        <v>666</v>
      </c>
      <c r="H365" t="s">
        <v>702</v>
      </c>
      <c r="I365" t="s">
        <v>710</v>
      </c>
      <c r="J365" t="s">
        <v>716</v>
      </c>
      <c r="K365" t="s">
        <v>733</v>
      </c>
      <c r="L365" t="s">
        <v>916</v>
      </c>
      <c r="M365" s="8">
        <v>766.59</v>
      </c>
      <c r="N365" s="8">
        <v>1912.8</v>
      </c>
      <c r="O365" s="8">
        <f t="shared" si="124"/>
        <v>1912.8</v>
      </c>
      <c r="P365" s="11">
        <v>0.19600000000000001</v>
      </c>
      <c r="Q365" s="13">
        <v>5</v>
      </c>
      <c r="R365" s="8">
        <f t="shared" si="102"/>
        <v>7689.4560000000001</v>
      </c>
      <c r="S365" s="8">
        <f t="shared" si="103"/>
        <v>3832.9500000000003</v>
      </c>
      <c r="T365" s="8">
        <f t="shared" si="104"/>
        <v>3856.5059999999999</v>
      </c>
      <c r="U365" s="11">
        <f t="shared" si="105"/>
        <v>0.50153170783472845</v>
      </c>
      <c r="V365" s="17">
        <v>45155</v>
      </c>
      <c r="W365" s="4" t="str">
        <f t="shared" si="106"/>
        <v>Q1-2025</v>
      </c>
      <c r="X365" t="str">
        <f t="shared" si="107"/>
        <v>Asia → Japan → Osaka</v>
      </c>
      <c r="Y365" t="str">
        <f t="shared" si="108"/>
        <v>High</v>
      </c>
      <c r="Z365" s="20">
        <f t="shared" si="109"/>
        <v>45689</v>
      </c>
      <c r="AA365" s="4">
        <f t="array" ref="AA365">MIN(IF($F$2:$F$633=F365,$Z$2:$Z$633))</f>
        <v>44986</v>
      </c>
      <c r="AB365">
        <f t="shared" si="125"/>
        <v>23</v>
      </c>
      <c r="AC365">
        <f t="shared" si="111"/>
        <v>0</v>
      </c>
      <c r="AD365">
        <f t="shared" si="112"/>
        <v>0</v>
      </c>
      <c r="AE365" s="13">
        <f t="shared" si="113"/>
        <v>0</v>
      </c>
      <c r="AH365">
        <f t="shared" si="114"/>
        <v>6</v>
      </c>
      <c r="AI365">
        <f t="shared" si="115"/>
        <v>881.57849999999996</v>
      </c>
      <c r="AJ365" s="11">
        <f t="shared" si="116"/>
        <v>0.19600000000000001</v>
      </c>
      <c r="AK365">
        <f t="shared" si="117"/>
        <v>9227.3472000000002</v>
      </c>
      <c r="AL365">
        <f t="shared" si="118"/>
        <v>5289.4709999999995</v>
      </c>
      <c r="AM365">
        <f t="shared" si="119"/>
        <v>3937.8762000000006</v>
      </c>
    </row>
    <row r="366" spans="1:39" x14ac:dyDescent="0.25">
      <c r="A366" t="s">
        <v>645</v>
      </c>
      <c r="B366" s="4">
        <v>45716</v>
      </c>
      <c r="C366" s="4">
        <v>45726</v>
      </c>
      <c r="D366" s="13">
        <f t="shared" si="123"/>
        <v>10</v>
      </c>
      <c r="E366" s="6" t="s">
        <v>647</v>
      </c>
      <c r="F366" t="s">
        <v>652</v>
      </c>
      <c r="G366" t="s">
        <v>666</v>
      </c>
      <c r="H366" t="s">
        <v>702</v>
      </c>
      <c r="I366" t="s">
        <v>710</v>
      </c>
      <c r="J366" t="s">
        <v>725</v>
      </c>
      <c r="K366" t="s">
        <v>731</v>
      </c>
      <c r="L366" t="s">
        <v>1363</v>
      </c>
      <c r="M366" s="8">
        <v>51.86</v>
      </c>
      <c r="N366" s="8">
        <v>45.98</v>
      </c>
      <c r="O366" s="8">
        <f t="shared" si="124"/>
        <v>45.98</v>
      </c>
      <c r="P366" s="11">
        <v>0.17299999999999999</v>
      </c>
      <c r="Q366" s="13">
        <v>7</v>
      </c>
      <c r="R366" s="8">
        <f t="shared" si="102"/>
        <v>266.17821999999995</v>
      </c>
      <c r="S366" s="8">
        <f t="shared" si="103"/>
        <v>363.02</v>
      </c>
      <c r="T366" s="8">
        <f t="shared" si="104"/>
        <v>-96.841780000000028</v>
      </c>
      <c r="U366" s="11">
        <f t="shared" si="105"/>
        <v>-0.3638230806412337</v>
      </c>
      <c r="V366" s="17">
        <v>45132</v>
      </c>
      <c r="W366" s="4" t="str">
        <f t="shared" si="106"/>
        <v>Q1-2025</v>
      </c>
      <c r="X366" t="str">
        <f t="shared" si="107"/>
        <v>Asia → Japan → Osaka</v>
      </c>
      <c r="Y366" t="str">
        <f t="shared" si="108"/>
        <v>Low</v>
      </c>
      <c r="Z366" s="20">
        <f t="shared" si="109"/>
        <v>45689</v>
      </c>
      <c r="AA366" s="4">
        <f t="array" ref="AA366">MIN(IF($F$2:$F$633=F366,$Z$2:$Z$633))</f>
        <v>44986</v>
      </c>
      <c r="AB366">
        <f t="shared" si="125"/>
        <v>23</v>
      </c>
      <c r="AC366">
        <f t="shared" si="111"/>
        <v>0</v>
      </c>
      <c r="AD366">
        <f t="shared" si="112"/>
        <v>0</v>
      </c>
      <c r="AE366" s="13">
        <f t="shared" si="113"/>
        <v>0</v>
      </c>
      <c r="AH366">
        <f t="shared" si="114"/>
        <v>8.4</v>
      </c>
      <c r="AI366">
        <f t="shared" si="115"/>
        <v>59.638999999999996</v>
      </c>
      <c r="AJ366" s="11">
        <f t="shared" si="116"/>
        <v>0.17299999999999999</v>
      </c>
      <c r="AK366">
        <f t="shared" si="117"/>
        <v>319.41386399999993</v>
      </c>
      <c r="AL366">
        <f t="shared" si="118"/>
        <v>500.9676</v>
      </c>
      <c r="AM366">
        <f t="shared" si="119"/>
        <v>-181.55373600000007</v>
      </c>
    </row>
    <row r="367" spans="1:39" x14ac:dyDescent="0.25">
      <c r="A367" t="s">
        <v>612</v>
      </c>
      <c r="B367" s="4">
        <v>45726</v>
      </c>
      <c r="C367" s="4">
        <v>45751</v>
      </c>
      <c r="D367" s="13">
        <f t="shared" si="123"/>
        <v>25</v>
      </c>
      <c r="E367" s="6" t="s">
        <v>647</v>
      </c>
      <c r="F367" t="s">
        <v>652</v>
      </c>
      <c r="G367" t="s">
        <v>666</v>
      </c>
      <c r="H367" t="s">
        <v>701</v>
      </c>
      <c r="I367" t="s">
        <v>711</v>
      </c>
      <c r="J367" t="s">
        <v>722</v>
      </c>
      <c r="K367" t="s">
        <v>728</v>
      </c>
      <c r="L367" t="s">
        <v>1330</v>
      </c>
      <c r="M367" s="8">
        <v>783.72</v>
      </c>
      <c r="N367" s="8">
        <v>1355.94</v>
      </c>
      <c r="O367" s="8">
        <f t="shared" si="124"/>
        <v>1355.94</v>
      </c>
      <c r="P367" s="11">
        <v>0.187</v>
      </c>
      <c r="Q367" s="13">
        <v>4</v>
      </c>
      <c r="R367" s="8">
        <f t="shared" si="102"/>
        <v>4409.5168800000001</v>
      </c>
      <c r="S367" s="8">
        <f t="shared" si="103"/>
        <v>3134.88</v>
      </c>
      <c r="T367" s="8">
        <f t="shared" si="104"/>
        <v>1274.63688</v>
      </c>
      <c r="U367" s="11">
        <f t="shared" si="105"/>
        <v>0.28906497348525856</v>
      </c>
      <c r="V367" s="17">
        <v>45117</v>
      </c>
      <c r="W367" s="4" t="str">
        <f t="shared" si="106"/>
        <v>Q1-2025</v>
      </c>
      <c r="X367" t="str">
        <f t="shared" si="107"/>
        <v>Asia → Japan → Osaka</v>
      </c>
      <c r="Y367" t="str">
        <f t="shared" si="108"/>
        <v>Medium</v>
      </c>
      <c r="Z367" s="20">
        <f t="shared" si="109"/>
        <v>45717</v>
      </c>
      <c r="AA367" s="4">
        <f t="array" ref="AA367">MIN(IF($F$2:$F$633=F367,$Z$2:$Z$633))</f>
        <v>44986</v>
      </c>
      <c r="AB367">
        <f t="shared" si="125"/>
        <v>24</v>
      </c>
      <c r="AC367">
        <f t="shared" si="111"/>
        <v>0</v>
      </c>
      <c r="AD367">
        <f t="shared" si="112"/>
        <v>0</v>
      </c>
      <c r="AE367" s="13">
        <f t="shared" si="113"/>
        <v>0</v>
      </c>
      <c r="AH367">
        <f t="shared" si="114"/>
        <v>4.8</v>
      </c>
      <c r="AI367">
        <f t="shared" si="115"/>
        <v>901.27799999999991</v>
      </c>
      <c r="AJ367" s="11">
        <f t="shared" si="116"/>
        <v>0.187</v>
      </c>
      <c r="AK367">
        <f t="shared" si="117"/>
        <v>5291.4202559999994</v>
      </c>
      <c r="AL367">
        <f t="shared" si="118"/>
        <v>4326.134399999999</v>
      </c>
      <c r="AM367">
        <f t="shared" si="119"/>
        <v>965.28585600000042</v>
      </c>
    </row>
    <row r="368" spans="1:39" x14ac:dyDescent="0.25">
      <c r="A368" t="s">
        <v>629</v>
      </c>
      <c r="B368" s="4">
        <v>45727</v>
      </c>
      <c r="C368" s="4">
        <v>45743</v>
      </c>
      <c r="D368" s="13">
        <f t="shared" si="123"/>
        <v>16</v>
      </c>
      <c r="E368" s="6" t="s">
        <v>647</v>
      </c>
      <c r="F368" t="s">
        <v>652</v>
      </c>
      <c r="G368" t="s">
        <v>689</v>
      </c>
      <c r="H368" t="s">
        <v>706</v>
      </c>
      <c r="I368" t="s">
        <v>710</v>
      </c>
      <c r="J368" t="s">
        <v>717</v>
      </c>
      <c r="K368" t="s">
        <v>728</v>
      </c>
      <c r="L368" t="s">
        <v>1347</v>
      </c>
      <c r="M368" s="8">
        <v>1317.58</v>
      </c>
      <c r="N368" s="8">
        <v>1897.74</v>
      </c>
      <c r="O368" s="8">
        <f t="shared" si="124"/>
        <v>1897.74</v>
      </c>
      <c r="P368" s="11">
        <v>8.1000000000000003E-2</v>
      </c>
      <c r="Q368" s="13">
        <v>6</v>
      </c>
      <c r="R368" s="8">
        <f t="shared" si="102"/>
        <v>10464.138360000001</v>
      </c>
      <c r="S368" s="8">
        <f t="shared" si="103"/>
        <v>7905.48</v>
      </c>
      <c r="T368" s="8">
        <f t="shared" si="104"/>
        <v>2558.6583600000013</v>
      </c>
      <c r="U368" s="11">
        <f t="shared" si="105"/>
        <v>0.24451687009230266</v>
      </c>
      <c r="V368" s="17">
        <v>45126</v>
      </c>
      <c r="W368" s="4" t="str">
        <f t="shared" si="106"/>
        <v>Q1-2025</v>
      </c>
      <c r="X368" t="str">
        <f t="shared" si="107"/>
        <v>Asia → Japan → Tokyo</v>
      </c>
      <c r="Y368" t="str">
        <f t="shared" si="108"/>
        <v>High</v>
      </c>
      <c r="Z368" s="20">
        <f t="shared" si="109"/>
        <v>45717</v>
      </c>
      <c r="AA368" s="4">
        <f t="array" ref="AA368">MIN(IF($F$2:$F$633=F368,$Z$2:$Z$633))</f>
        <v>44986</v>
      </c>
      <c r="AB368">
        <f t="shared" si="125"/>
        <v>24</v>
      </c>
      <c r="AC368">
        <f t="shared" si="111"/>
        <v>0</v>
      </c>
      <c r="AD368">
        <f t="shared" si="112"/>
        <v>0</v>
      </c>
      <c r="AE368" s="13">
        <f t="shared" si="113"/>
        <v>0</v>
      </c>
      <c r="AH368">
        <f t="shared" si="114"/>
        <v>7.1999999999999993</v>
      </c>
      <c r="AI368">
        <f t="shared" si="115"/>
        <v>1515.2169999999999</v>
      </c>
      <c r="AJ368" s="11">
        <f t="shared" si="116"/>
        <v>8.1000000000000003E-2</v>
      </c>
      <c r="AK368">
        <f t="shared" si="117"/>
        <v>12556.966032</v>
      </c>
      <c r="AL368">
        <f t="shared" si="118"/>
        <v>10909.562399999999</v>
      </c>
      <c r="AM368">
        <f t="shared" si="119"/>
        <v>1647.4036320000014</v>
      </c>
    </row>
    <row r="369" spans="1:39" x14ac:dyDescent="0.25">
      <c r="A369" t="s">
        <v>295</v>
      </c>
      <c r="B369" s="4">
        <v>45730</v>
      </c>
      <c r="C369" s="4">
        <v>45745</v>
      </c>
      <c r="D369" s="13">
        <f t="shared" si="123"/>
        <v>15</v>
      </c>
      <c r="E369" s="6" t="s">
        <v>647</v>
      </c>
      <c r="F369" t="s">
        <v>652</v>
      </c>
      <c r="G369" t="s">
        <v>689</v>
      </c>
      <c r="H369" t="s">
        <v>703</v>
      </c>
      <c r="I369" t="s">
        <v>711</v>
      </c>
      <c r="J369" t="s">
        <v>722</v>
      </c>
      <c r="K369" t="s">
        <v>729</v>
      </c>
      <c r="L369" t="s">
        <v>1015</v>
      </c>
      <c r="M369" s="8">
        <v>1106.96</v>
      </c>
      <c r="N369" s="8">
        <v>2726.62</v>
      </c>
      <c r="O369" s="8">
        <f t="shared" si="124"/>
        <v>2726.62</v>
      </c>
      <c r="P369" s="11">
        <v>0.317</v>
      </c>
      <c r="Q369" s="13">
        <v>7</v>
      </c>
      <c r="R369" s="8">
        <f t="shared" si="102"/>
        <v>13035.970220000001</v>
      </c>
      <c r="S369" s="8">
        <f t="shared" si="103"/>
        <v>7748.72</v>
      </c>
      <c r="T369" s="8">
        <f t="shared" si="104"/>
        <v>5287.2502200000008</v>
      </c>
      <c r="U369" s="11">
        <f t="shared" si="105"/>
        <v>0.40558931408789306</v>
      </c>
      <c r="V369" s="17">
        <v>45128</v>
      </c>
      <c r="W369" s="4" t="str">
        <f t="shared" si="106"/>
        <v>Q1-2025</v>
      </c>
      <c r="X369" t="str">
        <f t="shared" si="107"/>
        <v>Asia → Japan → Tokyo</v>
      </c>
      <c r="Y369" t="str">
        <f t="shared" si="108"/>
        <v>High</v>
      </c>
      <c r="Z369" s="20">
        <f t="shared" si="109"/>
        <v>45717</v>
      </c>
      <c r="AA369" s="4">
        <f t="array" ref="AA369">MIN(IF($F$2:$F$633=F369,$Z$2:$Z$633))</f>
        <v>44986</v>
      </c>
      <c r="AB369">
        <f t="shared" si="125"/>
        <v>24</v>
      </c>
      <c r="AC369">
        <f t="shared" si="111"/>
        <v>0</v>
      </c>
      <c r="AD369">
        <f t="shared" si="112"/>
        <v>1</v>
      </c>
      <c r="AE369" s="13">
        <f t="shared" si="113"/>
        <v>0</v>
      </c>
      <c r="AH369">
        <f t="shared" si="114"/>
        <v>8.4</v>
      </c>
      <c r="AI369">
        <f t="shared" si="115"/>
        <v>1273.0039999999999</v>
      </c>
      <c r="AJ369" s="11">
        <f t="shared" si="116"/>
        <v>0.25</v>
      </c>
      <c r="AK369">
        <f t="shared" si="117"/>
        <v>17177.705999999998</v>
      </c>
      <c r="AL369">
        <f t="shared" si="118"/>
        <v>10693.2336</v>
      </c>
      <c r="AM369">
        <f t="shared" si="119"/>
        <v>6484.4723999999987</v>
      </c>
    </row>
    <row r="370" spans="1:39" x14ac:dyDescent="0.25">
      <c r="A370" t="s">
        <v>379</v>
      </c>
      <c r="B370" s="4">
        <v>45737</v>
      </c>
      <c r="C370" s="4">
        <v>45756</v>
      </c>
      <c r="D370" s="13">
        <f t="shared" si="123"/>
        <v>19</v>
      </c>
      <c r="E370" s="6" t="s">
        <v>647</v>
      </c>
      <c r="F370" t="s">
        <v>652</v>
      </c>
      <c r="G370" t="s">
        <v>689</v>
      </c>
      <c r="H370" t="s">
        <v>705</v>
      </c>
      <c r="I370" t="s">
        <v>710</v>
      </c>
      <c r="J370" t="s">
        <v>718</v>
      </c>
      <c r="K370" t="s">
        <v>727</v>
      </c>
      <c r="L370" t="s">
        <v>1099</v>
      </c>
      <c r="M370" s="8">
        <v>1055.45</v>
      </c>
      <c r="N370" s="8">
        <v>1210.04</v>
      </c>
      <c r="O370" s="8">
        <f t="shared" si="124"/>
        <v>1210.04</v>
      </c>
      <c r="P370" s="11">
        <v>8.9999999999999993E-3</v>
      </c>
      <c r="Q370" s="13">
        <v>18</v>
      </c>
      <c r="R370" s="8">
        <f t="shared" si="102"/>
        <v>21584.693520000001</v>
      </c>
      <c r="S370" s="8">
        <f t="shared" si="103"/>
        <v>18998.100000000002</v>
      </c>
      <c r="T370" s="8">
        <f t="shared" si="104"/>
        <v>2586.5935199999985</v>
      </c>
      <c r="U370" s="11">
        <f t="shared" si="105"/>
        <v>0.1198346188053727</v>
      </c>
      <c r="V370" s="17">
        <v>45101</v>
      </c>
      <c r="W370" s="4" t="str">
        <f t="shared" si="106"/>
        <v>Q1-2025</v>
      </c>
      <c r="X370" t="str">
        <f t="shared" si="107"/>
        <v>Asia → Japan → Tokyo</v>
      </c>
      <c r="Y370" t="str">
        <f t="shared" si="108"/>
        <v>Medium</v>
      </c>
      <c r="Z370" s="20">
        <f t="shared" si="109"/>
        <v>45717</v>
      </c>
      <c r="AA370" s="4">
        <f t="array" ref="AA370">MIN(IF($F$2:$F$633=F370,$Z$2:$Z$633))</f>
        <v>44986</v>
      </c>
      <c r="AB370">
        <f t="shared" si="125"/>
        <v>24</v>
      </c>
      <c r="AC370">
        <f t="shared" si="111"/>
        <v>0</v>
      </c>
      <c r="AD370">
        <f t="shared" si="112"/>
        <v>0</v>
      </c>
      <c r="AE370" s="13">
        <f t="shared" si="113"/>
        <v>0</v>
      </c>
      <c r="AH370">
        <f t="shared" si="114"/>
        <v>21.599999999999998</v>
      </c>
      <c r="AI370">
        <f t="shared" si="115"/>
        <v>1213.7674999999999</v>
      </c>
      <c r="AJ370" s="11">
        <f t="shared" si="116"/>
        <v>8.9999999999999993E-3</v>
      </c>
      <c r="AK370">
        <f t="shared" si="117"/>
        <v>25901.632223999997</v>
      </c>
      <c r="AL370">
        <f t="shared" si="118"/>
        <v>26217.377999999997</v>
      </c>
      <c r="AM370">
        <f t="shared" si="119"/>
        <v>-315.74577599999975</v>
      </c>
    </row>
    <row r="371" spans="1:39" x14ac:dyDescent="0.25">
      <c r="A371" t="s">
        <v>308</v>
      </c>
      <c r="B371" s="4">
        <v>45758</v>
      </c>
      <c r="C371" s="4">
        <v>45781</v>
      </c>
      <c r="D371" s="13">
        <f t="shared" si="123"/>
        <v>23</v>
      </c>
      <c r="E371" s="6" t="s">
        <v>647</v>
      </c>
      <c r="F371" t="s">
        <v>652</v>
      </c>
      <c r="G371" t="s">
        <v>666</v>
      </c>
      <c r="H371" t="s">
        <v>705</v>
      </c>
      <c r="I371" t="s">
        <v>708</v>
      </c>
      <c r="J371" t="s">
        <v>724</v>
      </c>
      <c r="K371" t="s">
        <v>727</v>
      </c>
      <c r="L371" t="s">
        <v>1028</v>
      </c>
      <c r="M371" s="8">
        <v>786.2</v>
      </c>
      <c r="N371" s="8">
        <v>1075.3</v>
      </c>
      <c r="O371" s="8">
        <f t="shared" si="124"/>
        <v>1075.3</v>
      </c>
      <c r="P371" s="11">
        <v>0.08</v>
      </c>
      <c r="Q371" s="13">
        <v>9</v>
      </c>
      <c r="R371" s="8">
        <f t="shared" si="102"/>
        <v>8903.4839999999986</v>
      </c>
      <c r="S371" s="8">
        <f t="shared" si="103"/>
        <v>7075.8</v>
      </c>
      <c r="T371" s="8">
        <f t="shared" si="104"/>
        <v>1827.6839999999984</v>
      </c>
      <c r="U371" s="11">
        <f t="shared" si="105"/>
        <v>0.20527739478163815</v>
      </c>
      <c r="V371" s="17">
        <v>45082</v>
      </c>
      <c r="W371" s="4" t="str">
        <f t="shared" si="106"/>
        <v>Q2-2025</v>
      </c>
      <c r="X371" t="str">
        <f t="shared" si="107"/>
        <v>Asia → Japan → Osaka</v>
      </c>
      <c r="Y371" t="str">
        <f t="shared" si="108"/>
        <v>Medium</v>
      </c>
      <c r="Z371" s="20">
        <f t="shared" si="109"/>
        <v>45748</v>
      </c>
      <c r="AA371" s="4">
        <f t="array" ref="AA371">MIN(IF($F$2:$F$633=F371,$Z$2:$Z$633))</f>
        <v>44986</v>
      </c>
      <c r="AB371">
        <f t="shared" si="125"/>
        <v>25</v>
      </c>
      <c r="AC371">
        <f t="shared" si="111"/>
        <v>0</v>
      </c>
      <c r="AD371">
        <f t="shared" si="112"/>
        <v>0</v>
      </c>
      <c r="AE371" s="13">
        <f t="shared" si="113"/>
        <v>0</v>
      </c>
      <c r="AH371">
        <f t="shared" si="114"/>
        <v>10.799999999999999</v>
      </c>
      <c r="AI371">
        <f t="shared" si="115"/>
        <v>904.13</v>
      </c>
      <c r="AJ371" s="11">
        <f t="shared" si="116"/>
        <v>0.08</v>
      </c>
      <c r="AK371">
        <f t="shared" si="117"/>
        <v>10684.180799999998</v>
      </c>
      <c r="AL371">
        <f t="shared" si="118"/>
        <v>9764.6039999999994</v>
      </c>
      <c r="AM371">
        <f t="shared" si="119"/>
        <v>919.57679999999891</v>
      </c>
    </row>
    <row r="372" spans="1:39" x14ac:dyDescent="0.25">
      <c r="A372" t="s">
        <v>584</v>
      </c>
      <c r="B372" s="4">
        <v>45760</v>
      </c>
      <c r="C372" s="4">
        <v>45761</v>
      </c>
      <c r="D372" s="13">
        <f t="shared" si="123"/>
        <v>1</v>
      </c>
      <c r="E372" s="6" t="s">
        <v>647</v>
      </c>
      <c r="F372" t="s">
        <v>652</v>
      </c>
      <c r="G372" t="s">
        <v>666</v>
      </c>
      <c r="H372" t="s">
        <v>706</v>
      </c>
      <c r="I372" t="s">
        <v>708</v>
      </c>
      <c r="J372" t="s">
        <v>715</v>
      </c>
      <c r="K372" t="s">
        <v>727</v>
      </c>
      <c r="L372" t="s">
        <v>1302</v>
      </c>
      <c r="M372" s="8">
        <v>138.9</v>
      </c>
      <c r="N372" s="8">
        <v>289.92</v>
      </c>
      <c r="O372" s="8">
        <f t="shared" si="124"/>
        <v>289.92</v>
      </c>
      <c r="P372" s="11">
        <v>2.9000000000000001E-2</v>
      </c>
      <c r="Q372" s="13">
        <v>12</v>
      </c>
      <c r="R372" s="8">
        <f t="shared" si="102"/>
        <v>3378.1478400000001</v>
      </c>
      <c r="S372" s="8">
        <f t="shared" si="103"/>
        <v>1666.8000000000002</v>
      </c>
      <c r="T372" s="8">
        <f t="shared" si="104"/>
        <v>1711.3478399999999</v>
      </c>
      <c r="U372" s="11">
        <f t="shared" si="105"/>
        <v>0.50659353025828491</v>
      </c>
      <c r="V372" s="17">
        <v>45090</v>
      </c>
      <c r="W372" s="4" t="str">
        <f t="shared" si="106"/>
        <v>Q2-2025</v>
      </c>
      <c r="X372" t="str">
        <f t="shared" si="107"/>
        <v>Asia → Japan → Osaka</v>
      </c>
      <c r="Y372" t="str">
        <f t="shared" si="108"/>
        <v>Low</v>
      </c>
      <c r="Z372" s="20">
        <f t="shared" si="109"/>
        <v>45748</v>
      </c>
      <c r="AA372" s="4">
        <f t="array" ref="AA372">MIN(IF($F$2:$F$633=F372,$Z$2:$Z$633))</f>
        <v>44986</v>
      </c>
      <c r="AB372">
        <f t="shared" si="125"/>
        <v>25</v>
      </c>
      <c r="AC372">
        <f t="shared" si="111"/>
        <v>1</v>
      </c>
      <c r="AD372">
        <f t="shared" si="112"/>
        <v>0</v>
      </c>
      <c r="AE372" s="13">
        <f t="shared" si="113"/>
        <v>1</v>
      </c>
      <c r="AH372">
        <f t="shared" si="114"/>
        <v>14.399999999999999</v>
      </c>
      <c r="AI372">
        <f t="shared" si="115"/>
        <v>159.73499999999999</v>
      </c>
      <c r="AJ372" s="11">
        <f t="shared" si="116"/>
        <v>2.9000000000000001E-2</v>
      </c>
      <c r="AK372">
        <f t="shared" si="117"/>
        <v>4053.7774079999999</v>
      </c>
      <c r="AL372">
        <f t="shared" si="118"/>
        <v>2300.1839999999997</v>
      </c>
      <c r="AM372">
        <f t="shared" si="119"/>
        <v>1753.5934080000002</v>
      </c>
    </row>
    <row r="373" spans="1:39" x14ac:dyDescent="0.25">
      <c r="A373" t="s">
        <v>105</v>
      </c>
      <c r="B373" s="4">
        <v>45775</v>
      </c>
      <c r="C373" s="4">
        <v>45792</v>
      </c>
      <c r="D373" s="13">
        <f t="shared" si="123"/>
        <v>17</v>
      </c>
      <c r="E373" s="6" t="s">
        <v>647</v>
      </c>
      <c r="F373" t="s">
        <v>652</v>
      </c>
      <c r="G373" t="s">
        <v>694</v>
      </c>
      <c r="H373" t="s">
        <v>702</v>
      </c>
      <c r="I373" t="s">
        <v>711</v>
      </c>
      <c r="J373" t="s">
        <v>725</v>
      </c>
      <c r="K373" t="s">
        <v>729</v>
      </c>
      <c r="L373" t="s">
        <v>824</v>
      </c>
      <c r="M373" s="8">
        <v>691.19</v>
      </c>
      <c r="N373" s="8">
        <v>1284.3</v>
      </c>
      <c r="O373" s="8">
        <f t="shared" si="124"/>
        <v>1284.3</v>
      </c>
      <c r="P373" s="11">
        <v>7.3999999999999996E-2</v>
      </c>
      <c r="Q373" s="13">
        <v>7</v>
      </c>
      <c r="R373" s="8">
        <f t="shared" si="102"/>
        <v>8324.8326000000015</v>
      </c>
      <c r="S373" s="8">
        <f t="shared" si="103"/>
        <v>4838.33</v>
      </c>
      <c r="T373" s="8">
        <f t="shared" si="104"/>
        <v>3486.5026000000016</v>
      </c>
      <c r="U373" s="11">
        <f t="shared" si="105"/>
        <v>0.41880753253825198</v>
      </c>
      <c r="V373" s="17">
        <v>45066</v>
      </c>
      <c r="W373" s="4" t="str">
        <f t="shared" si="106"/>
        <v>Q2-2025</v>
      </c>
      <c r="X373" t="str">
        <f t="shared" si="107"/>
        <v>Asia → Japan → Nagoya</v>
      </c>
      <c r="Y373" t="str">
        <f t="shared" si="108"/>
        <v>Medium</v>
      </c>
      <c r="Z373" s="20">
        <f t="shared" si="109"/>
        <v>45748</v>
      </c>
      <c r="AA373" s="4">
        <f t="array" ref="AA373">MIN(IF($F$2:$F$633=F373,$Z$2:$Z$633))</f>
        <v>44986</v>
      </c>
      <c r="AB373">
        <f t="shared" si="125"/>
        <v>25</v>
      </c>
      <c r="AC373">
        <f t="shared" si="111"/>
        <v>0</v>
      </c>
      <c r="AD373">
        <f t="shared" si="112"/>
        <v>0</v>
      </c>
      <c r="AE373" s="13">
        <f t="shared" si="113"/>
        <v>0</v>
      </c>
      <c r="AH373">
        <f t="shared" si="114"/>
        <v>8.4</v>
      </c>
      <c r="AI373">
        <f t="shared" si="115"/>
        <v>794.86850000000004</v>
      </c>
      <c r="AJ373" s="11">
        <f t="shared" si="116"/>
        <v>7.3999999999999996E-2</v>
      </c>
      <c r="AK373">
        <f t="shared" si="117"/>
        <v>9989.7991200000015</v>
      </c>
      <c r="AL373">
        <f t="shared" si="118"/>
        <v>6676.8954000000003</v>
      </c>
      <c r="AM373">
        <f t="shared" si="119"/>
        <v>3312.9037200000012</v>
      </c>
    </row>
    <row r="374" spans="1:39" x14ac:dyDescent="0.25">
      <c r="A374" t="s">
        <v>503</v>
      </c>
      <c r="B374" s="4">
        <v>45792</v>
      </c>
      <c r="C374" s="4">
        <v>45813</v>
      </c>
      <c r="D374" s="13">
        <f t="shared" si="123"/>
        <v>21</v>
      </c>
      <c r="E374" s="6" t="s">
        <v>647</v>
      </c>
      <c r="F374" t="s">
        <v>652</v>
      </c>
      <c r="G374" t="s">
        <v>666</v>
      </c>
      <c r="H374" t="s">
        <v>706</v>
      </c>
      <c r="I374" t="s">
        <v>711</v>
      </c>
      <c r="J374" t="s">
        <v>722</v>
      </c>
      <c r="K374" t="s">
        <v>730</v>
      </c>
      <c r="L374" t="s">
        <v>1222</v>
      </c>
      <c r="M374" s="8">
        <v>1466.5</v>
      </c>
      <c r="N374" s="8">
        <v>2778.74</v>
      </c>
      <c r="O374" s="8">
        <f t="shared" si="124"/>
        <v>2778.74</v>
      </c>
      <c r="P374" s="11">
        <v>0.13500000000000001</v>
      </c>
      <c r="Q374" s="13">
        <v>4</v>
      </c>
      <c r="R374" s="8">
        <f t="shared" si="102"/>
        <v>9614.4403999999995</v>
      </c>
      <c r="S374" s="8">
        <f t="shared" si="103"/>
        <v>5866</v>
      </c>
      <c r="T374" s="8">
        <f t="shared" si="104"/>
        <v>3748.4403999999995</v>
      </c>
      <c r="U374" s="11">
        <f t="shared" si="105"/>
        <v>0.38987608680792279</v>
      </c>
      <c r="V374" s="17">
        <v>45050</v>
      </c>
      <c r="W374" s="4" t="str">
        <f t="shared" si="106"/>
        <v>Q2-2025</v>
      </c>
      <c r="X374" t="str">
        <f t="shared" si="107"/>
        <v>Asia → Japan → Osaka</v>
      </c>
      <c r="Y374" t="str">
        <f t="shared" si="108"/>
        <v>High</v>
      </c>
      <c r="Z374" s="20">
        <f t="shared" si="109"/>
        <v>45778</v>
      </c>
      <c r="AA374" s="4">
        <f t="array" ref="AA374">MIN(IF($F$2:$F$633=F374,$Z$2:$Z$633))</f>
        <v>44986</v>
      </c>
      <c r="AB374">
        <f t="shared" si="125"/>
        <v>26</v>
      </c>
      <c r="AC374">
        <f t="shared" si="111"/>
        <v>0</v>
      </c>
      <c r="AD374">
        <f t="shared" si="112"/>
        <v>0</v>
      </c>
      <c r="AE374" s="13">
        <f t="shared" si="113"/>
        <v>0</v>
      </c>
      <c r="AH374">
        <f t="shared" si="114"/>
        <v>4.8</v>
      </c>
      <c r="AI374">
        <f t="shared" si="115"/>
        <v>1686.4749999999999</v>
      </c>
      <c r="AJ374" s="11">
        <f t="shared" si="116"/>
        <v>0.13500000000000001</v>
      </c>
      <c r="AK374">
        <f t="shared" si="117"/>
        <v>11537.32848</v>
      </c>
      <c r="AL374">
        <f t="shared" si="118"/>
        <v>8095.079999999999</v>
      </c>
      <c r="AM374">
        <f t="shared" si="119"/>
        <v>3442.2484800000011</v>
      </c>
    </row>
    <row r="375" spans="1:39" x14ac:dyDescent="0.25">
      <c r="A375" t="s">
        <v>617</v>
      </c>
      <c r="B375" s="4">
        <v>45793</v>
      </c>
      <c r="C375" s="4">
        <v>45795</v>
      </c>
      <c r="D375" s="13">
        <f t="shared" si="123"/>
        <v>2</v>
      </c>
      <c r="E375" s="6" t="s">
        <v>647</v>
      </c>
      <c r="F375" t="s">
        <v>652</v>
      </c>
      <c r="G375" t="s">
        <v>689</v>
      </c>
      <c r="H375" t="s">
        <v>706</v>
      </c>
      <c r="I375" t="s">
        <v>707</v>
      </c>
      <c r="J375" t="s">
        <v>713</v>
      </c>
      <c r="K375" t="s">
        <v>728</v>
      </c>
      <c r="L375" t="s">
        <v>1335</v>
      </c>
      <c r="M375" s="8">
        <v>1144.3800000000001</v>
      </c>
      <c r="N375" s="8">
        <v>2755.04</v>
      </c>
      <c r="O375" s="8">
        <f t="shared" si="124"/>
        <v>2755.04</v>
      </c>
      <c r="P375" s="11">
        <v>0.15</v>
      </c>
      <c r="Q375" s="13">
        <v>17</v>
      </c>
      <c r="R375" s="8">
        <f t="shared" si="102"/>
        <v>39810.328000000001</v>
      </c>
      <c r="S375" s="8">
        <f t="shared" si="103"/>
        <v>19454.460000000003</v>
      </c>
      <c r="T375" s="8">
        <f t="shared" si="104"/>
        <v>20355.867999999999</v>
      </c>
      <c r="U375" s="11">
        <f t="shared" si="105"/>
        <v>0.51132128326096682</v>
      </c>
      <c r="V375" s="17">
        <v>45060</v>
      </c>
      <c r="W375" s="4" t="str">
        <f t="shared" si="106"/>
        <v>Q2-2025</v>
      </c>
      <c r="X375" t="str">
        <f t="shared" si="107"/>
        <v>Asia → Japan → Tokyo</v>
      </c>
      <c r="Y375" t="str">
        <f t="shared" si="108"/>
        <v>High</v>
      </c>
      <c r="Z375" s="20">
        <f t="shared" si="109"/>
        <v>45778</v>
      </c>
      <c r="AA375" s="4">
        <f t="array" ref="AA375">MIN(IF($F$2:$F$633=F375,$Z$2:$Z$633))</f>
        <v>44986</v>
      </c>
      <c r="AB375">
        <f t="shared" si="125"/>
        <v>26</v>
      </c>
      <c r="AC375">
        <f t="shared" si="111"/>
        <v>1</v>
      </c>
      <c r="AD375">
        <f t="shared" si="112"/>
        <v>0</v>
      </c>
      <c r="AE375" s="13">
        <f t="shared" si="113"/>
        <v>1</v>
      </c>
      <c r="AH375">
        <f t="shared" si="114"/>
        <v>20.399999999999999</v>
      </c>
      <c r="AI375">
        <f t="shared" si="115"/>
        <v>1316.037</v>
      </c>
      <c r="AJ375" s="11">
        <f t="shared" si="116"/>
        <v>0.15</v>
      </c>
      <c r="AK375">
        <f t="shared" si="117"/>
        <v>47772.393599999996</v>
      </c>
      <c r="AL375">
        <f t="shared" si="118"/>
        <v>26847.1548</v>
      </c>
      <c r="AM375">
        <f t="shared" si="119"/>
        <v>20925.238799999996</v>
      </c>
    </row>
    <row r="376" spans="1:39" x14ac:dyDescent="0.25">
      <c r="A376" t="s">
        <v>409</v>
      </c>
      <c r="B376" s="4">
        <v>45804</v>
      </c>
      <c r="C376" s="4">
        <v>45816</v>
      </c>
      <c r="D376" s="13">
        <f t="shared" si="123"/>
        <v>12</v>
      </c>
      <c r="E376" s="6" t="s">
        <v>647</v>
      </c>
      <c r="F376" t="s">
        <v>652</v>
      </c>
      <c r="G376" t="s">
        <v>666</v>
      </c>
      <c r="H376" t="s">
        <v>701</v>
      </c>
      <c r="I376" t="s">
        <v>707</v>
      </c>
      <c r="J376" t="s">
        <v>722</v>
      </c>
      <c r="K376" t="s">
        <v>733</v>
      </c>
      <c r="L376" t="s">
        <v>1128</v>
      </c>
      <c r="M376" s="8">
        <v>653.6</v>
      </c>
      <c r="N376" s="8">
        <v>842.09</v>
      </c>
      <c r="O376" s="8">
        <f t="shared" si="124"/>
        <v>842.09</v>
      </c>
      <c r="P376" s="11">
        <v>9.8000000000000004E-2</v>
      </c>
      <c r="Q376" s="13">
        <v>19</v>
      </c>
      <c r="R376" s="8">
        <f t="shared" si="102"/>
        <v>14431.738420000001</v>
      </c>
      <c r="S376" s="8">
        <f t="shared" si="103"/>
        <v>12418.4</v>
      </c>
      <c r="T376" s="8">
        <f t="shared" si="104"/>
        <v>2013.3384200000019</v>
      </c>
      <c r="U376" s="11">
        <f t="shared" si="105"/>
        <v>0.13950768517324622</v>
      </c>
      <c r="V376" s="17">
        <v>45049</v>
      </c>
      <c r="W376" s="4" t="str">
        <f t="shared" si="106"/>
        <v>Q2-2025</v>
      </c>
      <c r="X376" t="str">
        <f t="shared" si="107"/>
        <v>Asia → Japan → Osaka</v>
      </c>
      <c r="Y376" t="str">
        <f t="shared" si="108"/>
        <v>Medium</v>
      </c>
      <c r="Z376" s="20">
        <f t="shared" si="109"/>
        <v>45778</v>
      </c>
      <c r="AA376" s="4">
        <f t="array" ref="AA376">MIN(IF($F$2:$F$633=F376,$Z$2:$Z$633))</f>
        <v>44986</v>
      </c>
      <c r="AB376">
        <f t="shared" si="125"/>
        <v>26</v>
      </c>
      <c r="AC376">
        <f t="shared" si="111"/>
        <v>0</v>
      </c>
      <c r="AD376">
        <f t="shared" si="112"/>
        <v>0</v>
      </c>
      <c r="AE376" s="13">
        <f t="shared" si="113"/>
        <v>0</v>
      </c>
      <c r="AH376">
        <f t="shared" si="114"/>
        <v>22.8</v>
      </c>
      <c r="AI376">
        <f t="shared" si="115"/>
        <v>751.64</v>
      </c>
      <c r="AJ376" s="11">
        <f t="shared" si="116"/>
        <v>9.8000000000000004E-2</v>
      </c>
      <c r="AK376">
        <f t="shared" si="117"/>
        <v>17318.086104000002</v>
      </c>
      <c r="AL376">
        <f t="shared" si="118"/>
        <v>17137.392</v>
      </c>
      <c r="AM376">
        <f t="shared" si="119"/>
        <v>180.69410400000197</v>
      </c>
    </row>
    <row r="377" spans="1:39" x14ac:dyDescent="0.25">
      <c r="A377" t="s">
        <v>467</v>
      </c>
      <c r="B377" s="4">
        <v>45817</v>
      </c>
      <c r="C377" s="4">
        <v>45832</v>
      </c>
      <c r="D377" s="13">
        <f t="shared" si="123"/>
        <v>15</v>
      </c>
      <c r="E377" s="6" t="s">
        <v>647</v>
      </c>
      <c r="F377" t="s">
        <v>652</v>
      </c>
      <c r="G377" t="s">
        <v>694</v>
      </c>
      <c r="H377" t="s">
        <v>701</v>
      </c>
      <c r="I377" t="s">
        <v>711</v>
      </c>
      <c r="J377" t="s">
        <v>717</v>
      </c>
      <c r="K377" t="s">
        <v>730</v>
      </c>
      <c r="L377" t="s">
        <v>1186</v>
      </c>
      <c r="M377" s="8">
        <v>400.39</v>
      </c>
      <c r="N377" s="8">
        <v>712.75</v>
      </c>
      <c r="O377" s="8">
        <f t="shared" si="124"/>
        <v>712.75</v>
      </c>
      <c r="P377" s="11">
        <v>0.115</v>
      </c>
      <c r="Q377" s="13">
        <v>19</v>
      </c>
      <c r="R377" s="8">
        <f t="shared" si="102"/>
        <v>11984.891250000001</v>
      </c>
      <c r="S377" s="8">
        <f t="shared" si="103"/>
        <v>7607.41</v>
      </c>
      <c r="T377" s="8">
        <f t="shared" si="104"/>
        <v>4377.4812500000007</v>
      </c>
      <c r="U377" s="11">
        <f t="shared" si="105"/>
        <v>0.36524997671547504</v>
      </c>
      <c r="V377" s="17">
        <v>45035</v>
      </c>
      <c r="W377" s="4" t="str">
        <f t="shared" si="106"/>
        <v>Q2-2025</v>
      </c>
      <c r="X377" t="str">
        <f t="shared" si="107"/>
        <v>Asia → Japan → Nagoya</v>
      </c>
      <c r="Y377" t="str">
        <f t="shared" si="108"/>
        <v>Low</v>
      </c>
      <c r="Z377" s="20">
        <f t="shared" si="109"/>
        <v>45809</v>
      </c>
      <c r="AA377" s="4">
        <f t="array" ref="AA377">MIN(IF($F$2:$F$633=F377,$Z$2:$Z$633))</f>
        <v>44986</v>
      </c>
      <c r="AB377">
        <f t="shared" si="125"/>
        <v>27</v>
      </c>
      <c r="AC377">
        <f t="shared" si="111"/>
        <v>0</v>
      </c>
      <c r="AD377">
        <f t="shared" si="112"/>
        <v>0</v>
      </c>
      <c r="AE377" s="13">
        <f t="shared" si="113"/>
        <v>0</v>
      </c>
      <c r="AH377">
        <f t="shared" si="114"/>
        <v>22.8</v>
      </c>
      <c r="AI377">
        <f t="shared" si="115"/>
        <v>460.44849999999997</v>
      </c>
      <c r="AJ377" s="11">
        <f t="shared" si="116"/>
        <v>0.115</v>
      </c>
      <c r="AK377">
        <f t="shared" si="117"/>
        <v>14381.869500000001</v>
      </c>
      <c r="AL377">
        <f t="shared" si="118"/>
        <v>10498.2258</v>
      </c>
      <c r="AM377">
        <f t="shared" si="119"/>
        <v>3883.6437000000005</v>
      </c>
    </row>
    <row r="378" spans="1:39" x14ac:dyDescent="0.25">
      <c r="A378" t="s">
        <v>506</v>
      </c>
      <c r="B378" s="4">
        <v>45861</v>
      </c>
      <c r="C378" s="4">
        <v>45888</v>
      </c>
      <c r="D378" s="13">
        <f t="shared" si="123"/>
        <v>27</v>
      </c>
      <c r="E378" s="6" t="s">
        <v>647</v>
      </c>
      <c r="F378" t="s">
        <v>652</v>
      </c>
      <c r="G378" t="s">
        <v>694</v>
      </c>
      <c r="H378" t="s">
        <v>704</v>
      </c>
      <c r="I378" t="s">
        <v>709</v>
      </c>
      <c r="J378" t="s">
        <v>717</v>
      </c>
      <c r="K378" t="s">
        <v>733</v>
      </c>
      <c r="L378" t="s">
        <v>1225</v>
      </c>
      <c r="M378" s="8">
        <v>896.09</v>
      </c>
      <c r="N378" s="8">
        <v>744.27</v>
      </c>
      <c r="O378" s="8">
        <f t="shared" si="124"/>
        <v>744.27</v>
      </c>
      <c r="P378" s="11">
        <v>8.3000000000000004E-2</v>
      </c>
      <c r="Q378" s="13">
        <v>11</v>
      </c>
      <c r="R378" s="8">
        <f t="shared" si="102"/>
        <v>7507.4514899999995</v>
      </c>
      <c r="S378" s="8">
        <f t="shared" si="103"/>
        <v>9856.99</v>
      </c>
      <c r="T378" s="8">
        <f t="shared" si="104"/>
        <v>-2349.5385100000003</v>
      </c>
      <c r="U378" s="11">
        <f t="shared" si="105"/>
        <v>-0.31296086469950679</v>
      </c>
      <c r="V378" s="17">
        <v>45010</v>
      </c>
      <c r="W378" s="4" t="str">
        <f t="shared" si="106"/>
        <v>Q3-2025</v>
      </c>
      <c r="X378" t="str">
        <f t="shared" si="107"/>
        <v>Asia → Japan → Nagoya</v>
      </c>
      <c r="Y378" t="str">
        <f t="shared" si="108"/>
        <v>Low</v>
      </c>
      <c r="Z378" s="20">
        <f t="shared" si="109"/>
        <v>45839</v>
      </c>
      <c r="AA378" s="4">
        <f t="array" ref="AA378">MIN(IF($F$2:$F$633=F378,$Z$2:$Z$633))</f>
        <v>44986</v>
      </c>
      <c r="AB378">
        <f t="shared" si="125"/>
        <v>28</v>
      </c>
      <c r="AC378">
        <f t="shared" si="111"/>
        <v>0</v>
      </c>
      <c r="AD378">
        <f t="shared" si="112"/>
        <v>0</v>
      </c>
      <c r="AE378" s="13">
        <f t="shared" si="113"/>
        <v>0</v>
      </c>
      <c r="AH378">
        <f t="shared" si="114"/>
        <v>13.2</v>
      </c>
      <c r="AI378">
        <f t="shared" si="115"/>
        <v>1030.5035</v>
      </c>
      <c r="AJ378" s="11">
        <f t="shared" si="116"/>
        <v>8.3000000000000004E-2</v>
      </c>
      <c r="AK378">
        <f t="shared" si="117"/>
        <v>9008.9417880000001</v>
      </c>
      <c r="AL378">
        <f t="shared" si="118"/>
        <v>13602.646199999999</v>
      </c>
      <c r="AM378">
        <f t="shared" si="119"/>
        <v>-4593.7044119999991</v>
      </c>
    </row>
    <row r="379" spans="1:39" x14ac:dyDescent="0.25">
      <c r="A379" t="s">
        <v>478</v>
      </c>
      <c r="B379" s="4">
        <v>45865</v>
      </c>
      <c r="C379" s="4">
        <v>45884</v>
      </c>
      <c r="D379" s="13">
        <f t="shared" si="123"/>
        <v>19</v>
      </c>
      <c r="E379" s="6" t="s">
        <v>647</v>
      </c>
      <c r="F379" t="s">
        <v>652</v>
      </c>
      <c r="G379" t="s">
        <v>689</v>
      </c>
      <c r="H379" t="s">
        <v>705</v>
      </c>
      <c r="I379" t="s">
        <v>709</v>
      </c>
      <c r="J379" t="s">
        <v>713</v>
      </c>
      <c r="K379" t="s">
        <v>727</v>
      </c>
      <c r="L379" t="s">
        <v>1197</v>
      </c>
      <c r="M379" s="8">
        <v>275.43</v>
      </c>
      <c r="N379" s="8">
        <v>608.36</v>
      </c>
      <c r="O379" s="8">
        <f t="shared" si="124"/>
        <v>608.36</v>
      </c>
      <c r="P379" s="11">
        <v>0.25700000000000001</v>
      </c>
      <c r="Q379" s="13">
        <v>4</v>
      </c>
      <c r="R379" s="8">
        <f t="shared" si="102"/>
        <v>1808.04592</v>
      </c>
      <c r="S379" s="8">
        <f t="shared" si="103"/>
        <v>1101.72</v>
      </c>
      <c r="T379" s="8">
        <f t="shared" si="104"/>
        <v>706.32592</v>
      </c>
      <c r="U379" s="11">
        <f t="shared" si="105"/>
        <v>0.39065706915231446</v>
      </c>
      <c r="V379" s="17">
        <v>44989</v>
      </c>
      <c r="W379" s="4" t="str">
        <f t="shared" si="106"/>
        <v>Q3-2025</v>
      </c>
      <c r="X379" t="str">
        <f t="shared" si="107"/>
        <v>Asia → Japan → Tokyo</v>
      </c>
      <c r="Y379" t="str">
        <f t="shared" si="108"/>
        <v>Low</v>
      </c>
      <c r="Z379" s="20">
        <f t="shared" si="109"/>
        <v>45839</v>
      </c>
      <c r="AA379" s="4">
        <f t="array" ref="AA379">MIN(IF($F$2:$F$633=F379,$Z$2:$Z$633))</f>
        <v>44986</v>
      </c>
      <c r="AB379">
        <f t="shared" si="125"/>
        <v>28</v>
      </c>
      <c r="AC379">
        <f t="shared" si="111"/>
        <v>0</v>
      </c>
      <c r="AD379">
        <f t="shared" si="112"/>
        <v>1</v>
      </c>
      <c r="AE379" s="13">
        <f t="shared" si="113"/>
        <v>0</v>
      </c>
      <c r="AH379">
        <f t="shared" si="114"/>
        <v>4.8</v>
      </c>
      <c r="AI379">
        <f t="shared" si="115"/>
        <v>316.74449999999996</v>
      </c>
      <c r="AJ379" s="11">
        <f t="shared" si="116"/>
        <v>0.25</v>
      </c>
      <c r="AK379">
        <f t="shared" si="117"/>
        <v>2190.096</v>
      </c>
      <c r="AL379">
        <f t="shared" si="118"/>
        <v>1520.3735999999997</v>
      </c>
      <c r="AM379">
        <f t="shared" si="119"/>
        <v>669.72240000000033</v>
      </c>
    </row>
    <row r="380" spans="1:39" x14ac:dyDescent="0.25">
      <c r="A380" t="s">
        <v>256</v>
      </c>
      <c r="B380" s="4">
        <v>45871</v>
      </c>
      <c r="C380" s="4">
        <v>45877</v>
      </c>
      <c r="D380" s="13">
        <f t="shared" si="123"/>
        <v>6</v>
      </c>
      <c r="E380" s="6" t="s">
        <v>647</v>
      </c>
      <c r="F380" t="s">
        <v>652</v>
      </c>
      <c r="G380" t="s">
        <v>666</v>
      </c>
      <c r="H380" t="s">
        <v>704</v>
      </c>
      <c r="I380" t="s">
        <v>711</v>
      </c>
      <c r="J380" t="s">
        <v>725</v>
      </c>
      <c r="K380" t="s">
        <v>731</v>
      </c>
      <c r="L380" t="s">
        <v>976</v>
      </c>
      <c r="M380" s="8">
        <v>1225.94</v>
      </c>
      <c r="N380" s="8">
        <v>1793.08</v>
      </c>
      <c r="O380" s="8">
        <f t="shared" si="124"/>
        <v>1793.08</v>
      </c>
      <c r="P380" s="11">
        <v>0.13600000000000001</v>
      </c>
      <c r="Q380" s="13">
        <v>22</v>
      </c>
      <c r="R380" s="8">
        <f t="shared" si="102"/>
        <v>34082.864639999993</v>
      </c>
      <c r="S380" s="8">
        <f t="shared" si="103"/>
        <v>26970.68</v>
      </c>
      <c r="T380" s="8">
        <f t="shared" si="104"/>
        <v>7112.1846399999922</v>
      </c>
      <c r="U380" s="11">
        <f t="shared" si="105"/>
        <v>0.20867332353434462</v>
      </c>
      <c r="V380" s="17">
        <v>44999</v>
      </c>
      <c r="W380" s="4" t="str">
        <f t="shared" si="106"/>
        <v>Q3-2025</v>
      </c>
      <c r="X380" t="str">
        <f t="shared" si="107"/>
        <v>Asia → Japan → Osaka</v>
      </c>
      <c r="Y380" t="str">
        <f t="shared" si="108"/>
        <v>High</v>
      </c>
      <c r="Z380" s="20">
        <f t="shared" si="109"/>
        <v>45870</v>
      </c>
      <c r="AA380" s="4">
        <f t="array" ref="AA380">MIN(IF($F$2:$F$633=F380,$Z$2:$Z$633))</f>
        <v>44986</v>
      </c>
      <c r="AB380">
        <f t="shared" si="125"/>
        <v>29</v>
      </c>
      <c r="AC380">
        <f t="shared" si="111"/>
        <v>1</v>
      </c>
      <c r="AD380">
        <f t="shared" si="112"/>
        <v>0</v>
      </c>
      <c r="AE380" s="13">
        <f t="shared" si="113"/>
        <v>1</v>
      </c>
      <c r="AH380">
        <f t="shared" si="114"/>
        <v>26.4</v>
      </c>
      <c r="AI380">
        <f t="shared" si="115"/>
        <v>1409.8309999999999</v>
      </c>
      <c r="AJ380" s="11">
        <f t="shared" si="116"/>
        <v>0.13600000000000001</v>
      </c>
      <c r="AK380">
        <f t="shared" si="117"/>
        <v>40899.437568000001</v>
      </c>
      <c r="AL380">
        <f t="shared" si="118"/>
        <v>37219.538399999998</v>
      </c>
      <c r="AM380">
        <f t="shared" si="119"/>
        <v>3679.8991680000036</v>
      </c>
    </row>
    <row r="381" spans="1:39" x14ac:dyDescent="0.25">
      <c r="A381" t="s">
        <v>32</v>
      </c>
      <c r="B381" s="4">
        <v>45908</v>
      </c>
      <c r="C381" s="4">
        <v>45916</v>
      </c>
      <c r="D381" s="13">
        <f t="shared" si="123"/>
        <v>8</v>
      </c>
      <c r="E381" s="6" t="s">
        <v>647</v>
      </c>
      <c r="F381" t="s">
        <v>652</v>
      </c>
      <c r="G381" t="s">
        <v>666</v>
      </c>
      <c r="H381" t="s">
        <v>701</v>
      </c>
      <c r="I381" t="s">
        <v>710</v>
      </c>
      <c r="J381" t="s">
        <v>712</v>
      </c>
      <c r="K381" t="s">
        <v>730</v>
      </c>
      <c r="L381" t="s">
        <v>751</v>
      </c>
      <c r="M381" s="8">
        <v>1225.57</v>
      </c>
      <c r="N381" s="8">
        <v>2705.57</v>
      </c>
      <c r="O381" s="8">
        <f t="shared" si="124"/>
        <v>2705.57</v>
      </c>
      <c r="P381" s="11">
        <v>0.183</v>
      </c>
      <c r="Q381" s="13">
        <v>16</v>
      </c>
      <c r="R381" s="8">
        <f t="shared" si="102"/>
        <v>35367.211040000002</v>
      </c>
      <c r="S381" s="8">
        <f t="shared" si="103"/>
        <v>19609.12</v>
      </c>
      <c r="T381" s="8">
        <f t="shared" si="104"/>
        <v>15758.091040000003</v>
      </c>
      <c r="U381" s="11">
        <f t="shared" si="105"/>
        <v>0.44555650775453404</v>
      </c>
      <c r="V381" s="17">
        <v>44945</v>
      </c>
      <c r="W381" s="4" t="str">
        <f t="shared" si="106"/>
        <v>Q3-2025</v>
      </c>
      <c r="X381" t="str">
        <f t="shared" si="107"/>
        <v>Asia → Japan → Osaka</v>
      </c>
      <c r="Y381" t="str">
        <f t="shared" si="108"/>
        <v>High</v>
      </c>
      <c r="Z381" s="20">
        <f t="shared" si="109"/>
        <v>45901</v>
      </c>
      <c r="AA381" s="4">
        <f t="array" ref="AA381">MIN(IF($F$2:$F$633=F381,$Z$2:$Z$633))</f>
        <v>44986</v>
      </c>
      <c r="AB381">
        <f t="shared" si="125"/>
        <v>30</v>
      </c>
      <c r="AC381">
        <f t="shared" si="111"/>
        <v>0</v>
      </c>
      <c r="AD381">
        <f t="shared" si="112"/>
        <v>0</v>
      </c>
      <c r="AE381" s="13">
        <f t="shared" si="113"/>
        <v>0</v>
      </c>
      <c r="AH381">
        <f t="shared" si="114"/>
        <v>19.2</v>
      </c>
      <c r="AI381">
        <f t="shared" si="115"/>
        <v>1409.4054999999998</v>
      </c>
      <c r="AJ381" s="11">
        <f t="shared" si="116"/>
        <v>0.183</v>
      </c>
      <c r="AK381">
        <f t="shared" si="117"/>
        <v>42440.653248000002</v>
      </c>
      <c r="AL381">
        <f t="shared" si="118"/>
        <v>27060.585599999995</v>
      </c>
      <c r="AM381">
        <f t="shared" si="119"/>
        <v>15380.067648000007</v>
      </c>
    </row>
    <row r="382" spans="1:39" x14ac:dyDescent="0.25">
      <c r="A382" t="s">
        <v>76</v>
      </c>
      <c r="B382" s="4">
        <v>45910</v>
      </c>
      <c r="C382" s="4">
        <v>45912</v>
      </c>
      <c r="D382" s="13">
        <f t="shared" si="123"/>
        <v>2</v>
      </c>
      <c r="E382" s="6" t="s">
        <v>647</v>
      </c>
      <c r="F382" t="s">
        <v>652</v>
      </c>
      <c r="G382" t="s">
        <v>689</v>
      </c>
      <c r="H382" t="s">
        <v>704</v>
      </c>
      <c r="I382" t="s">
        <v>708</v>
      </c>
      <c r="J382" t="s">
        <v>719</v>
      </c>
      <c r="K382" t="s">
        <v>727</v>
      </c>
      <c r="L382" t="s">
        <v>795</v>
      </c>
      <c r="M382" s="8">
        <v>1470.15</v>
      </c>
      <c r="N382" s="8">
        <v>2593.7800000000002</v>
      </c>
      <c r="O382" s="8">
        <f t="shared" si="124"/>
        <v>2593.7800000000002</v>
      </c>
      <c r="P382" s="11">
        <v>0.11</v>
      </c>
      <c r="Q382" s="13">
        <v>12</v>
      </c>
      <c r="R382" s="8">
        <f t="shared" si="102"/>
        <v>27701.570400000001</v>
      </c>
      <c r="S382" s="8">
        <f t="shared" si="103"/>
        <v>17641.800000000003</v>
      </c>
      <c r="T382" s="8">
        <f t="shared" si="104"/>
        <v>10059.770399999998</v>
      </c>
      <c r="U382" s="11">
        <f t="shared" si="105"/>
        <v>0.36314801849645306</v>
      </c>
      <c r="V382" s="17">
        <v>44933</v>
      </c>
      <c r="W382" s="4" t="str">
        <f t="shared" si="106"/>
        <v>Q3-2025</v>
      </c>
      <c r="X382" t="str">
        <f t="shared" si="107"/>
        <v>Asia → Japan → Tokyo</v>
      </c>
      <c r="Y382" t="str">
        <f t="shared" si="108"/>
        <v>High</v>
      </c>
      <c r="Z382" s="20">
        <f t="shared" si="109"/>
        <v>45901</v>
      </c>
      <c r="AA382" s="4">
        <f t="array" ref="AA382">MIN(IF($F$2:$F$633=F382,$Z$2:$Z$633))</f>
        <v>44986</v>
      </c>
      <c r="AB382">
        <f t="shared" si="125"/>
        <v>30</v>
      </c>
      <c r="AC382">
        <f t="shared" si="111"/>
        <v>1</v>
      </c>
      <c r="AD382">
        <f t="shared" si="112"/>
        <v>0</v>
      </c>
      <c r="AE382" s="13">
        <f t="shared" si="113"/>
        <v>1</v>
      </c>
      <c r="AH382">
        <f t="shared" si="114"/>
        <v>14.399999999999999</v>
      </c>
      <c r="AI382">
        <f t="shared" si="115"/>
        <v>1690.6724999999999</v>
      </c>
      <c r="AJ382" s="11">
        <f t="shared" si="116"/>
        <v>0.11</v>
      </c>
      <c r="AK382">
        <f t="shared" si="117"/>
        <v>33241.884480000001</v>
      </c>
      <c r="AL382">
        <f t="shared" si="118"/>
        <v>24345.683999999997</v>
      </c>
      <c r="AM382">
        <f t="shared" si="119"/>
        <v>8896.2004800000032</v>
      </c>
    </row>
    <row r="383" spans="1:39" x14ac:dyDescent="0.25">
      <c r="A383" t="s">
        <v>263</v>
      </c>
      <c r="B383" s="4">
        <v>45912</v>
      </c>
      <c r="C383" s="4">
        <v>45930</v>
      </c>
      <c r="D383" s="13">
        <f t="shared" si="123"/>
        <v>18</v>
      </c>
      <c r="E383" s="6" t="s">
        <v>647</v>
      </c>
      <c r="F383" t="s">
        <v>652</v>
      </c>
      <c r="G383" t="s">
        <v>694</v>
      </c>
      <c r="H383" t="s">
        <v>703</v>
      </c>
      <c r="I383" t="s">
        <v>709</v>
      </c>
      <c r="J383" t="s">
        <v>721</v>
      </c>
      <c r="K383" t="s">
        <v>732</v>
      </c>
      <c r="L383" t="s">
        <v>983</v>
      </c>
      <c r="M383" s="8">
        <v>1212.99</v>
      </c>
      <c r="N383" s="8">
        <v>1653.64</v>
      </c>
      <c r="O383" s="8">
        <f t="shared" si="124"/>
        <v>1653.64</v>
      </c>
      <c r="P383" s="11">
        <v>0.107</v>
      </c>
      <c r="Q383" s="13">
        <v>8</v>
      </c>
      <c r="R383" s="8">
        <f t="shared" si="102"/>
        <v>11813.604160000001</v>
      </c>
      <c r="S383" s="8">
        <f t="shared" si="103"/>
        <v>9703.92</v>
      </c>
      <c r="T383" s="8">
        <f t="shared" si="104"/>
        <v>2109.6841600000007</v>
      </c>
      <c r="U383" s="11">
        <f t="shared" si="105"/>
        <v>0.17858090819931455</v>
      </c>
      <c r="V383" s="17">
        <v>44938</v>
      </c>
      <c r="W383" s="4" t="str">
        <f t="shared" si="106"/>
        <v>Q3-2025</v>
      </c>
      <c r="X383" t="str">
        <f t="shared" si="107"/>
        <v>Asia → Japan → Nagoya</v>
      </c>
      <c r="Y383" t="str">
        <f t="shared" si="108"/>
        <v>High</v>
      </c>
      <c r="Z383" s="20">
        <f t="shared" si="109"/>
        <v>45901</v>
      </c>
      <c r="AA383" s="4">
        <f t="array" ref="AA383">MIN(IF($F$2:$F$633=F383,$Z$2:$Z$633))</f>
        <v>44986</v>
      </c>
      <c r="AB383">
        <f t="shared" si="125"/>
        <v>30</v>
      </c>
      <c r="AC383">
        <f t="shared" si="111"/>
        <v>0</v>
      </c>
      <c r="AD383">
        <f t="shared" si="112"/>
        <v>0</v>
      </c>
      <c r="AE383" s="13">
        <f t="shared" si="113"/>
        <v>0</v>
      </c>
      <c r="AH383">
        <f t="shared" si="114"/>
        <v>9.6</v>
      </c>
      <c r="AI383">
        <f t="shared" si="115"/>
        <v>1394.9385</v>
      </c>
      <c r="AJ383" s="11">
        <f t="shared" si="116"/>
        <v>0.107</v>
      </c>
      <c r="AK383">
        <f t="shared" si="117"/>
        <v>14176.324992</v>
      </c>
      <c r="AL383">
        <f t="shared" si="118"/>
        <v>13391.409599999999</v>
      </c>
      <c r="AM383">
        <f t="shared" si="119"/>
        <v>784.91539200000079</v>
      </c>
    </row>
    <row r="384" spans="1:39" x14ac:dyDescent="0.25">
      <c r="A384" t="s">
        <v>217</v>
      </c>
      <c r="B384" s="4">
        <v>44946</v>
      </c>
      <c r="C384" s="4">
        <v>44960</v>
      </c>
      <c r="D384" s="13">
        <f t="shared" si="100"/>
        <v>14</v>
      </c>
      <c r="E384" s="6" t="s">
        <v>646</v>
      </c>
      <c r="F384" t="s">
        <v>650</v>
      </c>
      <c r="G384" t="s">
        <v>662</v>
      </c>
      <c r="H384" t="s">
        <v>701</v>
      </c>
      <c r="I384" t="s">
        <v>707</v>
      </c>
      <c r="J384" t="s">
        <v>724</v>
      </c>
      <c r="K384" t="s">
        <v>729</v>
      </c>
      <c r="L384" t="s">
        <v>937</v>
      </c>
      <c r="M384" s="8">
        <v>884.36</v>
      </c>
      <c r="N384" s="8">
        <v>1545.34</v>
      </c>
      <c r="O384" s="8">
        <f t="shared" si="101"/>
        <v>1545.34</v>
      </c>
      <c r="P384" s="11">
        <v>0.24299999999999999</v>
      </c>
      <c r="Q384" s="13">
        <v>41</v>
      </c>
      <c r="R384" s="8">
        <f t="shared" si="102"/>
        <v>47962.717579999997</v>
      </c>
      <c r="S384" s="8">
        <f t="shared" si="103"/>
        <v>36258.76</v>
      </c>
      <c r="T384" s="8">
        <f t="shared" si="104"/>
        <v>11703.957579999995</v>
      </c>
      <c r="U384" s="11">
        <f t="shared" si="105"/>
        <v>0.24402198562827965</v>
      </c>
      <c r="V384" s="17">
        <v>45894</v>
      </c>
      <c r="W384" s="4" t="str">
        <f t="shared" si="106"/>
        <v>Q1-2023</v>
      </c>
      <c r="X384" t="str">
        <f t="shared" si="107"/>
        <v>Africa → Kenya → Kisumu</v>
      </c>
      <c r="Y384" t="str">
        <f t="shared" si="108"/>
        <v>Medium</v>
      </c>
      <c r="Z384" s="20">
        <f t="shared" si="109"/>
        <v>44927</v>
      </c>
      <c r="AA384" s="4">
        <f t="array" ref="AA384">MIN(IF($F$2:$F$633=F384,$Z$2:$Z$633))</f>
        <v>44927</v>
      </c>
      <c r="AB384">
        <f t="shared" si="110"/>
        <v>0</v>
      </c>
      <c r="AC384">
        <f t="shared" si="111"/>
        <v>0</v>
      </c>
      <c r="AD384">
        <f t="shared" si="112"/>
        <v>1</v>
      </c>
      <c r="AE384" s="13">
        <f t="shared" si="113"/>
        <v>0</v>
      </c>
      <c r="AH384">
        <f t="shared" si="114"/>
        <v>49.199999999999996</v>
      </c>
      <c r="AI384">
        <f t="shared" si="115"/>
        <v>1017.0139999999999</v>
      </c>
      <c r="AJ384" s="11">
        <f t="shared" si="116"/>
        <v>0.24299999999999999</v>
      </c>
      <c r="AK384">
        <f t="shared" si="117"/>
        <v>57555.261095999995</v>
      </c>
      <c r="AL384">
        <f t="shared" si="118"/>
        <v>50037.08879999999</v>
      </c>
      <c r="AM384">
        <f t="shared" si="119"/>
        <v>7518.1722960000043</v>
      </c>
    </row>
    <row r="385" spans="1:39" x14ac:dyDescent="0.25">
      <c r="A385" t="s">
        <v>453</v>
      </c>
      <c r="B385" s="4">
        <v>44978</v>
      </c>
      <c r="C385" s="4">
        <v>44997</v>
      </c>
      <c r="D385" s="13">
        <f t="shared" si="100"/>
        <v>19</v>
      </c>
      <c r="E385" s="6" t="s">
        <v>646</v>
      </c>
      <c r="F385" t="s">
        <v>650</v>
      </c>
      <c r="G385" t="s">
        <v>678</v>
      </c>
      <c r="H385" t="s">
        <v>701</v>
      </c>
      <c r="I385" t="s">
        <v>708</v>
      </c>
      <c r="J385" t="s">
        <v>721</v>
      </c>
      <c r="K385" t="s">
        <v>729</v>
      </c>
      <c r="L385" t="s">
        <v>1172</v>
      </c>
      <c r="M385" s="8">
        <v>352.65</v>
      </c>
      <c r="N385" s="8">
        <v>485.86</v>
      </c>
      <c r="O385" s="8">
        <f t="shared" si="101"/>
        <v>485.86</v>
      </c>
      <c r="P385" s="11">
        <v>4.1000000000000002E-2</v>
      </c>
      <c r="Q385" s="13">
        <v>6</v>
      </c>
      <c r="R385" s="8">
        <f t="shared" si="102"/>
        <v>2795.6384399999997</v>
      </c>
      <c r="S385" s="8">
        <f t="shared" si="103"/>
        <v>2115.8999999999996</v>
      </c>
      <c r="T385" s="8">
        <f t="shared" si="104"/>
        <v>679.73844000000008</v>
      </c>
      <c r="U385" s="11">
        <f t="shared" si="105"/>
        <v>0.24314247159943908</v>
      </c>
      <c r="V385" s="17">
        <v>45880</v>
      </c>
      <c r="W385" s="4" t="str">
        <f t="shared" si="106"/>
        <v>Q1-2023</v>
      </c>
      <c r="X385" t="str">
        <f t="shared" si="107"/>
        <v>Africa → Kenya → Nakuru</v>
      </c>
      <c r="Y385" t="str">
        <f t="shared" si="108"/>
        <v>Low</v>
      </c>
      <c r="Z385" s="20">
        <f t="shared" si="109"/>
        <v>44958</v>
      </c>
      <c r="AA385" s="4">
        <f t="array" ref="AA385">MIN(IF($F$2:$F$633=F385,$Z$2:$Z$633))</f>
        <v>44927</v>
      </c>
      <c r="AB385">
        <f t="shared" si="110"/>
        <v>1</v>
      </c>
      <c r="AC385">
        <f t="shared" si="111"/>
        <v>0</v>
      </c>
      <c r="AD385">
        <f t="shared" si="112"/>
        <v>0</v>
      </c>
      <c r="AE385" s="13">
        <f t="shared" si="113"/>
        <v>0</v>
      </c>
      <c r="AH385">
        <f t="shared" si="114"/>
        <v>7.1999999999999993</v>
      </c>
      <c r="AI385">
        <f t="shared" si="115"/>
        <v>405.54749999999996</v>
      </c>
      <c r="AJ385" s="11">
        <f t="shared" si="116"/>
        <v>4.1000000000000002E-2</v>
      </c>
      <c r="AK385">
        <f t="shared" si="117"/>
        <v>3354.7661279999993</v>
      </c>
      <c r="AL385">
        <f t="shared" si="118"/>
        <v>2919.9419999999996</v>
      </c>
      <c r="AM385">
        <f t="shared" si="119"/>
        <v>434.82412799999975</v>
      </c>
    </row>
    <row r="386" spans="1:39" x14ac:dyDescent="0.25">
      <c r="A386" t="s">
        <v>17</v>
      </c>
      <c r="B386" s="4">
        <v>44985</v>
      </c>
      <c r="C386" s="4">
        <v>45010</v>
      </c>
      <c r="D386" s="13">
        <f t="shared" ref="D386:D449" si="126">C386-B386</f>
        <v>25</v>
      </c>
      <c r="E386" s="6" t="s">
        <v>646</v>
      </c>
      <c r="F386" t="s">
        <v>650</v>
      </c>
      <c r="G386" t="s">
        <v>664</v>
      </c>
      <c r="H386" t="s">
        <v>701</v>
      </c>
      <c r="I386" t="s">
        <v>707</v>
      </c>
      <c r="J386" t="s">
        <v>714</v>
      </c>
      <c r="K386" t="s">
        <v>729</v>
      </c>
      <c r="L386" t="s">
        <v>736</v>
      </c>
      <c r="M386" s="8">
        <v>1460.76</v>
      </c>
      <c r="N386" s="8">
        <v>-30.66</v>
      </c>
      <c r="O386" s="8">
        <f t="shared" ref="O386:O449" si="127">ABS(N:N)</f>
        <v>30.66</v>
      </c>
      <c r="P386" s="11">
        <v>0.13100000000000001</v>
      </c>
      <c r="Q386" s="13">
        <v>12</v>
      </c>
      <c r="R386" s="8">
        <f t="shared" ref="R386:R449" si="128">O386*Q386*(1-P386)</f>
        <v>319.72248000000002</v>
      </c>
      <c r="S386" s="8">
        <f t="shared" ref="S386:S449" si="129">PRODUCT(M386*Q386)</f>
        <v>17529.12</v>
      </c>
      <c r="T386" s="8">
        <f t="shared" ref="T386:T449" si="130">R386-S386</f>
        <v>-17209.397519999999</v>
      </c>
      <c r="U386" s="11">
        <f t="shared" ref="U386:U449" si="131">IF(T386=0, "0", T386/R386)</f>
        <v>-53.826047890032626</v>
      </c>
      <c r="V386" s="17">
        <v>45861</v>
      </c>
      <c r="W386" s="4" t="str">
        <f t="shared" ref="W386:W449" si="132">"Q"&amp;ROUNDUP(MONTH(B386)/3,0)&amp;"-"&amp;YEAR(B386)</f>
        <v>Q1-2023</v>
      </c>
      <c r="X386" t="str">
        <f t="shared" ref="X386:X449" si="133">E386 &amp; " → " &amp; F386 &amp; " → " &amp; G386</f>
        <v>Africa → Kenya → Nairobi</v>
      </c>
      <c r="Y386" t="str">
        <f t="shared" ref="Y386:Y449" si="134">IF(O386&lt;=_xlfn.PERCENTILE.INC($O:$O,0.33),"Low",
IF(O386&lt;=_xlfn.PERCENTILE.INC($O:$O,0.67),"Medium","High"))</f>
        <v>Low</v>
      </c>
      <c r="Z386" s="20">
        <f t="shared" ref="Z386:Z449" si="135">DATE(YEAR(B386),MONTH(B386),1)</f>
        <v>44958</v>
      </c>
      <c r="AA386" s="4">
        <f t="array" ref="AA386">MIN(IF($F$2:$F$633=F386,$Z$2:$Z$633))</f>
        <v>44927</v>
      </c>
      <c r="AB386">
        <f t="shared" si="110"/>
        <v>1</v>
      </c>
      <c r="AC386">
        <f t="shared" si="111"/>
        <v>0</v>
      </c>
      <c r="AD386">
        <f t="shared" si="112"/>
        <v>0</v>
      </c>
      <c r="AE386" s="13">
        <f t="shared" si="113"/>
        <v>0</v>
      </c>
      <c r="AH386">
        <f t="shared" si="114"/>
        <v>14.399999999999999</v>
      </c>
      <c r="AI386">
        <f t="shared" si="115"/>
        <v>1679.8739999999998</v>
      </c>
      <c r="AJ386" s="11">
        <f t="shared" si="116"/>
        <v>0.13100000000000001</v>
      </c>
      <c r="AK386">
        <f t="shared" si="117"/>
        <v>383.66697599999998</v>
      </c>
      <c r="AL386">
        <f t="shared" si="118"/>
        <v>24190.185599999993</v>
      </c>
      <c r="AM386">
        <f t="shared" si="119"/>
        <v>-23806.518623999993</v>
      </c>
    </row>
    <row r="387" spans="1:39" x14ac:dyDescent="0.25">
      <c r="A387" t="s">
        <v>243</v>
      </c>
      <c r="B387" s="4">
        <v>44992</v>
      </c>
      <c r="C387" s="4">
        <v>45017</v>
      </c>
      <c r="D387" s="13">
        <f t="shared" si="126"/>
        <v>25</v>
      </c>
      <c r="E387" s="6" t="s">
        <v>646</v>
      </c>
      <c r="F387" t="s">
        <v>650</v>
      </c>
      <c r="G387" t="s">
        <v>664</v>
      </c>
      <c r="H387" t="s">
        <v>704</v>
      </c>
      <c r="I387" t="s">
        <v>709</v>
      </c>
      <c r="J387" t="s">
        <v>726</v>
      </c>
      <c r="K387" t="s">
        <v>728</v>
      </c>
      <c r="L387" t="s">
        <v>963</v>
      </c>
      <c r="M387" s="8">
        <v>1024.0999999999999</v>
      </c>
      <c r="N387" s="8">
        <v>918.19</v>
      </c>
      <c r="O387" s="8">
        <f t="shared" si="127"/>
        <v>918.19</v>
      </c>
      <c r="P387" s="11">
        <v>0.189</v>
      </c>
      <c r="Q387" s="13">
        <v>10</v>
      </c>
      <c r="R387" s="8">
        <f t="shared" si="128"/>
        <v>7446.5209000000004</v>
      </c>
      <c r="S387" s="8">
        <f t="shared" si="129"/>
        <v>10241</v>
      </c>
      <c r="T387" s="8">
        <f t="shared" si="130"/>
        <v>-2794.4790999999996</v>
      </c>
      <c r="U387" s="11">
        <f t="shared" si="131"/>
        <v>-0.37527311579827827</v>
      </c>
      <c r="V387" s="17">
        <v>45871</v>
      </c>
      <c r="W387" s="4" t="str">
        <f t="shared" si="132"/>
        <v>Q1-2023</v>
      </c>
      <c r="X387" t="str">
        <f t="shared" si="133"/>
        <v>Africa → Kenya → Nairobi</v>
      </c>
      <c r="Y387" t="str">
        <f t="shared" si="134"/>
        <v>Medium</v>
      </c>
      <c r="Z387" s="20">
        <f t="shared" si="135"/>
        <v>44986</v>
      </c>
      <c r="AA387" s="4">
        <f t="array" ref="AA387">MIN(IF($F$2:$F$633=F387,$Z$2:$Z$633))</f>
        <v>44927</v>
      </c>
      <c r="AB387">
        <f t="shared" ref="AB387:AB450" si="136">DATEDIF(AA387,Z387,"m")</f>
        <v>2</v>
      </c>
      <c r="AC387">
        <f t="shared" ref="AC387:AC450" si="137">IF(D387&lt;=7,1,0)</f>
        <v>0</v>
      </c>
      <c r="AD387">
        <f t="shared" ref="AD387:AD450" si="138">IF(P387&gt;20%,1,0)</f>
        <v>0</v>
      </c>
      <c r="AE387" s="13">
        <f t="shared" ref="AE387:AE450" si="139">IF(D387&lt;=7, 1,0)</f>
        <v>0</v>
      </c>
      <c r="AH387">
        <f t="shared" ref="AH387:AH450" si="140" xml:space="preserve"> Q387 * (1 + $AG$5)</f>
        <v>12</v>
      </c>
      <c r="AI387">
        <f t="shared" ref="AI387:AI450" si="141">M387*(1+$AG$4)</f>
        <v>1177.7149999999997</v>
      </c>
      <c r="AJ387" s="11">
        <f t="shared" ref="AJ387:AJ450" si="142" xml:space="preserve"> MIN(P387, $AG$3)</f>
        <v>0.189</v>
      </c>
      <c r="AK387">
        <f t="shared" ref="AK387:AK450" si="143">AH387 * O387 * (1-AJ387)</f>
        <v>8935.8250800000005</v>
      </c>
      <c r="AL387">
        <f t="shared" ref="AL387:AL450" si="144">AH387 * AI387</f>
        <v>14132.579999999996</v>
      </c>
      <c r="AM387">
        <f t="shared" ref="AM387:AM450" si="145" xml:space="preserve"> AK387 - AL387</f>
        <v>-5196.7549199999958</v>
      </c>
    </row>
    <row r="388" spans="1:39" x14ac:dyDescent="0.25">
      <c r="A388" t="s">
        <v>333</v>
      </c>
      <c r="B388" s="4">
        <v>45008</v>
      </c>
      <c r="C388" s="4">
        <v>45031</v>
      </c>
      <c r="D388" s="13">
        <f t="shared" si="126"/>
        <v>23</v>
      </c>
      <c r="E388" s="6" t="s">
        <v>646</v>
      </c>
      <c r="F388" t="s">
        <v>650</v>
      </c>
      <c r="G388" t="s">
        <v>675</v>
      </c>
      <c r="H388" t="s">
        <v>705</v>
      </c>
      <c r="I388" t="s">
        <v>707</v>
      </c>
      <c r="J388" t="s">
        <v>712</v>
      </c>
      <c r="K388" t="s">
        <v>733</v>
      </c>
      <c r="L388" t="s">
        <v>1053</v>
      </c>
      <c r="M388" s="8">
        <v>875.36</v>
      </c>
      <c r="N388" s="8">
        <v>1178.6199999999999</v>
      </c>
      <c r="O388" s="8">
        <f t="shared" si="127"/>
        <v>1178.6199999999999</v>
      </c>
      <c r="P388" s="11">
        <v>0.151</v>
      </c>
      <c r="Q388" s="13">
        <v>53</v>
      </c>
      <c r="R388" s="8">
        <f t="shared" si="128"/>
        <v>53034.364139999991</v>
      </c>
      <c r="S388" s="8">
        <f t="shared" si="129"/>
        <v>46394.080000000002</v>
      </c>
      <c r="T388" s="8">
        <f t="shared" si="130"/>
        <v>6640.2841399999888</v>
      </c>
      <c r="U388" s="11">
        <f t="shared" si="131"/>
        <v>0.12520719815685888</v>
      </c>
      <c r="V388" s="17">
        <v>45857</v>
      </c>
      <c r="W388" s="4" t="str">
        <f t="shared" si="132"/>
        <v>Q1-2023</v>
      </c>
      <c r="X388" t="str">
        <f t="shared" si="133"/>
        <v>Africa → Kenya → Mombasa</v>
      </c>
      <c r="Y388" t="str">
        <f t="shared" si="134"/>
        <v>Medium</v>
      </c>
      <c r="Z388" s="20">
        <f t="shared" si="135"/>
        <v>44986</v>
      </c>
      <c r="AA388" s="4">
        <f t="array" ref="AA388">MIN(IF($F$2:$F$633=F388,$Z$2:$Z$633))</f>
        <v>44927</v>
      </c>
      <c r="AB388">
        <f t="shared" si="136"/>
        <v>2</v>
      </c>
      <c r="AC388">
        <f t="shared" si="137"/>
        <v>0</v>
      </c>
      <c r="AD388">
        <f t="shared" si="138"/>
        <v>0</v>
      </c>
      <c r="AE388" s="13">
        <f t="shared" si="139"/>
        <v>0</v>
      </c>
      <c r="AH388">
        <f t="shared" si="140"/>
        <v>63.599999999999994</v>
      </c>
      <c r="AI388">
        <f t="shared" si="141"/>
        <v>1006.664</v>
      </c>
      <c r="AJ388" s="11">
        <f t="shared" si="142"/>
        <v>0.151</v>
      </c>
      <c r="AK388">
        <f t="shared" si="143"/>
        <v>63641.23696799999</v>
      </c>
      <c r="AL388">
        <f t="shared" si="144"/>
        <v>64023.830399999992</v>
      </c>
      <c r="AM388">
        <f t="shared" si="145"/>
        <v>-382.59343200000148</v>
      </c>
    </row>
    <row r="389" spans="1:39" x14ac:dyDescent="0.25">
      <c r="A389" t="s">
        <v>152</v>
      </c>
      <c r="B389" s="4">
        <v>45016</v>
      </c>
      <c r="C389" s="4">
        <v>45028</v>
      </c>
      <c r="D389" s="13">
        <f t="shared" si="126"/>
        <v>12</v>
      </c>
      <c r="E389" s="6" t="s">
        <v>646</v>
      </c>
      <c r="F389" t="s">
        <v>650</v>
      </c>
      <c r="G389" t="s">
        <v>675</v>
      </c>
      <c r="H389" t="s">
        <v>705</v>
      </c>
      <c r="I389" t="s">
        <v>708</v>
      </c>
      <c r="J389" t="s">
        <v>712</v>
      </c>
      <c r="K389" t="s">
        <v>730</v>
      </c>
      <c r="L389" t="s">
        <v>871</v>
      </c>
      <c r="M389" s="8">
        <v>304.22000000000003</v>
      </c>
      <c r="N389" s="8">
        <v>393.31</v>
      </c>
      <c r="O389" s="8">
        <f t="shared" si="127"/>
        <v>393.31</v>
      </c>
      <c r="P389" s="11">
        <v>0.26500000000000001</v>
      </c>
      <c r="Q389" s="13">
        <v>15</v>
      </c>
      <c r="R389" s="8">
        <f t="shared" si="128"/>
        <v>4336.2427499999994</v>
      </c>
      <c r="S389" s="8">
        <f t="shared" si="129"/>
        <v>4563.3</v>
      </c>
      <c r="T389" s="8">
        <f t="shared" si="130"/>
        <v>-227.05725000000075</v>
      </c>
      <c r="U389" s="11">
        <f t="shared" si="131"/>
        <v>-5.2362670424759034E-2</v>
      </c>
      <c r="V389" s="17">
        <v>45832</v>
      </c>
      <c r="W389" s="4" t="str">
        <f t="shared" si="132"/>
        <v>Q1-2023</v>
      </c>
      <c r="X389" t="str">
        <f t="shared" si="133"/>
        <v>Africa → Kenya → Mombasa</v>
      </c>
      <c r="Y389" t="str">
        <f t="shared" si="134"/>
        <v>Low</v>
      </c>
      <c r="Z389" s="20">
        <f t="shared" si="135"/>
        <v>44986</v>
      </c>
      <c r="AA389" s="4">
        <f t="array" ref="AA389">MIN(IF($F$2:$F$633=F389,$Z$2:$Z$633))</f>
        <v>44927</v>
      </c>
      <c r="AB389">
        <f t="shared" si="136"/>
        <v>2</v>
      </c>
      <c r="AC389">
        <f t="shared" si="137"/>
        <v>0</v>
      </c>
      <c r="AD389">
        <f t="shared" si="138"/>
        <v>1</v>
      </c>
      <c r="AE389" s="13">
        <f t="shared" si="139"/>
        <v>0</v>
      </c>
      <c r="AH389">
        <f t="shared" si="140"/>
        <v>18</v>
      </c>
      <c r="AI389">
        <f t="shared" si="141"/>
        <v>349.85300000000001</v>
      </c>
      <c r="AJ389" s="11">
        <f t="shared" si="142"/>
        <v>0.25</v>
      </c>
      <c r="AK389">
        <f t="shared" si="143"/>
        <v>5309.6849999999995</v>
      </c>
      <c r="AL389">
        <f t="shared" si="144"/>
        <v>6297.3540000000003</v>
      </c>
      <c r="AM389">
        <f t="shared" si="145"/>
        <v>-987.66900000000078</v>
      </c>
    </row>
    <row r="390" spans="1:39" x14ac:dyDescent="0.25">
      <c r="A390" t="s">
        <v>67</v>
      </c>
      <c r="B390" s="4">
        <v>45016</v>
      </c>
      <c r="C390" s="4">
        <v>45021</v>
      </c>
      <c r="D390" s="13">
        <f t="shared" si="126"/>
        <v>5</v>
      </c>
      <c r="E390" s="6" t="s">
        <v>646</v>
      </c>
      <c r="F390" t="s">
        <v>650</v>
      </c>
      <c r="G390" t="s">
        <v>678</v>
      </c>
      <c r="H390" t="s">
        <v>702</v>
      </c>
      <c r="I390" t="s">
        <v>709</v>
      </c>
      <c r="J390" t="s">
        <v>717</v>
      </c>
      <c r="K390" t="s">
        <v>731</v>
      </c>
      <c r="L390" t="s">
        <v>786</v>
      </c>
      <c r="M390" s="8">
        <v>533.26</v>
      </c>
      <c r="N390" s="8">
        <v>385.72</v>
      </c>
      <c r="O390" s="8">
        <f t="shared" si="127"/>
        <v>385.72</v>
      </c>
      <c r="P390" s="11">
        <v>0</v>
      </c>
      <c r="Q390" s="13">
        <v>15</v>
      </c>
      <c r="R390" s="8">
        <f t="shared" si="128"/>
        <v>5785.8</v>
      </c>
      <c r="S390" s="8">
        <f t="shared" si="129"/>
        <v>7998.9</v>
      </c>
      <c r="T390" s="8">
        <f t="shared" si="130"/>
        <v>-2213.0999999999995</v>
      </c>
      <c r="U390" s="11">
        <f t="shared" si="131"/>
        <v>-0.38250544436378708</v>
      </c>
      <c r="V390" s="17">
        <v>45847</v>
      </c>
      <c r="W390" s="4" t="str">
        <f t="shared" si="132"/>
        <v>Q1-2023</v>
      </c>
      <c r="X390" t="str">
        <f t="shared" si="133"/>
        <v>Africa → Kenya → Nakuru</v>
      </c>
      <c r="Y390" t="str">
        <f t="shared" si="134"/>
        <v>Low</v>
      </c>
      <c r="Z390" s="20">
        <f t="shared" si="135"/>
        <v>44986</v>
      </c>
      <c r="AA390" s="4">
        <f t="array" ref="AA390">MIN(IF($F$2:$F$633=F390,$Z$2:$Z$633))</f>
        <v>44927</v>
      </c>
      <c r="AB390">
        <f t="shared" si="136"/>
        <v>2</v>
      </c>
      <c r="AC390">
        <f t="shared" si="137"/>
        <v>1</v>
      </c>
      <c r="AD390">
        <f t="shared" si="138"/>
        <v>0</v>
      </c>
      <c r="AE390" s="13">
        <f t="shared" si="139"/>
        <v>1</v>
      </c>
      <c r="AH390">
        <f t="shared" si="140"/>
        <v>18</v>
      </c>
      <c r="AI390">
        <f t="shared" si="141"/>
        <v>613.24899999999991</v>
      </c>
      <c r="AJ390" s="11">
        <f t="shared" si="142"/>
        <v>0</v>
      </c>
      <c r="AK390">
        <f t="shared" si="143"/>
        <v>6942.9600000000009</v>
      </c>
      <c r="AL390">
        <f t="shared" si="144"/>
        <v>11038.481999999998</v>
      </c>
      <c r="AM390">
        <f t="shared" si="145"/>
        <v>-4095.5219999999972</v>
      </c>
    </row>
    <row r="391" spans="1:39" x14ac:dyDescent="0.25">
      <c r="A391" t="s">
        <v>43</v>
      </c>
      <c r="B391" s="4">
        <v>45030</v>
      </c>
      <c r="C391" s="4">
        <v>45060</v>
      </c>
      <c r="D391" s="13">
        <f t="shared" si="126"/>
        <v>30</v>
      </c>
      <c r="E391" s="6" t="s">
        <v>646</v>
      </c>
      <c r="F391" t="s">
        <v>650</v>
      </c>
      <c r="G391" t="s">
        <v>678</v>
      </c>
      <c r="H391" t="s">
        <v>704</v>
      </c>
      <c r="I391" t="s">
        <v>709</v>
      </c>
      <c r="J391" t="s">
        <v>724</v>
      </c>
      <c r="K391" t="s">
        <v>730</v>
      </c>
      <c r="L391" t="s">
        <v>762</v>
      </c>
      <c r="M391" s="8">
        <v>209.25</v>
      </c>
      <c r="N391" s="8">
        <v>434.8</v>
      </c>
      <c r="O391" s="8">
        <f t="shared" si="127"/>
        <v>434.8</v>
      </c>
      <c r="P391" s="11">
        <v>0</v>
      </c>
      <c r="Q391" s="13">
        <v>9</v>
      </c>
      <c r="R391" s="8">
        <f t="shared" si="128"/>
        <v>3913.2000000000003</v>
      </c>
      <c r="S391" s="8">
        <f t="shared" si="129"/>
        <v>1883.25</v>
      </c>
      <c r="T391" s="8">
        <f t="shared" si="130"/>
        <v>2029.9500000000003</v>
      </c>
      <c r="U391" s="11">
        <f t="shared" si="131"/>
        <v>0.51874425022999082</v>
      </c>
      <c r="V391" s="17">
        <v>45832</v>
      </c>
      <c r="W391" s="4" t="str">
        <f t="shared" si="132"/>
        <v>Q2-2023</v>
      </c>
      <c r="X391" t="str">
        <f t="shared" si="133"/>
        <v>Africa → Kenya → Nakuru</v>
      </c>
      <c r="Y391" t="str">
        <f t="shared" si="134"/>
        <v>Low</v>
      </c>
      <c r="Z391" s="20">
        <f t="shared" si="135"/>
        <v>45017</v>
      </c>
      <c r="AA391" s="4">
        <f t="array" ref="AA391">MIN(IF($F$2:$F$633=F391,$Z$2:$Z$633))</f>
        <v>44927</v>
      </c>
      <c r="AB391">
        <f t="shared" si="136"/>
        <v>3</v>
      </c>
      <c r="AC391">
        <f t="shared" si="137"/>
        <v>0</v>
      </c>
      <c r="AD391">
        <f t="shared" si="138"/>
        <v>0</v>
      </c>
      <c r="AE391" s="13">
        <f t="shared" si="139"/>
        <v>0</v>
      </c>
      <c r="AH391">
        <f t="shared" si="140"/>
        <v>10.799999999999999</v>
      </c>
      <c r="AI391">
        <f t="shared" si="141"/>
        <v>240.63749999999999</v>
      </c>
      <c r="AJ391" s="11">
        <f t="shared" si="142"/>
        <v>0</v>
      </c>
      <c r="AK391">
        <f t="shared" si="143"/>
        <v>4695.8399999999992</v>
      </c>
      <c r="AL391">
        <f t="shared" si="144"/>
        <v>2598.8849999999998</v>
      </c>
      <c r="AM391">
        <f t="shared" si="145"/>
        <v>2096.9549999999995</v>
      </c>
    </row>
    <row r="392" spans="1:39" x14ac:dyDescent="0.25">
      <c r="A392" t="s">
        <v>30</v>
      </c>
      <c r="B392" s="4">
        <v>45038</v>
      </c>
      <c r="C392" s="4">
        <v>45039</v>
      </c>
      <c r="D392" s="13">
        <f t="shared" si="126"/>
        <v>1</v>
      </c>
      <c r="E392" s="6" t="s">
        <v>646</v>
      </c>
      <c r="F392" t="s">
        <v>650</v>
      </c>
      <c r="G392" t="s">
        <v>664</v>
      </c>
      <c r="H392" t="s">
        <v>705</v>
      </c>
      <c r="I392" t="s">
        <v>711</v>
      </c>
      <c r="J392" t="s">
        <v>718</v>
      </c>
      <c r="K392" t="s">
        <v>731</v>
      </c>
      <c r="L392" t="s">
        <v>749</v>
      </c>
      <c r="M392" s="8">
        <v>756.51</v>
      </c>
      <c r="N392" s="8">
        <v>850.8</v>
      </c>
      <c r="O392" s="8">
        <f t="shared" si="127"/>
        <v>850.8</v>
      </c>
      <c r="P392" s="11">
        <v>7.3999999999999996E-2</v>
      </c>
      <c r="Q392" s="13">
        <v>9</v>
      </c>
      <c r="R392" s="8">
        <f t="shared" si="128"/>
        <v>7090.5672000000004</v>
      </c>
      <c r="S392" s="8">
        <f t="shared" si="129"/>
        <v>6808.59</v>
      </c>
      <c r="T392" s="8">
        <f t="shared" si="130"/>
        <v>281.97720000000027</v>
      </c>
      <c r="U392" s="11">
        <f t="shared" si="131"/>
        <v>3.9767932810791252E-2</v>
      </c>
      <c r="V392" s="17">
        <v>45817</v>
      </c>
      <c r="W392" s="4" t="str">
        <f t="shared" si="132"/>
        <v>Q2-2023</v>
      </c>
      <c r="X392" t="str">
        <f t="shared" si="133"/>
        <v>Africa → Kenya → Nairobi</v>
      </c>
      <c r="Y392" t="str">
        <f t="shared" si="134"/>
        <v>Medium</v>
      </c>
      <c r="Z392" s="20">
        <f t="shared" si="135"/>
        <v>45017</v>
      </c>
      <c r="AA392" s="4">
        <f t="array" ref="AA392">MIN(IF($F$2:$F$633=F392,$Z$2:$Z$633))</f>
        <v>44927</v>
      </c>
      <c r="AB392">
        <f t="shared" si="136"/>
        <v>3</v>
      </c>
      <c r="AC392">
        <f t="shared" si="137"/>
        <v>1</v>
      </c>
      <c r="AD392">
        <f t="shared" si="138"/>
        <v>0</v>
      </c>
      <c r="AE392" s="13">
        <f t="shared" si="139"/>
        <v>1</v>
      </c>
      <c r="AH392">
        <f t="shared" si="140"/>
        <v>10.799999999999999</v>
      </c>
      <c r="AI392">
        <f t="shared" si="141"/>
        <v>869.98649999999998</v>
      </c>
      <c r="AJ392" s="11">
        <f t="shared" si="142"/>
        <v>7.3999999999999996E-2</v>
      </c>
      <c r="AK392">
        <f t="shared" si="143"/>
        <v>8508.6806400000005</v>
      </c>
      <c r="AL392">
        <f t="shared" si="144"/>
        <v>9395.8541999999979</v>
      </c>
      <c r="AM392">
        <f t="shared" si="145"/>
        <v>-887.17355999999745</v>
      </c>
    </row>
    <row r="393" spans="1:39" x14ac:dyDescent="0.25">
      <c r="A393" t="s">
        <v>121</v>
      </c>
      <c r="B393" s="4">
        <v>45057</v>
      </c>
      <c r="C393" s="4">
        <v>45084</v>
      </c>
      <c r="D393" s="13">
        <f t="shared" si="126"/>
        <v>27</v>
      </c>
      <c r="E393" s="6" t="s">
        <v>646</v>
      </c>
      <c r="F393" t="s">
        <v>650</v>
      </c>
      <c r="G393" t="s">
        <v>675</v>
      </c>
      <c r="H393" t="s">
        <v>701</v>
      </c>
      <c r="I393" t="s">
        <v>708</v>
      </c>
      <c r="J393" t="s">
        <v>713</v>
      </c>
      <c r="K393" t="s">
        <v>730</v>
      </c>
      <c r="L393" t="s">
        <v>840</v>
      </c>
      <c r="M393" s="8">
        <v>12.85</v>
      </c>
      <c r="N393" s="8">
        <v>15.41</v>
      </c>
      <c r="O393" s="8">
        <f t="shared" si="127"/>
        <v>15.41</v>
      </c>
      <c r="P393" s="11">
        <v>0.13700000000000001</v>
      </c>
      <c r="Q393" s="13">
        <v>39</v>
      </c>
      <c r="R393" s="8">
        <f t="shared" si="128"/>
        <v>518.65436999999997</v>
      </c>
      <c r="S393" s="8">
        <f t="shared" si="129"/>
        <v>501.15</v>
      </c>
      <c r="T393" s="8">
        <f t="shared" si="130"/>
        <v>17.504369999999994</v>
      </c>
      <c r="U393" s="11">
        <f t="shared" si="131"/>
        <v>3.3749585489851353E-2</v>
      </c>
      <c r="V393" s="17">
        <v>45774</v>
      </c>
      <c r="W393" s="4" t="str">
        <f t="shared" si="132"/>
        <v>Q2-2023</v>
      </c>
      <c r="X393" t="str">
        <f t="shared" si="133"/>
        <v>Africa → Kenya → Mombasa</v>
      </c>
      <c r="Y393" t="str">
        <f t="shared" si="134"/>
        <v>Low</v>
      </c>
      <c r="Z393" s="20">
        <f t="shared" si="135"/>
        <v>45047</v>
      </c>
      <c r="AA393" s="4">
        <f t="array" ref="AA393">MIN(IF($F$2:$F$633=F393,$Z$2:$Z$633))</f>
        <v>44927</v>
      </c>
      <c r="AB393">
        <f t="shared" si="136"/>
        <v>4</v>
      </c>
      <c r="AC393">
        <f t="shared" si="137"/>
        <v>0</v>
      </c>
      <c r="AD393">
        <f t="shared" si="138"/>
        <v>0</v>
      </c>
      <c r="AE393" s="13">
        <f t="shared" si="139"/>
        <v>0</v>
      </c>
      <c r="AH393">
        <f t="shared" si="140"/>
        <v>46.8</v>
      </c>
      <c r="AI393">
        <f t="shared" si="141"/>
        <v>14.777499999999998</v>
      </c>
      <c r="AJ393" s="11">
        <f t="shared" si="142"/>
        <v>0.13700000000000001</v>
      </c>
      <c r="AK393">
        <f t="shared" si="143"/>
        <v>622.38524399999994</v>
      </c>
      <c r="AL393">
        <f t="shared" si="144"/>
        <v>691.58699999999988</v>
      </c>
      <c r="AM393">
        <f t="shared" si="145"/>
        <v>-69.201755999999932</v>
      </c>
    </row>
    <row r="394" spans="1:39" x14ac:dyDescent="0.25">
      <c r="A394" t="s">
        <v>484</v>
      </c>
      <c r="B394" s="4">
        <v>45060</v>
      </c>
      <c r="C394" s="4">
        <v>45068</v>
      </c>
      <c r="D394" s="13">
        <f t="shared" si="126"/>
        <v>8</v>
      </c>
      <c r="E394" s="6" t="s">
        <v>646</v>
      </c>
      <c r="F394" t="s">
        <v>650</v>
      </c>
      <c r="G394" t="s">
        <v>675</v>
      </c>
      <c r="H394" t="s">
        <v>705</v>
      </c>
      <c r="I394" t="s">
        <v>710</v>
      </c>
      <c r="J394" t="s">
        <v>721</v>
      </c>
      <c r="K394" t="s">
        <v>728</v>
      </c>
      <c r="L394" t="s">
        <v>1203</v>
      </c>
      <c r="M394" s="8">
        <v>432.01</v>
      </c>
      <c r="N394" s="8">
        <v>913.78</v>
      </c>
      <c r="O394" s="8">
        <f t="shared" si="127"/>
        <v>913.78</v>
      </c>
      <c r="P394" s="11">
        <v>4.9000000000000002E-2</v>
      </c>
      <c r="Q394" s="13">
        <v>12</v>
      </c>
      <c r="R394" s="8">
        <f t="shared" si="128"/>
        <v>10428.057360000001</v>
      </c>
      <c r="S394" s="8">
        <f t="shared" si="129"/>
        <v>5184.12</v>
      </c>
      <c r="T394" s="8">
        <f t="shared" si="130"/>
        <v>5243.9373600000008</v>
      </c>
      <c r="U394" s="11">
        <f t="shared" si="131"/>
        <v>0.50286809699711899</v>
      </c>
      <c r="V394" s="17">
        <v>45796</v>
      </c>
      <c r="W394" s="4" t="str">
        <f t="shared" si="132"/>
        <v>Q2-2023</v>
      </c>
      <c r="X394" t="str">
        <f t="shared" si="133"/>
        <v>Africa → Kenya → Mombasa</v>
      </c>
      <c r="Y394" t="str">
        <f t="shared" si="134"/>
        <v>Medium</v>
      </c>
      <c r="Z394" s="20">
        <f t="shared" si="135"/>
        <v>45047</v>
      </c>
      <c r="AA394" s="4">
        <f t="array" ref="AA394">MIN(IF($F$2:$F$633=F394,$Z$2:$Z$633))</f>
        <v>44927</v>
      </c>
      <c r="AB394">
        <f t="shared" si="136"/>
        <v>4</v>
      </c>
      <c r="AC394">
        <f t="shared" si="137"/>
        <v>0</v>
      </c>
      <c r="AD394">
        <f t="shared" si="138"/>
        <v>0</v>
      </c>
      <c r="AE394" s="13">
        <f t="shared" si="139"/>
        <v>0</v>
      </c>
      <c r="AH394">
        <f t="shared" si="140"/>
        <v>14.399999999999999</v>
      </c>
      <c r="AI394">
        <f t="shared" si="141"/>
        <v>496.81149999999997</v>
      </c>
      <c r="AJ394" s="11">
        <f t="shared" si="142"/>
        <v>4.9000000000000002E-2</v>
      </c>
      <c r="AK394">
        <f t="shared" si="143"/>
        <v>12513.668831999998</v>
      </c>
      <c r="AL394">
        <f t="shared" si="144"/>
        <v>7154.0855999999985</v>
      </c>
      <c r="AM394">
        <f t="shared" si="145"/>
        <v>5359.583231999999</v>
      </c>
    </row>
    <row r="395" spans="1:39" x14ac:dyDescent="0.25">
      <c r="A395" t="s">
        <v>341</v>
      </c>
      <c r="B395" s="4">
        <v>45087</v>
      </c>
      <c r="C395" s="4">
        <v>45095</v>
      </c>
      <c r="D395" s="13">
        <f t="shared" si="126"/>
        <v>8</v>
      </c>
      <c r="E395" s="6" t="s">
        <v>646</v>
      </c>
      <c r="F395" t="s">
        <v>650</v>
      </c>
      <c r="G395" t="s">
        <v>678</v>
      </c>
      <c r="H395" t="s">
        <v>706</v>
      </c>
      <c r="I395" t="s">
        <v>711</v>
      </c>
      <c r="J395" t="s">
        <v>722</v>
      </c>
      <c r="K395" t="s">
        <v>730</v>
      </c>
      <c r="L395" t="s">
        <v>1061</v>
      </c>
      <c r="M395" s="8">
        <v>894.23</v>
      </c>
      <c r="N395" s="8">
        <v>1421.55</v>
      </c>
      <c r="O395" s="8">
        <f t="shared" si="127"/>
        <v>1421.55</v>
      </c>
      <c r="P395" s="11">
        <v>0.109</v>
      </c>
      <c r="Q395" s="13">
        <v>3</v>
      </c>
      <c r="R395" s="8">
        <f t="shared" si="128"/>
        <v>3799.8031499999997</v>
      </c>
      <c r="S395" s="8">
        <f t="shared" si="129"/>
        <v>2682.69</v>
      </c>
      <c r="T395" s="8">
        <f t="shared" si="130"/>
        <v>1117.1131499999997</v>
      </c>
      <c r="U395" s="11">
        <f t="shared" si="131"/>
        <v>0.29399237431549574</v>
      </c>
      <c r="V395" s="17">
        <v>45764</v>
      </c>
      <c r="W395" s="4" t="str">
        <f t="shared" si="132"/>
        <v>Q2-2023</v>
      </c>
      <c r="X395" t="str">
        <f t="shared" si="133"/>
        <v>Africa → Kenya → Nakuru</v>
      </c>
      <c r="Y395" t="str">
        <f t="shared" si="134"/>
        <v>Medium</v>
      </c>
      <c r="Z395" s="20">
        <f t="shared" si="135"/>
        <v>45078</v>
      </c>
      <c r="AA395" s="4">
        <f t="array" ref="AA395">MIN(IF($F$2:$F$633=F395,$Z$2:$Z$633))</f>
        <v>44927</v>
      </c>
      <c r="AB395">
        <f t="shared" si="136"/>
        <v>5</v>
      </c>
      <c r="AC395">
        <f t="shared" si="137"/>
        <v>0</v>
      </c>
      <c r="AD395">
        <f t="shared" si="138"/>
        <v>0</v>
      </c>
      <c r="AE395" s="13">
        <f t="shared" si="139"/>
        <v>0</v>
      </c>
      <c r="AH395">
        <f t="shared" si="140"/>
        <v>3.5999999999999996</v>
      </c>
      <c r="AI395">
        <f t="shared" si="141"/>
        <v>1028.3644999999999</v>
      </c>
      <c r="AJ395" s="11">
        <f t="shared" si="142"/>
        <v>0.109</v>
      </c>
      <c r="AK395">
        <f t="shared" si="143"/>
        <v>4559.7637799999993</v>
      </c>
      <c r="AL395">
        <f t="shared" si="144"/>
        <v>3702.1121999999991</v>
      </c>
      <c r="AM395">
        <f t="shared" si="145"/>
        <v>857.65158000000019</v>
      </c>
    </row>
    <row r="396" spans="1:39" x14ac:dyDescent="0.25">
      <c r="A396" t="s">
        <v>555</v>
      </c>
      <c r="B396" s="4">
        <v>45115</v>
      </c>
      <c r="C396" s="4">
        <v>45116</v>
      </c>
      <c r="D396" s="13">
        <f t="shared" si="126"/>
        <v>1</v>
      </c>
      <c r="E396" s="6" t="s">
        <v>646</v>
      </c>
      <c r="F396" t="s">
        <v>650</v>
      </c>
      <c r="G396" t="s">
        <v>664</v>
      </c>
      <c r="H396" t="s">
        <v>704</v>
      </c>
      <c r="I396" t="s">
        <v>708</v>
      </c>
      <c r="J396" t="s">
        <v>726</v>
      </c>
      <c r="K396" t="s">
        <v>731</v>
      </c>
      <c r="L396" t="s">
        <v>1273</v>
      </c>
      <c r="M396" s="8">
        <v>1258.72</v>
      </c>
      <c r="N396" s="8">
        <v>2797.41</v>
      </c>
      <c r="O396" s="8">
        <f t="shared" si="127"/>
        <v>2797.41</v>
      </c>
      <c r="P396" s="11">
        <v>0</v>
      </c>
      <c r="Q396" s="13">
        <v>7</v>
      </c>
      <c r="R396" s="8">
        <f t="shared" si="128"/>
        <v>19581.87</v>
      </c>
      <c r="S396" s="8">
        <f t="shared" si="129"/>
        <v>8811.0400000000009</v>
      </c>
      <c r="T396" s="8">
        <f t="shared" si="130"/>
        <v>10770.829999999998</v>
      </c>
      <c r="U396" s="11">
        <f t="shared" si="131"/>
        <v>0.55004093071805704</v>
      </c>
      <c r="V396" s="17">
        <v>45739</v>
      </c>
      <c r="W396" s="4" t="str">
        <f t="shared" si="132"/>
        <v>Q3-2023</v>
      </c>
      <c r="X396" t="str">
        <f t="shared" si="133"/>
        <v>Africa → Kenya → Nairobi</v>
      </c>
      <c r="Y396" t="str">
        <f t="shared" si="134"/>
        <v>High</v>
      </c>
      <c r="Z396" s="20">
        <f t="shared" si="135"/>
        <v>45108</v>
      </c>
      <c r="AA396" s="4">
        <f t="array" ref="AA396">MIN(IF($F$2:$F$633=F396,$Z$2:$Z$633))</f>
        <v>44927</v>
      </c>
      <c r="AB396">
        <f t="shared" si="136"/>
        <v>6</v>
      </c>
      <c r="AC396">
        <f t="shared" si="137"/>
        <v>1</v>
      </c>
      <c r="AD396">
        <f t="shared" si="138"/>
        <v>0</v>
      </c>
      <c r="AE396" s="13">
        <f t="shared" si="139"/>
        <v>1</v>
      </c>
      <c r="AH396">
        <f t="shared" si="140"/>
        <v>8.4</v>
      </c>
      <c r="AI396">
        <f t="shared" si="141"/>
        <v>1447.528</v>
      </c>
      <c r="AJ396" s="11">
        <f t="shared" si="142"/>
        <v>0</v>
      </c>
      <c r="AK396">
        <f t="shared" si="143"/>
        <v>23498.243999999999</v>
      </c>
      <c r="AL396">
        <f t="shared" si="144"/>
        <v>12159.235200000001</v>
      </c>
      <c r="AM396">
        <f t="shared" si="145"/>
        <v>11339.008799999998</v>
      </c>
    </row>
    <row r="397" spans="1:39" x14ac:dyDescent="0.25">
      <c r="A397" t="s">
        <v>354</v>
      </c>
      <c r="B397" s="4">
        <v>45131</v>
      </c>
      <c r="C397" s="4">
        <v>45157</v>
      </c>
      <c r="D397" s="13">
        <f t="shared" si="126"/>
        <v>26</v>
      </c>
      <c r="E397" s="6" t="s">
        <v>646</v>
      </c>
      <c r="F397" t="s">
        <v>650</v>
      </c>
      <c r="G397" t="s">
        <v>664</v>
      </c>
      <c r="H397" t="s">
        <v>706</v>
      </c>
      <c r="I397" t="s">
        <v>710</v>
      </c>
      <c r="J397" t="s">
        <v>724</v>
      </c>
      <c r="K397" t="s">
        <v>733</v>
      </c>
      <c r="L397" t="s">
        <v>1074</v>
      </c>
      <c r="M397" s="8">
        <v>661.45</v>
      </c>
      <c r="N397" s="8">
        <v>1634.86</v>
      </c>
      <c r="O397" s="8">
        <f t="shared" si="127"/>
        <v>1634.86</v>
      </c>
      <c r="P397" s="11">
        <v>0.56499999999999995</v>
      </c>
      <c r="Q397" s="13">
        <v>24</v>
      </c>
      <c r="R397" s="8">
        <f t="shared" si="128"/>
        <v>17067.938400000003</v>
      </c>
      <c r="S397" s="8">
        <f t="shared" si="129"/>
        <v>15874.800000000001</v>
      </c>
      <c r="T397" s="8">
        <f t="shared" si="130"/>
        <v>1193.1384000000016</v>
      </c>
      <c r="U397" s="11">
        <f t="shared" si="131"/>
        <v>6.9905244092045793E-2</v>
      </c>
      <c r="V397" s="17">
        <v>45709</v>
      </c>
      <c r="W397" s="4" t="str">
        <f t="shared" si="132"/>
        <v>Q3-2023</v>
      </c>
      <c r="X397" t="str">
        <f t="shared" si="133"/>
        <v>Africa → Kenya → Nairobi</v>
      </c>
      <c r="Y397" t="str">
        <f t="shared" si="134"/>
        <v>Medium</v>
      </c>
      <c r="Z397" s="20">
        <f t="shared" si="135"/>
        <v>45108</v>
      </c>
      <c r="AA397" s="4">
        <f t="array" ref="AA397">MIN(IF($F$2:$F$633=F397,$Z$2:$Z$633))</f>
        <v>44927</v>
      </c>
      <c r="AB397">
        <f t="shared" si="136"/>
        <v>6</v>
      </c>
      <c r="AC397">
        <f t="shared" si="137"/>
        <v>0</v>
      </c>
      <c r="AD397">
        <f t="shared" si="138"/>
        <v>1</v>
      </c>
      <c r="AE397" s="13">
        <f t="shared" si="139"/>
        <v>0</v>
      </c>
      <c r="AH397">
        <f t="shared" si="140"/>
        <v>28.799999999999997</v>
      </c>
      <c r="AI397">
        <f t="shared" si="141"/>
        <v>760.66750000000002</v>
      </c>
      <c r="AJ397" s="11">
        <f t="shared" si="142"/>
        <v>0.25</v>
      </c>
      <c r="AK397">
        <f t="shared" si="143"/>
        <v>35312.975999999995</v>
      </c>
      <c r="AL397">
        <f t="shared" si="144"/>
        <v>21907.223999999998</v>
      </c>
      <c r="AM397">
        <f t="shared" si="145"/>
        <v>13405.751999999997</v>
      </c>
    </row>
    <row r="398" spans="1:39" x14ac:dyDescent="0.25">
      <c r="A398" t="s">
        <v>296</v>
      </c>
      <c r="B398" s="4">
        <v>45153</v>
      </c>
      <c r="C398" s="4">
        <v>45163</v>
      </c>
      <c r="D398" s="13">
        <f t="shared" si="126"/>
        <v>10</v>
      </c>
      <c r="E398" s="6" t="s">
        <v>646</v>
      </c>
      <c r="F398" t="s">
        <v>650</v>
      </c>
      <c r="G398" t="s">
        <v>664</v>
      </c>
      <c r="H398" t="s">
        <v>705</v>
      </c>
      <c r="I398" t="s">
        <v>707</v>
      </c>
      <c r="J398" t="s">
        <v>725</v>
      </c>
      <c r="K398" t="s">
        <v>730</v>
      </c>
      <c r="L398" t="s">
        <v>1016</v>
      </c>
      <c r="M398" s="8">
        <v>91.85</v>
      </c>
      <c r="N398" s="8">
        <v>111.29</v>
      </c>
      <c r="O398" s="8">
        <f t="shared" si="127"/>
        <v>111.29</v>
      </c>
      <c r="P398" s="11">
        <v>0</v>
      </c>
      <c r="Q398" s="13">
        <v>6</v>
      </c>
      <c r="R398" s="8">
        <f t="shared" si="128"/>
        <v>667.74</v>
      </c>
      <c r="S398" s="8">
        <f t="shared" si="129"/>
        <v>551.09999999999991</v>
      </c>
      <c r="T398" s="8">
        <f t="shared" si="130"/>
        <v>116.6400000000001</v>
      </c>
      <c r="U398" s="11">
        <f t="shared" si="131"/>
        <v>0.17467876718483258</v>
      </c>
      <c r="V398" s="17">
        <v>45703</v>
      </c>
      <c r="W398" s="4" t="str">
        <f t="shared" si="132"/>
        <v>Q3-2023</v>
      </c>
      <c r="X398" t="str">
        <f t="shared" si="133"/>
        <v>Africa → Kenya → Nairobi</v>
      </c>
      <c r="Y398" t="str">
        <f t="shared" si="134"/>
        <v>Low</v>
      </c>
      <c r="Z398" s="20">
        <f t="shared" si="135"/>
        <v>45139</v>
      </c>
      <c r="AA398" s="4">
        <f t="array" ref="AA398">MIN(IF($F$2:$F$633=F398,$Z$2:$Z$633))</f>
        <v>44927</v>
      </c>
      <c r="AB398">
        <f t="shared" si="136"/>
        <v>7</v>
      </c>
      <c r="AC398">
        <f t="shared" si="137"/>
        <v>0</v>
      </c>
      <c r="AD398">
        <f t="shared" si="138"/>
        <v>0</v>
      </c>
      <c r="AE398" s="13">
        <f t="shared" si="139"/>
        <v>0</v>
      </c>
      <c r="AH398">
        <f t="shared" si="140"/>
        <v>7.1999999999999993</v>
      </c>
      <c r="AI398">
        <f t="shared" si="141"/>
        <v>105.62749999999998</v>
      </c>
      <c r="AJ398" s="11">
        <f t="shared" si="142"/>
        <v>0</v>
      </c>
      <c r="AK398">
        <f t="shared" si="143"/>
        <v>801.28800000000001</v>
      </c>
      <c r="AL398">
        <f t="shared" si="144"/>
        <v>760.5179999999998</v>
      </c>
      <c r="AM398">
        <f t="shared" si="145"/>
        <v>40.770000000000209</v>
      </c>
    </row>
    <row r="399" spans="1:39" x14ac:dyDescent="0.25">
      <c r="A399" t="s">
        <v>634</v>
      </c>
      <c r="B399" s="4">
        <v>45177</v>
      </c>
      <c r="C399" s="4">
        <v>45183</v>
      </c>
      <c r="D399" s="13">
        <f t="shared" si="126"/>
        <v>6</v>
      </c>
      <c r="E399" s="6" t="s">
        <v>646</v>
      </c>
      <c r="F399" t="s">
        <v>650</v>
      </c>
      <c r="G399" t="s">
        <v>678</v>
      </c>
      <c r="H399" t="s">
        <v>702</v>
      </c>
      <c r="I399" t="s">
        <v>711</v>
      </c>
      <c r="J399" t="s">
        <v>714</v>
      </c>
      <c r="K399" t="s">
        <v>733</v>
      </c>
      <c r="L399" t="s">
        <v>1352</v>
      </c>
      <c r="M399" s="8">
        <v>251.03</v>
      </c>
      <c r="N399" s="8">
        <v>411.48</v>
      </c>
      <c r="O399" s="8">
        <f t="shared" si="127"/>
        <v>411.48</v>
      </c>
      <c r="P399" s="11">
        <v>0.16500000000000001</v>
      </c>
      <c r="Q399" s="13">
        <v>3</v>
      </c>
      <c r="R399" s="8">
        <f t="shared" si="128"/>
        <v>1030.7574</v>
      </c>
      <c r="S399" s="8">
        <f t="shared" si="129"/>
        <v>753.09</v>
      </c>
      <c r="T399" s="8">
        <f t="shared" si="130"/>
        <v>277.66739999999993</v>
      </c>
      <c r="U399" s="11">
        <f t="shared" si="131"/>
        <v>0.26938191275658069</v>
      </c>
      <c r="V399" s="17">
        <v>45643</v>
      </c>
      <c r="W399" s="4" t="str">
        <f t="shared" si="132"/>
        <v>Q3-2023</v>
      </c>
      <c r="X399" t="str">
        <f t="shared" si="133"/>
        <v>Africa → Kenya → Nakuru</v>
      </c>
      <c r="Y399" t="str">
        <f t="shared" si="134"/>
        <v>Low</v>
      </c>
      <c r="Z399" s="20">
        <f t="shared" si="135"/>
        <v>45170</v>
      </c>
      <c r="AA399" s="4">
        <f t="array" ref="AA399">MIN(IF($F$2:$F$633=F399,$Z$2:$Z$633))</f>
        <v>44927</v>
      </c>
      <c r="AB399">
        <f t="shared" si="136"/>
        <v>8</v>
      </c>
      <c r="AC399">
        <f t="shared" si="137"/>
        <v>1</v>
      </c>
      <c r="AD399">
        <f t="shared" si="138"/>
        <v>0</v>
      </c>
      <c r="AE399" s="13">
        <f t="shared" si="139"/>
        <v>1</v>
      </c>
      <c r="AH399">
        <f t="shared" si="140"/>
        <v>3.5999999999999996</v>
      </c>
      <c r="AI399">
        <f t="shared" si="141"/>
        <v>288.68449999999996</v>
      </c>
      <c r="AJ399" s="11">
        <f t="shared" si="142"/>
        <v>0.16500000000000001</v>
      </c>
      <c r="AK399">
        <f t="shared" si="143"/>
        <v>1236.90888</v>
      </c>
      <c r="AL399">
        <f t="shared" si="144"/>
        <v>1039.2641999999998</v>
      </c>
      <c r="AM399">
        <f t="shared" si="145"/>
        <v>197.64468000000011</v>
      </c>
    </row>
    <row r="400" spans="1:39" x14ac:dyDescent="0.25">
      <c r="A400" t="s">
        <v>449</v>
      </c>
      <c r="B400" s="4">
        <v>45217</v>
      </c>
      <c r="C400" s="4">
        <v>45219</v>
      </c>
      <c r="D400" s="13">
        <f t="shared" si="126"/>
        <v>2</v>
      </c>
      <c r="E400" s="6" t="s">
        <v>646</v>
      </c>
      <c r="F400" t="s">
        <v>650</v>
      </c>
      <c r="G400" t="s">
        <v>662</v>
      </c>
      <c r="H400" t="s">
        <v>704</v>
      </c>
      <c r="I400" t="s">
        <v>707</v>
      </c>
      <c r="J400" t="s">
        <v>713</v>
      </c>
      <c r="K400" t="s">
        <v>730</v>
      </c>
      <c r="L400" t="s">
        <v>1168</v>
      </c>
      <c r="M400" s="8">
        <v>774.12</v>
      </c>
      <c r="N400" s="8">
        <v>908.3</v>
      </c>
      <c r="O400" s="8">
        <f t="shared" si="127"/>
        <v>908.3</v>
      </c>
      <c r="P400" s="11">
        <v>0</v>
      </c>
      <c r="Q400" s="13">
        <v>30</v>
      </c>
      <c r="R400" s="8">
        <f t="shared" si="128"/>
        <v>27249</v>
      </c>
      <c r="S400" s="8">
        <f t="shared" si="129"/>
        <v>23223.599999999999</v>
      </c>
      <c r="T400" s="8">
        <f t="shared" si="130"/>
        <v>4025.4000000000015</v>
      </c>
      <c r="U400" s="11">
        <f t="shared" si="131"/>
        <v>0.14772652207420461</v>
      </c>
      <c r="V400" s="17">
        <v>45641</v>
      </c>
      <c r="W400" s="4" t="str">
        <f t="shared" si="132"/>
        <v>Q4-2023</v>
      </c>
      <c r="X400" t="str">
        <f t="shared" si="133"/>
        <v>Africa → Kenya → Kisumu</v>
      </c>
      <c r="Y400" t="str">
        <f t="shared" si="134"/>
        <v>Medium</v>
      </c>
      <c r="Z400" s="20">
        <f t="shared" si="135"/>
        <v>45200</v>
      </c>
      <c r="AA400" s="4">
        <f t="array" ref="AA400">MIN(IF($F$2:$F$633=F400,$Z$2:$Z$633))</f>
        <v>44927</v>
      </c>
      <c r="AB400">
        <f t="shared" si="136"/>
        <v>9</v>
      </c>
      <c r="AC400">
        <f t="shared" si="137"/>
        <v>1</v>
      </c>
      <c r="AD400">
        <f t="shared" si="138"/>
        <v>0</v>
      </c>
      <c r="AE400" s="13">
        <f t="shared" si="139"/>
        <v>1</v>
      </c>
      <c r="AH400">
        <f t="shared" si="140"/>
        <v>36</v>
      </c>
      <c r="AI400">
        <f t="shared" si="141"/>
        <v>890.23799999999994</v>
      </c>
      <c r="AJ400" s="11">
        <f t="shared" si="142"/>
        <v>0</v>
      </c>
      <c r="AK400">
        <f t="shared" si="143"/>
        <v>32698.799999999999</v>
      </c>
      <c r="AL400">
        <f t="shared" si="144"/>
        <v>32048.567999999999</v>
      </c>
      <c r="AM400">
        <f t="shared" si="145"/>
        <v>650.23199999999997</v>
      </c>
    </row>
    <row r="401" spans="1:39" x14ac:dyDescent="0.25">
      <c r="A401" t="s">
        <v>169</v>
      </c>
      <c r="B401" s="4">
        <v>45230</v>
      </c>
      <c r="C401" s="4">
        <v>45232</v>
      </c>
      <c r="D401" s="13">
        <f t="shared" si="126"/>
        <v>2</v>
      </c>
      <c r="E401" s="6" t="s">
        <v>646</v>
      </c>
      <c r="F401" t="s">
        <v>650</v>
      </c>
      <c r="G401" t="s">
        <v>662</v>
      </c>
      <c r="H401" t="s">
        <v>702</v>
      </c>
      <c r="I401" t="s">
        <v>707</v>
      </c>
      <c r="J401" t="s">
        <v>719</v>
      </c>
      <c r="K401" t="s">
        <v>733</v>
      </c>
      <c r="L401" t="s">
        <v>888</v>
      </c>
      <c r="M401" s="8">
        <v>867.89</v>
      </c>
      <c r="N401" s="8">
        <v>1349.94</v>
      </c>
      <c r="O401" s="8">
        <f t="shared" si="127"/>
        <v>1349.94</v>
      </c>
      <c r="P401" s="11">
        <v>0.184</v>
      </c>
      <c r="Q401" s="13">
        <v>10</v>
      </c>
      <c r="R401" s="8">
        <f t="shared" si="128"/>
        <v>11015.510400000003</v>
      </c>
      <c r="S401" s="8">
        <f t="shared" si="129"/>
        <v>8678.9</v>
      </c>
      <c r="T401" s="8">
        <f t="shared" si="130"/>
        <v>2336.6104000000032</v>
      </c>
      <c r="U401" s="11">
        <f t="shared" si="131"/>
        <v>0.21212003031652557</v>
      </c>
      <c r="V401" s="17">
        <v>45626</v>
      </c>
      <c r="W401" s="4" t="str">
        <f t="shared" si="132"/>
        <v>Q4-2023</v>
      </c>
      <c r="X401" t="str">
        <f t="shared" si="133"/>
        <v>Africa → Kenya → Kisumu</v>
      </c>
      <c r="Y401" t="str">
        <f t="shared" si="134"/>
        <v>Medium</v>
      </c>
      <c r="Z401" s="20">
        <f t="shared" si="135"/>
        <v>45200</v>
      </c>
      <c r="AA401" s="4">
        <f t="array" ref="AA401">MIN(IF($F$2:$F$633=F401,$Z$2:$Z$633))</f>
        <v>44927</v>
      </c>
      <c r="AB401">
        <f t="shared" si="136"/>
        <v>9</v>
      </c>
      <c r="AC401">
        <f t="shared" si="137"/>
        <v>1</v>
      </c>
      <c r="AD401">
        <f t="shared" si="138"/>
        <v>0</v>
      </c>
      <c r="AE401" s="13">
        <f t="shared" si="139"/>
        <v>1</v>
      </c>
      <c r="AH401">
        <f t="shared" si="140"/>
        <v>12</v>
      </c>
      <c r="AI401">
        <f t="shared" si="141"/>
        <v>998.07349999999985</v>
      </c>
      <c r="AJ401" s="11">
        <f t="shared" si="142"/>
        <v>0.184</v>
      </c>
      <c r="AK401">
        <f t="shared" si="143"/>
        <v>13218.612480000002</v>
      </c>
      <c r="AL401">
        <f t="shared" si="144"/>
        <v>11976.881999999998</v>
      </c>
      <c r="AM401">
        <f t="shared" si="145"/>
        <v>1241.7304800000038</v>
      </c>
    </row>
    <row r="402" spans="1:39" x14ac:dyDescent="0.25">
      <c r="A402" t="s">
        <v>137</v>
      </c>
      <c r="B402" s="4">
        <v>45289</v>
      </c>
      <c r="C402" s="4">
        <v>45311</v>
      </c>
      <c r="D402" s="13">
        <f t="shared" si="126"/>
        <v>22</v>
      </c>
      <c r="E402" s="6" t="s">
        <v>646</v>
      </c>
      <c r="F402" t="s">
        <v>650</v>
      </c>
      <c r="G402" t="s">
        <v>662</v>
      </c>
      <c r="H402" t="s">
        <v>701</v>
      </c>
      <c r="I402" t="s">
        <v>711</v>
      </c>
      <c r="J402" t="s">
        <v>716</v>
      </c>
      <c r="K402" t="s">
        <v>730</v>
      </c>
      <c r="L402" t="s">
        <v>856</v>
      </c>
      <c r="M402" s="8">
        <v>1395.49</v>
      </c>
      <c r="N402" s="8">
        <v>1679.42</v>
      </c>
      <c r="O402" s="8">
        <f t="shared" si="127"/>
        <v>1679.42</v>
      </c>
      <c r="P402" s="11">
        <v>0.20300000000000001</v>
      </c>
      <c r="Q402" s="13">
        <v>12</v>
      </c>
      <c r="R402" s="8">
        <f t="shared" si="128"/>
        <v>16061.972879999999</v>
      </c>
      <c r="S402" s="8">
        <f t="shared" si="129"/>
        <v>16745.88</v>
      </c>
      <c r="T402" s="8">
        <f t="shared" si="130"/>
        <v>-683.90712000000167</v>
      </c>
      <c r="U402" s="11">
        <f t="shared" si="131"/>
        <v>-4.2579272490964493E-2</v>
      </c>
      <c r="V402" s="17">
        <v>45578</v>
      </c>
      <c r="W402" s="4" t="str">
        <f t="shared" si="132"/>
        <v>Q4-2023</v>
      </c>
      <c r="X402" t="str">
        <f t="shared" si="133"/>
        <v>Africa → Kenya → Kisumu</v>
      </c>
      <c r="Y402" t="str">
        <f t="shared" si="134"/>
        <v>High</v>
      </c>
      <c r="Z402" s="20">
        <f t="shared" si="135"/>
        <v>45261</v>
      </c>
      <c r="AA402" s="4">
        <f t="array" ref="AA402">MIN(IF($F$2:$F$633=F402,$Z$2:$Z$633))</f>
        <v>44927</v>
      </c>
      <c r="AB402">
        <f t="shared" si="136"/>
        <v>11</v>
      </c>
      <c r="AC402">
        <f t="shared" si="137"/>
        <v>0</v>
      </c>
      <c r="AD402">
        <f t="shared" si="138"/>
        <v>1</v>
      </c>
      <c r="AE402" s="13">
        <f t="shared" si="139"/>
        <v>0</v>
      </c>
      <c r="AH402">
        <f t="shared" si="140"/>
        <v>14.399999999999999</v>
      </c>
      <c r="AI402">
        <f t="shared" si="141"/>
        <v>1604.8135</v>
      </c>
      <c r="AJ402" s="11">
        <f t="shared" si="142"/>
        <v>0.20300000000000001</v>
      </c>
      <c r="AK402">
        <f t="shared" si="143"/>
        <v>19274.367455999996</v>
      </c>
      <c r="AL402">
        <f t="shared" si="144"/>
        <v>23109.314399999996</v>
      </c>
      <c r="AM402">
        <f t="shared" si="145"/>
        <v>-3834.9469439999993</v>
      </c>
    </row>
    <row r="403" spans="1:39" x14ac:dyDescent="0.25">
      <c r="A403" t="s">
        <v>487</v>
      </c>
      <c r="B403" s="4">
        <v>45328</v>
      </c>
      <c r="C403" s="4">
        <v>45350</v>
      </c>
      <c r="D403" s="13">
        <f t="shared" si="126"/>
        <v>22</v>
      </c>
      <c r="E403" s="6" t="s">
        <v>646</v>
      </c>
      <c r="F403" t="s">
        <v>650</v>
      </c>
      <c r="G403" t="s">
        <v>662</v>
      </c>
      <c r="H403" t="s">
        <v>703</v>
      </c>
      <c r="I403" t="s">
        <v>708</v>
      </c>
      <c r="J403" t="s">
        <v>723</v>
      </c>
      <c r="K403" t="s">
        <v>732</v>
      </c>
      <c r="L403" t="s">
        <v>1206</v>
      </c>
      <c r="M403" s="8">
        <v>834.93</v>
      </c>
      <c r="N403" s="8">
        <v>1588.53</v>
      </c>
      <c r="O403" s="8">
        <f t="shared" si="127"/>
        <v>1588.53</v>
      </c>
      <c r="P403" s="11">
        <v>0.126</v>
      </c>
      <c r="Q403" s="13">
        <v>6</v>
      </c>
      <c r="R403" s="8">
        <f t="shared" si="128"/>
        <v>8330.2513199999994</v>
      </c>
      <c r="S403" s="8">
        <f t="shared" si="129"/>
        <v>5009.58</v>
      </c>
      <c r="T403" s="8">
        <f t="shared" si="130"/>
        <v>3320.6713199999995</v>
      </c>
      <c r="U403" s="11">
        <f t="shared" si="131"/>
        <v>0.39862798761274343</v>
      </c>
      <c r="V403" s="17">
        <v>45514</v>
      </c>
      <c r="W403" s="4" t="str">
        <f t="shared" si="132"/>
        <v>Q1-2024</v>
      </c>
      <c r="X403" t="str">
        <f t="shared" si="133"/>
        <v>Africa → Kenya → Kisumu</v>
      </c>
      <c r="Y403" t="str">
        <f t="shared" si="134"/>
        <v>Medium</v>
      </c>
      <c r="Z403" s="20">
        <f t="shared" si="135"/>
        <v>45323</v>
      </c>
      <c r="AA403" s="4">
        <f t="array" ref="AA403">MIN(IF($F$2:$F$633=F403,$Z$2:$Z$633))</f>
        <v>44927</v>
      </c>
      <c r="AB403">
        <f t="shared" si="136"/>
        <v>13</v>
      </c>
      <c r="AC403">
        <f t="shared" si="137"/>
        <v>0</v>
      </c>
      <c r="AD403">
        <f t="shared" si="138"/>
        <v>0</v>
      </c>
      <c r="AE403" s="13">
        <f t="shared" si="139"/>
        <v>0</v>
      </c>
      <c r="AH403">
        <f t="shared" si="140"/>
        <v>7.1999999999999993</v>
      </c>
      <c r="AI403">
        <f t="shared" si="141"/>
        <v>960.16949999999986</v>
      </c>
      <c r="AJ403" s="11">
        <f t="shared" si="142"/>
        <v>0.126</v>
      </c>
      <c r="AK403">
        <f t="shared" si="143"/>
        <v>9996.3015839999989</v>
      </c>
      <c r="AL403">
        <f t="shared" si="144"/>
        <v>6913.2203999999983</v>
      </c>
      <c r="AM403">
        <f t="shared" si="145"/>
        <v>3083.0811840000006</v>
      </c>
    </row>
    <row r="404" spans="1:39" x14ac:dyDescent="0.25">
      <c r="A404" t="s">
        <v>580</v>
      </c>
      <c r="B404" s="4">
        <v>45330</v>
      </c>
      <c r="C404" s="4">
        <v>45331</v>
      </c>
      <c r="D404" s="13">
        <f t="shared" si="126"/>
        <v>1</v>
      </c>
      <c r="E404" s="6" t="s">
        <v>646</v>
      </c>
      <c r="F404" t="s">
        <v>650</v>
      </c>
      <c r="G404" t="s">
        <v>675</v>
      </c>
      <c r="H404" t="s">
        <v>701</v>
      </c>
      <c r="I404" t="s">
        <v>711</v>
      </c>
      <c r="J404" t="s">
        <v>721</v>
      </c>
      <c r="K404" t="s">
        <v>727</v>
      </c>
      <c r="L404" t="s">
        <v>1298</v>
      </c>
      <c r="M404" s="8">
        <v>1233.52</v>
      </c>
      <c r="N404" s="8">
        <v>1543.76</v>
      </c>
      <c r="O404" s="8">
        <f t="shared" si="127"/>
        <v>1543.76</v>
      </c>
      <c r="P404" s="11">
        <v>0.126</v>
      </c>
      <c r="Q404" s="13">
        <v>13</v>
      </c>
      <c r="R404" s="8">
        <f t="shared" si="128"/>
        <v>17540.201120000002</v>
      </c>
      <c r="S404" s="8">
        <f t="shared" si="129"/>
        <v>16035.76</v>
      </c>
      <c r="T404" s="8">
        <f t="shared" si="130"/>
        <v>1504.4411200000013</v>
      </c>
      <c r="U404" s="11">
        <f t="shared" si="131"/>
        <v>8.5771030201277493E-2</v>
      </c>
      <c r="V404" s="17">
        <v>45534</v>
      </c>
      <c r="W404" s="4" t="str">
        <f t="shared" si="132"/>
        <v>Q1-2024</v>
      </c>
      <c r="X404" t="str">
        <f t="shared" si="133"/>
        <v>Africa → Kenya → Mombasa</v>
      </c>
      <c r="Y404" t="str">
        <f t="shared" si="134"/>
        <v>Medium</v>
      </c>
      <c r="Z404" s="20">
        <f t="shared" si="135"/>
        <v>45323</v>
      </c>
      <c r="AA404" s="4">
        <f t="array" ref="AA404">MIN(IF($F$2:$F$633=F404,$Z$2:$Z$633))</f>
        <v>44927</v>
      </c>
      <c r="AB404">
        <f t="shared" si="136"/>
        <v>13</v>
      </c>
      <c r="AC404">
        <f t="shared" si="137"/>
        <v>1</v>
      </c>
      <c r="AD404">
        <f t="shared" si="138"/>
        <v>0</v>
      </c>
      <c r="AE404" s="13">
        <f t="shared" si="139"/>
        <v>1</v>
      </c>
      <c r="AH404">
        <f t="shared" si="140"/>
        <v>15.6</v>
      </c>
      <c r="AI404">
        <f t="shared" si="141"/>
        <v>1418.5479999999998</v>
      </c>
      <c r="AJ404" s="11">
        <f t="shared" si="142"/>
        <v>0.126</v>
      </c>
      <c r="AK404">
        <f t="shared" si="143"/>
        <v>21048.241343999998</v>
      </c>
      <c r="AL404">
        <f t="shared" si="144"/>
        <v>22129.348799999996</v>
      </c>
      <c r="AM404">
        <f t="shared" si="145"/>
        <v>-1081.1074559999979</v>
      </c>
    </row>
    <row r="405" spans="1:39" x14ac:dyDescent="0.25">
      <c r="A405" t="s">
        <v>211</v>
      </c>
      <c r="B405" s="4">
        <v>45333</v>
      </c>
      <c r="C405" s="4">
        <v>45354</v>
      </c>
      <c r="D405" s="13">
        <f t="shared" si="126"/>
        <v>21</v>
      </c>
      <c r="E405" s="6" t="s">
        <v>646</v>
      </c>
      <c r="F405" t="s">
        <v>650</v>
      </c>
      <c r="G405" t="s">
        <v>662</v>
      </c>
      <c r="H405" t="s">
        <v>706</v>
      </c>
      <c r="I405" t="s">
        <v>708</v>
      </c>
      <c r="J405" t="s">
        <v>717</v>
      </c>
      <c r="K405" t="s">
        <v>730</v>
      </c>
      <c r="L405" t="s">
        <v>931</v>
      </c>
      <c r="M405" s="8">
        <v>516.86</v>
      </c>
      <c r="N405" s="8">
        <v>852.54</v>
      </c>
      <c r="O405" s="8">
        <f t="shared" si="127"/>
        <v>852.54</v>
      </c>
      <c r="P405" s="11">
        <v>5.0999999999999997E-2</v>
      </c>
      <c r="Q405" s="13">
        <v>14</v>
      </c>
      <c r="R405" s="8">
        <f t="shared" si="128"/>
        <v>11326.846439999999</v>
      </c>
      <c r="S405" s="8">
        <f t="shared" si="129"/>
        <v>7236.04</v>
      </c>
      <c r="T405" s="8">
        <f t="shared" si="130"/>
        <v>4090.8064399999994</v>
      </c>
      <c r="U405" s="11">
        <f t="shared" si="131"/>
        <v>0.36116022775355994</v>
      </c>
      <c r="V405" s="17">
        <v>45539</v>
      </c>
      <c r="W405" s="4" t="str">
        <f t="shared" si="132"/>
        <v>Q1-2024</v>
      </c>
      <c r="X405" t="str">
        <f t="shared" si="133"/>
        <v>Africa → Kenya → Kisumu</v>
      </c>
      <c r="Y405" t="str">
        <f t="shared" si="134"/>
        <v>Medium</v>
      </c>
      <c r="Z405" s="20">
        <f t="shared" si="135"/>
        <v>45323</v>
      </c>
      <c r="AA405" s="4">
        <f t="array" ref="AA405">MIN(IF($F$2:$F$633=F405,$Z$2:$Z$633))</f>
        <v>44927</v>
      </c>
      <c r="AB405">
        <f t="shared" si="136"/>
        <v>13</v>
      </c>
      <c r="AC405">
        <f t="shared" si="137"/>
        <v>0</v>
      </c>
      <c r="AD405">
        <f t="shared" si="138"/>
        <v>0</v>
      </c>
      <c r="AE405" s="13">
        <f t="shared" si="139"/>
        <v>0</v>
      </c>
      <c r="AH405">
        <f t="shared" si="140"/>
        <v>16.8</v>
      </c>
      <c r="AI405">
        <f t="shared" si="141"/>
        <v>594.38900000000001</v>
      </c>
      <c r="AJ405" s="11">
        <f t="shared" si="142"/>
        <v>5.0999999999999997E-2</v>
      </c>
      <c r="AK405">
        <f t="shared" si="143"/>
        <v>13592.215727999999</v>
      </c>
      <c r="AL405">
        <f t="shared" si="144"/>
        <v>9985.735200000001</v>
      </c>
      <c r="AM405">
        <f t="shared" si="145"/>
        <v>3606.4805279999982</v>
      </c>
    </row>
    <row r="406" spans="1:39" x14ac:dyDescent="0.25">
      <c r="A406" t="s">
        <v>168</v>
      </c>
      <c r="B406" s="4">
        <v>45340</v>
      </c>
      <c r="C406" s="4">
        <v>45355</v>
      </c>
      <c r="D406" s="13">
        <f t="shared" si="126"/>
        <v>15</v>
      </c>
      <c r="E406" s="6" t="s">
        <v>646</v>
      </c>
      <c r="F406" t="s">
        <v>650</v>
      </c>
      <c r="G406" t="s">
        <v>662</v>
      </c>
      <c r="H406" t="s">
        <v>702</v>
      </c>
      <c r="I406" t="s">
        <v>711</v>
      </c>
      <c r="J406" t="s">
        <v>723</v>
      </c>
      <c r="K406" t="s">
        <v>728</v>
      </c>
      <c r="L406" t="s">
        <v>887</v>
      </c>
      <c r="M406" s="8">
        <v>928.68</v>
      </c>
      <c r="N406" s="8">
        <v>2145.17</v>
      </c>
      <c r="O406" s="8">
        <f t="shared" si="127"/>
        <v>2145.17</v>
      </c>
      <c r="P406" s="11">
        <v>0.13600000000000001</v>
      </c>
      <c r="Q406" s="13">
        <v>16</v>
      </c>
      <c r="R406" s="8">
        <f t="shared" si="128"/>
        <v>29654.83008</v>
      </c>
      <c r="S406" s="8">
        <f t="shared" si="129"/>
        <v>14858.88</v>
      </c>
      <c r="T406" s="8">
        <f t="shared" si="130"/>
        <v>14795.950080000001</v>
      </c>
      <c r="U406" s="11">
        <f t="shared" si="131"/>
        <v>0.49893896003062177</v>
      </c>
      <c r="V406" s="17">
        <v>45501</v>
      </c>
      <c r="W406" s="4" t="str">
        <f t="shared" si="132"/>
        <v>Q1-2024</v>
      </c>
      <c r="X406" t="str">
        <f t="shared" si="133"/>
        <v>Africa → Kenya → Kisumu</v>
      </c>
      <c r="Y406" t="str">
        <f t="shared" si="134"/>
        <v>High</v>
      </c>
      <c r="Z406" s="20">
        <f t="shared" si="135"/>
        <v>45323</v>
      </c>
      <c r="AA406" s="4">
        <f t="array" ref="AA406">MIN(IF($F$2:$F$633=F406,$Z$2:$Z$633))</f>
        <v>44927</v>
      </c>
      <c r="AB406">
        <f t="shared" si="136"/>
        <v>13</v>
      </c>
      <c r="AC406">
        <f t="shared" si="137"/>
        <v>0</v>
      </c>
      <c r="AD406">
        <f t="shared" si="138"/>
        <v>0</v>
      </c>
      <c r="AE406" s="13">
        <f t="shared" si="139"/>
        <v>0</v>
      </c>
      <c r="AH406">
        <f t="shared" si="140"/>
        <v>19.2</v>
      </c>
      <c r="AI406">
        <f t="shared" si="141"/>
        <v>1067.982</v>
      </c>
      <c r="AJ406" s="11">
        <f t="shared" si="142"/>
        <v>0.13600000000000001</v>
      </c>
      <c r="AK406">
        <f t="shared" si="143"/>
        <v>35585.796096000005</v>
      </c>
      <c r="AL406">
        <f t="shared" si="144"/>
        <v>20505.254399999998</v>
      </c>
      <c r="AM406">
        <f t="shared" si="145"/>
        <v>15080.541696000008</v>
      </c>
    </row>
    <row r="407" spans="1:39" x14ac:dyDescent="0.25">
      <c r="A407" t="s">
        <v>15</v>
      </c>
      <c r="B407" s="4">
        <v>45362</v>
      </c>
      <c r="C407" s="4">
        <v>45388</v>
      </c>
      <c r="D407" s="13">
        <f t="shared" si="126"/>
        <v>26</v>
      </c>
      <c r="E407" s="6" t="s">
        <v>646</v>
      </c>
      <c r="F407" t="s">
        <v>650</v>
      </c>
      <c r="G407" t="s">
        <v>662</v>
      </c>
      <c r="H407" t="s">
        <v>701</v>
      </c>
      <c r="I407" t="s">
        <v>707</v>
      </c>
      <c r="J407" t="s">
        <v>712</v>
      </c>
      <c r="K407" t="s">
        <v>727</v>
      </c>
      <c r="L407" t="s">
        <v>734</v>
      </c>
      <c r="M407" s="8">
        <v>279.24</v>
      </c>
      <c r="N407" s="8">
        <v>608.9</v>
      </c>
      <c r="O407" s="8">
        <f t="shared" si="127"/>
        <v>608.9</v>
      </c>
      <c r="P407" s="11">
        <v>0.112</v>
      </c>
      <c r="Q407" s="13">
        <v>9</v>
      </c>
      <c r="R407" s="8">
        <f t="shared" si="128"/>
        <v>4866.3287999999993</v>
      </c>
      <c r="S407" s="8">
        <f t="shared" si="129"/>
        <v>2513.16</v>
      </c>
      <c r="T407" s="8">
        <f t="shared" si="130"/>
        <v>2353.1687999999995</v>
      </c>
      <c r="U407" s="11">
        <f t="shared" si="131"/>
        <v>0.48356140670149533</v>
      </c>
      <c r="V407" s="17">
        <v>45473</v>
      </c>
      <c r="W407" s="4" t="str">
        <f t="shared" si="132"/>
        <v>Q1-2024</v>
      </c>
      <c r="X407" t="str">
        <f t="shared" si="133"/>
        <v>Africa → Kenya → Kisumu</v>
      </c>
      <c r="Y407" t="str">
        <f t="shared" si="134"/>
        <v>Low</v>
      </c>
      <c r="Z407" s="20">
        <f t="shared" si="135"/>
        <v>45352</v>
      </c>
      <c r="AA407" s="4">
        <f t="array" ref="AA407">MIN(IF($F$2:$F$633=F407,$Z$2:$Z$633))</f>
        <v>44927</v>
      </c>
      <c r="AB407">
        <f t="shared" si="136"/>
        <v>14</v>
      </c>
      <c r="AC407">
        <f t="shared" si="137"/>
        <v>0</v>
      </c>
      <c r="AD407">
        <f t="shared" si="138"/>
        <v>0</v>
      </c>
      <c r="AE407" s="13">
        <f t="shared" si="139"/>
        <v>0</v>
      </c>
      <c r="AH407">
        <f t="shared" si="140"/>
        <v>10.799999999999999</v>
      </c>
      <c r="AI407">
        <f t="shared" si="141"/>
        <v>321.12599999999998</v>
      </c>
      <c r="AJ407" s="11">
        <f t="shared" si="142"/>
        <v>0.112</v>
      </c>
      <c r="AK407">
        <f t="shared" si="143"/>
        <v>5839.5945599999995</v>
      </c>
      <c r="AL407">
        <f t="shared" si="144"/>
        <v>3468.1607999999992</v>
      </c>
      <c r="AM407">
        <f t="shared" si="145"/>
        <v>2371.4337600000003</v>
      </c>
    </row>
    <row r="408" spans="1:39" x14ac:dyDescent="0.25">
      <c r="A408" t="s">
        <v>539</v>
      </c>
      <c r="B408" s="4">
        <v>45398</v>
      </c>
      <c r="C408" s="4">
        <v>45409</v>
      </c>
      <c r="D408" s="13">
        <f t="shared" si="126"/>
        <v>11</v>
      </c>
      <c r="E408" s="6" t="s">
        <v>646</v>
      </c>
      <c r="F408" t="s">
        <v>650</v>
      </c>
      <c r="G408" t="s">
        <v>678</v>
      </c>
      <c r="H408" t="s">
        <v>706</v>
      </c>
      <c r="I408" t="s">
        <v>708</v>
      </c>
      <c r="J408" t="s">
        <v>726</v>
      </c>
      <c r="K408" t="s">
        <v>728</v>
      </c>
      <c r="L408" t="s">
        <v>1258</v>
      </c>
      <c r="M408" s="8">
        <v>401.3</v>
      </c>
      <c r="N408" s="8">
        <v>826.47</v>
      </c>
      <c r="O408" s="8">
        <f t="shared" si="127"/>
        <v>826.47</v>
      </c>
      <c r="P408" s="11">
        <v>0.22500000000000001</v>
      </c>
      <c r="Q408" s="13">
        <v>13</v>
      </c>
      <c r="R408" s="8">
        <f t="shared" si="128"/>
        <v>8326.6852500000005</v>
      </c>
      <c r="S408" s="8">
        <f t="shared" si="129"/>
        <v>5216.9000000000005</v>
      </c>
      <c r="T408" s="8">
        <f t="shared" si="130"/>
        <v>3109.7852499999999</v>
      </c>
      <c r="U408" s="11">
        <f t="shared" si="131"/>
        <v>0.37347217489696755</v>
      </c>
      <c r="V408" s="17">
        <v>45448</v>
      </c>
      <c r="W408" s="4" t="str">
        <f t="shared" si="132"/>
        <v>Q2-2024</v>
      </c>
      <c r="X408" t="str">
        <f t="shared" si="133"/>
        <v>Africa → Kenya → Nakuru</v>
      </c>
      <c r="Y408" t="str">
        <f t="shared" si="134"/>
        <v>Medium</v>
      </c>
      <c r="Z408" s="20">
        <f t="shared" si="135"/>
        <v>45383</v>
      </c>
      <c r="AA408" s="4">
        <f t="array" ref="AA408">MIN(IF($F$2:$F$633=F408,$Z$2:$Z$633))</f>
        <v>44927</v>
      </c>
      <c r="AB408">
        <f t="shared" si="136"/>
        <v>15</v>
      </c>
      <c r="AC408">
        <f t="shared" si="137"/>
        <v>0</v>
      </c>
      <c r="AD408">
        <f t="shared" si="138"/>
        <v>1</v>
      </c>
      <c r="AE408" s="13">
        <f t="shared" si="139"/>
        <v>0</v>
      </c>
      <c r="AH408">
        <f t="shared" si="140"/>
        <v>15.6</v>
      </c>
      <c r="AI408">
        <f t="shared" si="141"/>
        <v>461.495</v>
      </c>
      <c r="AJ408" s="11">
        <f t="shared" si="142"/>
        <v>0.22500000000000001</v>
      </c>
      <c r="AK408">
        <f t="shared" si="143"/>
        <v>9992.0223000000005</v>
      </c>
      <c r="AL408">
        <f t="shared" si="144"/>
        <v>7199.3220000000001</v>
      </c>
      <c r="AM408">
        <f t="shared" si="145"/>
        <v>2792.7003000000004</v>
      </c>
    </row>
    <row r="409" spans="1:39" x14ac:dyDescent="0.25">
      <c r="A409" t="s">
        <v>537</v>
      </c>
      <c r="B409" s="4">
        <v>45406</v>
      </c>
      <c r="C409" s="4">
        <v>45422</v>
      </c>
      <c r="D409" s="13">
        <f t="shared" si="126"/>
        <v>16</v>
      </c>
      <c r="E409" s="6" t="s">
        <v>646</v>
      </c>
      <c r="F409" t="s">
        <v>650</v>
      </c>
      <c r="G409" t="s">
        <v>662</v>
      </c>
      <c r="H409" t="s">
        <v>703</v>
      </c>
      <c r="I409" t="s">
        <v>708</v>
      </c>
      <c r="J409" t="s">
        <v>725</v>
      </c>
      <c r="K409" t="s">
        <v>732</v>
      </c>
      <c r="L409" t="s">
        <v>1256</v>
      </c>
      <c r="M409" s="8">
        <v>513.30999999999995</v>
      </c>
      <c r="N409" s="8">
        <v>1186.26</v>
      </c>
      <c r="O409" s="8">
        <f t="shared" si="127"/>
        <v>1186.26</v>
      </c>
      <c r="P409" s="11">
        <v>9.4E-2</v>
      </c>
      <c r="Q409" s="13">
        <v>15</v>
      </c>
      <c r="R409" s="8">
        <f t="shared" si="128"/>
        <v>16121.273400000002</v>
      </c>
      <c r="S409" s="8">
        <f t="shared" si="129"/>
        <v>7699.65</v>
      </c>
      <c r="T409" s="8">
        <f t="shared" si="130"/>
        <v>8421.6234000000022</v>
      </c>
      <c r="U409" s="11">
        <f t="shared" si="131"/>
        <v>0.52239194702820446</v>
      </c>
      <c r="V409" s="17">
        <v>45439</v>
      </c>
      <c r="W409" s="4" t="str">
        <f t="shared" si="132"/>
        <v>Q2-2024</v>
      </c>
      <c r="X409" t="str">
        <f t="shared" si="133"/>
        <v>Africa → Kenya → Kisumu</v>
      </c>
      <c r="Y409" t="str">
        <f t="shared" si="134"/>
        <v>Medium</v>
      </c>
      <c r="Z409" s="20">
        <f t="shared" si="135"/>
        <v>45383</v>
      </c>
      <c r="AA409" s="4">
        <f t="array" ref="AA409">MIN(IF($F$2:$F$633=F409,$Z$2:$Z$633))</f>
        <v>44927</v>
      </c>
      <c r="AB409">
        <f t="shared" si="136"/>
        <v>15</v>
      </c>
      <c r="AC409">
        <f t="shared" si="137"/>
        <v>0</v>
      </c>
      <c r="AD409">
        <f t="shared" si="138"/>
        <v>0</v>
      </c>
      <c r="AE409" s="13">
        <f t="shared" si="139"/>
        <v>0</v>
      </c>
      <c r="AH409">
        <f t="shared" si="140"/>
        <v>18</v>
      </c>
      <c r="AI409">
        <f t="shared" si="141"/>
        <v>590.30649999999991</v>
      </c>
      <c r="AJ409" s="11">
        <f t="shared" si="142"/>
        <v>9.4E-2</v>
      </c>
      <c r="AK409">
        <f t="shared" si="143"/>
        <v>19345.52808</v>
      </c>
      <c r="AL409">
        <f t="shared" si="144"/>
        <v>10625.516999999998</v>
      </c>
      <c r="AM409">
        <f t="shared" si="145"/>
        <v>8720.011080000002</v>
      </c>
    </row>
    <row r="410" spans="1:39" x14ac:dyDescent="0.25">
      <c r="A410" t="s">
        <v>573</v>
      </c>
      <c r="B410" s="4">
        <v>45430</v>
      </c>
      <c r="C410" s="4">
        <v>45434</v>
      </c>
      <c r="D410" s="13">
        <f t="shared" si="126"/>
        <v>4</v>
      </c>
      <c r="E410" s="6" t="s">
        <v>646</v>
      </c>
      <c r="F410" t="s">
        <v>650</v>
      </c>
      <c r="G410" t="s">
        <v>664</v>
      </c>
      <c r="H410" t="s">
        <v>701</v>
      </c>
      <c r="I410" t="s">
        <v>711</v>
      </c>
      <c r="J410" t="s">
        <v>722</v>
      </c>
      <c r="K410" t="s">
        <v>733</v>
      </c>
      <c r="L410" t="s">
        <v>1291</v>
      </c>
      <c r="M410" s="8">
        <v>857.42</v>
      </c>
      <c r="N410" s="8">
        <v>1658.92</v>
      </c>
      <c r="O410" s="8">
        <f t="shared" si="127"/>
        <v>1658.92</v>
      </c>
      <c r="P410" s="11">
        <v>0.122</v>
      </c>
      <c r="Q410" s="13">
        <v>9</v>
      </c>
      <c r="R410" s="8">
        <f t="shared" si="128"/>
        <v>13108.78584</v>
      </c>
      <c r="S410" s="8">
        <f t="shared" si="129"/>
        <v>7716.78</v>
      </c>
      <c r="T410" s="8">
        <f t="shared" si="130"/>
        <v>5392.0058400000007</v>
      </c>
      <c r="U410" s="11">
        <f t="shared" si="131"/>
        <v>0.41132763215544305</v>
      </c>
      <c r="V410" s="17">
        <v>45416</v>
      </c>
      <c r="W410" s="4" t="str">
        <f t="shared" si="132"/>
        <v>Q2-2024</v>
      </c>
      <c r="X410" t="str">
        <f t="shared" si="133"/>
        <v>Africa → Kenya → Nairobi</v>
      </c>
      <c r="Y410" t="str">
        <f t="shared" si="134"/>
        <v>High</v>
      </c>
      <c r="Z410" s="20">
        <f t="shared" si="135"/>
        <v>45413</v>
      </c>
      <c r="AA410" s="4">
        <f t="array" ref="AA410">MIN(IF($F$2:$F$633=F410,$Z$2:$Z$633))</f>
        <v>44927</v>
      </c>
      <c r="AB410">
        <f t="shared" si="136"/>
        <v>16</v>
      </c>
      <c r="AC410">
        <f t="shared" si="137"/>
        <v>1</v>
      </c>
      <c r="AD410">
        <f t="shared" si="138"/>
        <v>0</v>
      </c>
      <c r="AE410" s="13">
        <f t="shared" si="139"/>
        <v>1</v>
      </c>
      <c r="AH410">
        <f t="shared" si="140"/>
        <v>10.799999999999999</v>
      </c>
      <c r="AI410">
        <f t="shared" si="141"/>
        <v>986.0329999999999</v>
      </c>
      <c r="AJ410" s="11">
        <f t="shared" si="142"/>
        <v>0.122</v>
      </c>
      <c r="AK410">
        <f t="shared" si="143"/>
        <v>15730.543007999999</v>
      </c>
      <c r="AL410">
        <f t="shared" si="144"/>
        <v>10649.156399999998</v>
      </c>
      <c r="AM410">
        <f t="shared" si="145"/>
        <v>5081.3866080000007</v>
      </c>
    </row>
    <row r="411" spans="1:39" x14ac:dyDescent="0.25">
      <c r="A411" t="s">
        <v>380</v>
      </c>
      <c r="B411" s="4">
        <v>45445</v>
      </c>
      <c r="C411" s="4">
        <v>45458</v>
      </c>
      <c r="D411" s="13">
        <f t="shared" si="126"/>
        <v>13</v>
      </c>
      <c r="E411" s="6" t="s">
        <v>646</v>
      </c>
      <c r="F411" t="s">
        <v>650</v>
      </c>
      <c r="G411" t="s">
        <v>675</v>
      </c>
      <c r="H411" t="s">
        <v>702</v>
      </c>
      <c r="I411" t="s">
        <v>708</v>
      </c>
      <c r="J411" t="s">
        <v>719</v>
      </c>
      <c r="K411" t="s">
        <v>730</v>
      </c>
      <c r="L411" t="s">
        <v>1100</v>
      </c>
      <c r="M411" s="8">
        <v>1295.18</v>
      </c>
      <c r="N411" s="8">
        <v>3024.03</v>
      </c>
      <c r="O411" s="8">
        <f t="shared" si="127"/>
        <v>3024.03</v>
      </c>
      <c r="P411" s="11">
        <v>0.192</v>
      </c>
      <c r="Q411" s="13">
        <v>8</v>
      </c>
      <c r="R411" s="8">
        <f t="shared" si="128"/>
        <v>19547.329920000004</v>
      </c>
      <c r="S411" s="8">
        <f t="shared" si="129"/>
        <v>10361.44</v>
      </c>
      <c r="T411" s="8">
        <f t="shared" si="130"/>
        <v>9185.8899200000033</v>
      </c>
      <c r="U411" s="11">
        <f t="shared" si="131"/>
        <v>0.46993067378483178</v>
      </c>
      <c r="V411" s="17">
        <v>45422</v>
      </c>
      <c r="W411" s="4" t="str">
        <f t="shared" si="132"/>
        <v>Q2-2024</v>
      </c>
      <c r="X411" t="str">
        <f t="shared" si="133"/>
        <v>Africa → Kenya → Mombasa</v>
      </c>
      <c r="Y411" t="str">
        <f t="shared" si="134"/>
        <v>High</v>
      </c>
      <c r="Z411" s="20">
        <f t="shared" si="135"/>
        <v>45444</v>
      </c>
      <c r="AA411" s="4">
        <f t="array" ref="AA411">MIN(IF($F$2:$F$633=F411,$Z$2:$Z$633))</f>
        <v>44927</v>
      </c>
      <c r="AB411">
        <f t="shared" si="136"/>
        <v>17</v>
      </c>
      <c r="AC411">
        <f t="shared" si="137"/>
        <v>0</v>
      </c>
      <c r="AD411">
        <f t="shared" si="138"/>
        <v>0</v>
      </c>
      <c r="AE411" s="13">
        <f t="shared" si="139"/>
        <v>0</v>
      </c>
      <c r="AH411">
        <f t="shared" si="140"/>
        <v>9.6</v>
      </c>
      <c r="AI411">
        <f t="shared" si="141"/>
        <v>1489.4569999999999</v>
      </c>
      <c r="AJ411" s="11">
        <f t="shared" si="142"/>
        <v>0.192</v>
      </c>
      <c r="AK411">
        <f t="shared" si="143"/>
        <v>23456.795904000002</v>
      </c>
      <c r="AL411">
        <f t="shared" si="144"/>
        <v>14298.787199999999</v>
      </c>
      <c r="AM411">
        <f t="shared" si="145"/>
        <v>9158.0087040000035</v>
      </c>
    </row>
    <row r="412" spans="1:39" x14ac:dyDescent="0.25">
      <c r="A412" t="s">
        <v>124</v>
      </c>
      <c r="B412" s="4">
        <v>45445</v>
      </c>
      <c r="C412" s="4">
        <v>45451</v>
      </c>
      <c r="D412" s="13">
        <f t="shared" si="126"/>
        <v>6</v>
      </c>
      <c r="E412" s="6" t="s">
        <v>646</v>
      </c>
      <c r="F412" t="s">
        <v>650</v>
      </c>
      <c r="G412" t="s">
        <v>662</v>
      </c>
      <c r="H412" t="s">
        <v>704</v>
      </c>
      <c r="I412" t="s">
        <v>709</v>
      </c>
      <c r="J412" t="s">
        <v>720</v>
      </c>
      <c r="K412" t="s">
        <v>733</v>
      </c>
      <c r="L412" t="s">
        <v>843</v>
      </c>
      <c r="M412" s="8">
        <v>292.94</v>
      </c>
      <c r="N412" s="8">
        <v>356.55</v>
      </c>
      <c r="O412" s="8">
        <f t="shared" si="127"/>
        <v>356.55</v>
      </c>
      <c r="P412" s="11">
        <v>0.22900000000000001</v>
      </c>
      <c r="Q412" s="13">
        <v>2</v>
      </c>
      <c r="R412" s="8">
        <f t="shared" si="128"/>
        <v>549.80010000000004</v>
      </c>
      <c r="S412" s="8">
        <f t="shared" si="129"/>
        <v>585.88</v>
      </c>
      <c r="T412" s="8">
        <f t="shared" si="130"/>
        <v>-36.079899999999952</v>
      </c>
      <c r="U412" s="11">
        <f t="shared" si="131"/>
        <v>-6.5623669402751925E-2</v>
      </c>
      <c r="V412" s="17">
        <v>45413</v>
      </c>
      <c r="W412" s="4" t="str">
        <f t="shared" si="132"/>
        <v>Q2-2024</v>
      </c>
      <c r="X412" t="str">
        <f t="shared" si="133"/>
        <v>Africa → Kenya → Kisumu</v>
      </c>
      <c r="Y412" t="str">
        <f t="shared" si="134"/>
        <v>Low</v>
      </c>
      <c r="Z412" s="20">
        <f t="shared" si="135"/>
        <v>45444</v>
      </c>
      <c r="AA412" s="4">
        <f t="array" ref="AA412">MIN(IF($F$2:$F$633=F412,$Z$2:$Z$633))</f>
        <v>44927</v>
      </c>
      <c r="AB412">
        <f t="shared" si="136"/>
        <v>17</v>
      </c>
      <c r="AC412">
        <f t="shared" si="137"/>
        <v>1</v>
      </c>
      <c r="AD412">
        <f t="shared" si="138"/>
        <v>1</v>
      </c>
      <c r="AE412" s="13">
        <f t="shared" si="139"/>
        <v>1</v>
      </c>
      <c r="AH412">
        <f t="shared" si="140"/>
        <v>2.4</v>
      </c>
      <c r="AI412">
        <f t="shared" si="141"/>
        <v>336.88099999999997</v>
      </c>
      <c r="AJ412" s="11">
        <f t="shared" si="142"/>
        <v>0.22900000000000001</v>
      </c>
      <c r="AK412">
        <f t="shared" si="143"/>
        <v>659.76012000000003</v>
      </c>
      <c r="AL412">
        <f t="shared" si="144"/>
        <v>808.51439999999991</v>
      </c>
      <c r="AM412">
        <f t="shared" si="145"/>
        <v>-148.75427999999988</v>
      </c>
    </row>
    <row r="413" spans="1:39" x14ac:dyDescent="0.25">
      <c r="A413" t="s">
        <v>542</v>
      </c>
      <c r="B413" s="4">
        <v>45448</v>
      </c>
      <c r="C413" s="4">
        <v>45466</v>
      </c>
      <c r="D413" s="13">
        <f t="shared" si="126"/>
        <v>18</v>
      </c>
      <c r="E413" s="6" t="s">
        <v>646</v>
      </c>
      <c r="F413" t="s">
        <v>650</v>
      </c>
      <c r="G413" t="s">
        <v>664</v>
      </c>
      <c r="H413" t="s">
        <v>704</v>
      </c>
      <c r="I413" t="s">
        <v>710</v>
      </c>
      <c r="J413" t="s">
        <v>726</v>
      </c>
      <c r="K413" t="s">
        <v>731</v>
      </c>
      <c r="L413" t="s">
        <v>1261</v>
      </c>
      <c r="M413" s="8">
        <v>1208.74</v>
      </c>
      <c r="N413" s="8">
        <v>1594.78</v>
      </c>
      <c r="O413" s="8">
        <f t="shared" si="127"/>
        <v>1594.78</v>
      </c>
      <c r="P413" s="11">
        <v>5.8999999999999997E-2</v>
      </c>
      <c r="Q413" s="13">
        <v>39</v>
      </c>
      <c r="R413" s="8">
        <f t="shared" si="128"/>
        <v>58526.83122</v>
      </c>
      <c r="S413" s="8">
        <f t="shared" si="129"/>
        <v>47140.86</v>
      </c>
      <c r="T413" s="8">
        <f t="shared" si="130"/>
        <v>11385.971219999999</v>
      </c>
      <c r="U413" s="11">
        <f t="shared" si="131"/>
        <v>0.1945427589817838</v>
      </c>
      <c r="V413" s="17">
        <v>45400</v>
      </c>
      <c r="W413" s="4" t="str">
        <f t="shared" si="132"/>
        <v>Q2-2024</v>
      </c>
      <c r="X413" t="str">
        <f t="shared" si="133"/>
        <v>Africa → Kenya → Nairobi</v>
      </c>
      <c r="Y413" t="str">
        <f t="shared" si="134"/>
        <v>Medium</v>
      </c>
      <c r="Z413" s="20">
        <f t="shared" si="135"/>
        <v>45444</v>
      </c>
      <c r="AA413" s="4">
        <f t="array" ref="AA413">MIN(IF($F$2:$F$633=F413,$Z$2:$Z$633))</f>
        <v>44927</v>
      </c>
      <c r="AB413">
        <f t="shared" si="136"/>
        <v>17</v>
      </c>
      <c r="AC413">
        <f t="shared" si="137"/>
        <v>0</v>
      </c>
      <c r="AD413">
        <f t="shared" si="138"/>
        <v>0</v>
      </c>
      <c r="AE413" s="13">
        <f t="shared" si="139"/>
        <v>0</v>
      </c>
      <c r="AH413">
        <f t="shared" si="140"/>
        <v>46.8</v>
      </c>
      <c r="AI413">
        <f t="shared" si="141"/>
        <v>1390.0509999999999</v>
      </c>
      <c r="AJ413" s="11">
        <f t="shared" si="142"/>
        <v>5.8999999999999997E-2</v>
      </c>
      <c r="AK413">
        <f t="shared" si="143"/>
        <v>70232.197463999997</v>
      </c>
      <c r="AL413">
        <f t="shared" si="144"/>
        <v>65054.386799999993</v>
      </c>
      <c r="AM413">
        <f t="shared" si="145"/>
        <v>5177.8106640000042</v>
      </c>
    </row>
    <row r="414" spans="1:39" x14ac:dyDescent="0.25">
      <c r="A414" t="s">
        <v>318</v>
      </c>
      <c r="B414" s="4">
        <v>45462</v>
      </c>
      <c r="C414" s="4">
        <v>45463</v>
      </c>
      <c r="D414" s="13">
        <f t="shared" si="126"/>
        <v>1</v>
      </c>
      <c r="E414" s="6" t="s">
        <v>646</v>
      </c>
      <c r="F414" t="s">
        <v>650</v>
      </c>
      <c r="G414" t="s">
        <v>662</v>
      </c>
      <c r="H414" t="s">
        <v>705</v>
      </c>
      <c r="I414" t="s">
        <v>711</v>
      </c>
      <c r="J414" t="s">
        <v>713</v>
      </c>
      <c r="K414" t="s">
        <v>731</v>
      </c>
      <c r="L414" t="s">
        <v>1038</v>
      </c>
      <c r="M414" s="8">
        <v>231.63</v>
      </c>
      <c r="N414" s="8">
        <v>537.39</v>
      </c>
      <c r="O414" s="8">
        <f t="shared" si="127"/>
        <v>537.39</v>
      </c>
      <c r="P414" s="11">
        <v>0.08</v>
      </c>
      <c r="Q414" s="13">
        <v>12</v>
      </c>
      <c r="R414" s="8">
        <f t="shared" si="128"/>
        <v>5932.7856000000002</v>
      </c>
      <c r="S414" s="8">
        <f t="shared" si="129"/>
        <v>2779.56</v>
      </c>
      <c r="T414" s="8">
        <f t="shared" si="130"/>
        <v>3153.2256000000002</v>
      </c>
      <c r="U414" s="11">
        <f t="shared" si="131"/>
        <v>0.53149158129024587</v>
      </c>
      <c r="V414" s="17">
        <v>45367</v>
      </c>
      <c r="W414" s="4" t="str">
        <f t="shared" si="132"/>
        <v>Q2-2024</v>
      </c>
      <c r="X414" t="str">
        <f t="shared" si="133"/>
        <v>Africa → Kenya → Kisumu</v>
      </c>
      <c r="Y414" t="str">
        <f t="shared" si="134"/>
        <v>Low</v>
      </c>
      <c r="Z414" s="20">
        <f t="shared" si="135"/>
        <v>45444</v>
      </c>
      <c r="AA414" s="4">
        <f t="array" ref="AA414">MIN(IF($F$2:$F$633=F414,$Z$2:$Z$633))</f>
        <v>44927</v>
      </c>
      <c r="AB414">
        <f t="shared" si="136"/>
        <v>17</v>
      </c>
      <c r="AC414">
        <f t="shared" si="137"/>
        <v>1</v>
      </c>
      <c r="AD414">
        <f t="shared" si="138"/>
        <v>0</v>
      </c>
      <c r="AE414" s="13">
        <f t="shared" si="139"/>
        <v>1</v>
      </c>
      <c r="AH414">
        <f t="shared" si="140"/>
        <v>14.399999999999999</v>
      </c>
      <c r="AI414">
        <f t="shared" si="141"/>
        <v>266.37449999999995</v>
      </c>
      <c r="AJ414" s="11">
        <f t="shared" si="142"/>
        <v>0.08</v>
      </c>
      <c r="AK414">
        <f t="shared" si="143"/>
        <v>7119.3427199999996</v>
      </c>
      <c r="AL414">
        <f t="shared" si="144"/>
        <v>3835.7927999999988</v>
      </c>
      <c r="AM414">
        <f t="shared" si="145"/>
        <v>3283.5499200000008</v>
      </c>
    </row>
    <row r="415" spans="1:39" x14ac:dyDescent="0.25">
      <c r="A415" t="s">
        <v>627</v>
      </c>
      <c r="B415" s="4">
        <v>45468</v>
      </c>
      <c r="C415" s="4">
        <v>45473</v>
      </c>
      <c r="D415" s="13">
        <f t="shared" si="126"/>
        <v>5</v>
      </c>
      <c r="E415" s="6" t="s">
        <v>646</v>
      </c>
      <c r="F415" t="s">
        <v>650</v>
      </c>
      <c r="G415" t="s">
        <v>662</v>
      </c>
      <c r="H415" t="s">
        <v>702</v>
      </c>
      <c r="I415" t="s">
        <v>711</v>
      </c>
      <c r="J415" t="s">
        <v>724</v>
      </c>
      <c r="K415" t="s">
        <v>729</v>
      </c>
      <c r="L415" t="s">
        <v>1345</v>
      </c>
      <c r="M415" s="8">
        <v>1323.55</v>
      </c>
      <c r="N415" s="8">
        <v>3230.35</v>
      </c>
      <c r="O415" s="8">
        <f t="shared" si="127"/>
        <v>3230.35</v>
      </c>
      <c r="P415" s="11">
        <v>2.1999999999999999E-2</v>
      </c>
      <c r="Q415" s="13">
        <v>26</v>
      </c>
      <c r="R415" s="8">
        <f t="shared" si="128"/>
        <v>82141.339799999987</v>
      </c>
      <c r="S415" s="8">
        <f t="shared" si="129"/>
        <v>34412.299999999996</v>
      </c>
      <c r="T415" s="8">
        <f t="shared" si="130"/>
        <v>47729.039799999991</v>
      </c>
      <c r="U415" s="11">
        <f t="shared" si="131"/>
        <v>0.58105991351263542</v>
      </c>
      <c r="V415" s="17">
        <v>45366</v>
      </c>
      <c r="W415" s="4" t="str">
        <f t="shared" si="132"/>
        <v>Q2-2024</v>
      </c>
      <c r="X415" t="str">
        <f t="shared" si="133"/>
        <v>Africa → Kenya → Kisumu</v>
      </c>
      <c r="Y415" t="str">
        <f t="shared" si="134"/>
        <v>High</v>
      </c>
      <c r="Z415" s="20">
        <f t="shared" si="135"/>
        <v>45444</v>
      </c>
      <c r="AA415" s="4">
        <f t="array" ref="AA415">MIN(IF($F$2:$F$633=F415,$Z$2:$Z$633))</f>
        <v>44927</v>
      </c>
      <c r="AB415">
        <f t="shared" si="136"/>
        <v>17</v>
      </c>
      <c r="AC415">
        <f t="shared" si="137"/>
        <v>1</v>
      </c>
      <c r="AD415">
        <f t="shared" si="138"/>
        <v>0</v>
      </c>
      <c r="AE415" s="13">
        <f t="shared" si="139"/>
        <v>1</v>
      </c>
      <c r="AH415">
        <f t="shared" si="140"/>
        <v>31.2</v>
      </c>
      <c r="AI415">
        <f t="shared" si="141"/>
        <v>1522.0824999999998</v>
      </c>
      <c r="AJ415" s="11">
        <f t="shared" si="142"/>
        <v>2.1999999999999999E-2</v>
      </c>
      <c r="AK415">
        <f t="shared" si="143"/>
        <v>98569.607759999999</v>
      </c>
      <c r="AL415">
        <f t="shared" si="144"/>
        <v>47488.973999999995</v>
      </c>
      <c r="AM415">
        <f t="shared" si="145"/>
        <v>51080.633760000004</v>
      </c>
    </row>
    <row r="416" spans="1:39" x14ac:dyDescent="0.25">
      <c r="A416" t="s">
        <v>609</v>
      </c>
      <c r="B416" s="4">
        <v>45473</v>
      </c>
      <c r="C416" s="4">
        <v>45494</v>
      </c>
      <c r="D416" s="13">
        <f t="shared" si="126"/>
        <v>21</v>
      </c>
      <c r="E416" s="6" t="s">
        <v>646</v>
      </c>
      <c r="F416" t="s">
        <v>650</v>
      </c>
      <c r="G416" t="s">
        <v>662</v>
      </c>
      <c r="H416" t="s">
        <v>705</v>
      </c>
      <c r="I416" t="s">
        <v>707</v>
      </c>
      <c r="J416" t="s">
        <v>723</v>
      </c>
      <c r="K416" t="s">
        <v>731</v>
      </c>
      <c r="L416" t="s">
        <v>1327</v>
      </c>
      <c r="M416" s="8">
        <v>753.43</v>
      </c>
      <c r="N416" s="8">
        <v>1787.2</v>
      </c>
      <c r="O416" s="8">
        <f t="shared" si="127"/>
        <v>1787.2</v>
      </c>
      <c r="P416" s="11">
        <v>7.2999999999999995E-2</v>
      </c>
      <c r="Q416" s="13">
        <v>9</v>
      </c>
      <c r="R416" s="8">
        <f t="shared" si="128"/>
        <v>14910.609600000002</v>
      </c>
      <c r="S416" s="8">
        <f t="shared" si="129"/>
        <v>6780.87</v>
      </c>
      <c r="T416" s="8">
        <f t="shared" si="130"/>
        <v>8129.7396000000017</v>
      </c>
      <c r="U416" s="11">
        <f t="shared" si="131"/>
        <v>0.54523187301476939</v>
      </c>
      <c r="V416" s="17">
        <v>45364</v>
      </c>
      <c r="W416" s="4" t="str">
        <f t="shared" si="132"/>
        <v>Q2-2024</v>
      </c>
      <c r="X416" t="str">
        <f t="shared" si="133"/>
        <v>Africa → Kenya → Kisumu</v>
      </c>
      <c r="Y416" t="str">
        <f t="shared" si="134"/>
        <v>High</v>
      </c>
      <c r="Z416" s="20">
        <f t="shared" si="135"/>
        <v>45444</v>
      </c>
      <c r="AA416" s="4">
        <f t="array" ref="AA416">MIN(IF($F$2:$F$633=F416,$Z$2:$Z$633))</f>
        <v>44927</v>
      </c>
      <c r="AB416">
        <f t="shared" si="136"/>
        <v>17</v>
      </c>
      <c r="AC416">
        <f t="shared" si="137"/>
        <v>0</v>
      </c>
      <c r="AD416">
        <f t="shared" si="138"/>
        <v>0</v>
      </c>
      <c r="AE416" s="13">
        <f t="shared" si="139"/>
        <v>0</v>
      </c>
      <c r="AH416">
        <f t="shared" si="140"/>
        <v>10.799999999999999</v>
      </c>
      <c r="AI416">
        <f t="shared" si="141"/>
        <v>866.44449999999983</v>
      </c>
      <c r="AJ416" s="11">
        <f t="shared" si="142"/>
        <v>7.2999999999999995E-2</v>
      </c>
      <c r="AK416">
        <f t="shared" si="143"/>
        <v>17892.731520000001</v>
      </c>
      <c r="AL416">
        <f t="shared" si="144"/>
        <v>9357.6005999999979</v>
      </c>
      <c r="AM416">
        <f t="shared" si="145"/>
        <v>8535.1309200000032</v>
      </c>
    </row>
    <row r="417" spans="1:39" x14ac:dyDescent="0.25">
      <c r="A417" t="s">
        <v>42</v>
      </c>
      <c r="B417" s="4">
        <v>45492</v>
      </c>
      <c r="C417" s="4">
        <v>45492</v>
      </c>
      <c r="D417" s="13">
        <f t="shared" si="126"/>
        <v>0</v>
      </c>
      <c r="E417" s="6" t="s">
        <v>646</v>
      </c>
      <c r="F417" t="s">
        <v>650</v>
      </c>
      <c r="G417" t="s">
        <v>662</v>
      </c>
      <c r="H417" t="s">
        <v>705</v>
      </c>
      <c r="I417" t="s">
        <v>707</v>
      </c>
      <c r="J417" t="s">
        <v>720</v>
      </c>
      <c r="K417" t="s">
        <v>730</v>
      </c>
      <c r="L417" t="s">
        <v>761</v>
      </c>
      <c r="M417" s="8">
        <v>857.24</v>
      </c>
      <c r="N417" s="8">
        <v>758.23</v>
      </c>
      <c r="O417" s="8">
        <f t="shared" si="127"/>
        <v>758.23</v>
      </c>
      <c r="P417" s="11">
        <v>0.125</v>
      </c>
      <c r="Q417" s="13">
        <v>6</v>
      </c>
      <c r="R417" s="8">
        <f t="shared" si="128"/>
        <v>3980.7075</v>
      </c>
      <c r="S417" s="8">
        <f t="shared" si="129"/>
        <v>5143.4400000000005</v>
      </c>
      <c r="T417" s="8">
        <f t="shared" si="130"/>
        <v>-1162.7325000000005</v>
      </c>
      <c r="U417" s="11">
        <f t="shared" si="131"/>
        <v>-0.29209192084572921</v>
      </c>
      <c r="V417" s="17">
        <v>45357</v>
      </c>
      <c r="W417" s="4" t="str">
        <f t="shared" si="132"/>
        <v>Q3-2024</v>
      </c>
      <c r="X417" t="str">
        <f t="shared" si="133"/>
        <v>Africa → Kenya → Kisumu</v>
      </c>
      <c r="Y417" t="str">
        <f t="shared" si="134"/>
        <v>Low</v>
      </c>
      <c r="Z417" s="20">
        <f t="shared" si="135"/>
        <v>45474</v>
      </c>
      <c r="AA417" s="4">
        <f t="array" ref="AA417">MIN(IF($F$2:$F$633=F417,$Z$2:$Z$633))</f>
        <v>44927</v>
      </c>
      <c r="AB417">
        <f t="shared" si="136"/>
        <v>18</v>
      </c>
      <c r="AC417">
        <f t="shared" si="137"/>
        <v>1</v>
      </c>
      <c r="AD417">
        <f t="shared" si="138"/>
        <v>0</v>
      </c>
      <c r="AE417" s="13">
        <f t="shared" si="139"/>
        <v>1</v>
      </c>
      <c r="AH417">
        <f t="shared" si="140"/>
        <v>7.1999999999999993</v>
      </c>
      <c r="AI417">
        <f t="shared" si="141"/>
        <v>985.82599999999991</v>
      </c>
      <c r="AJ417" s="11">
        <f t="shared" si="142"/>
        <v>0.125</v>
      </c>
      <c r="AK417">
        <f t="shared" si="143"/>
        <v>4776.8489999999993</v>
      </c>
      <c r="AL417">
        <f t="shared" si="144"/>
        <v>7097.9471999999987</v>
      </c>
      <c r="AM417">
        <f t="shared" si="145"/>
        <v>-2321.0981999999995</v>
      </c>
    </row>
    <row r="418" spans="1:39" x14ac:dyDescent="0.25">
      <c r="A418" t="s">
        <v>35</v>
      </c>
      <c r="B418" s="4">
        <v>45497</v>
      </c>
      <c r="C418" s="4">
        <v>45498</v>
      </c>
      <c r="D418" s="13">
        <f t="shared" si="126"/>
        <v>1</v>
      </c>
      <c r="E418" s="6" t="s">
        <v>646</v>
      </c>
      <c r="F418" t="s">
        <v>650</v>
      </c>
      <c r="G418" t="s">
        <v>675</v>
      </c>
      <c r="H418" t="s">
        <v>703</v>
      </c>
      <c r="I418" t="s">
        <v>711</v>
      </c>
      <c r="J418" t="s">
        <v>713</v>
      </c>
      <c r="K418" t="s">
        <v>731</v>
      </c>
      <c r="L418" t="s">
        <v>754</v>
      </c>
      <c r="M418" s="8">
        <v>1494.4</v>
      </c>
      <c r="N418" s="8">
        <v>3661.07</v>
      </c>
      <c r="O418" s="8">
        <f t="shared" si="127"/>
        <v>3661.07</v>
      </c>
      <c r="P418" s="11">
        <v>7.1999999999999995E-2</v>
      </c>
      <c r="Q418" s="13">
        <v>7</v>
      </c>
      <c r="R418" s="8">
        <f t="shared" si="128"/>
        <v>23782.310720000001</v>
      </c>
      <c r="S418" s="8">
        <f t="shared" si="129"/>
        <v>10460.800000000001</v>
      </c>
      <c r="T418" s="8">
        <f t="shared" si="130"/>
        <v>13321.51072</v>
      </c>
      <c r="U418" s="11">
        <f t="shared" si="131"/>
        <v>0.56014366630897339</v>
      </c>
      <c r="V418" s="17">
        <v>45358</v>
      </c>
      <c r="W418" s="4" t="str">
        <f t="shared" si="132"/>
        <v>Q3-2024</v>
      </c>
      <c r="X418" t="str">
        <f t="shared" si="133"/>
        <v>Africa → Kenya → Mombasa</v>
      </c>
      <c r="Y418" t="str">
        <f t="shared" si="134"/>
        <v>High</v>
      </c>
      <c r="Z418" s="20">
        <f t="shared" si="135"/>
        <v>45474</v>
      </c>
      <c r="AA418" s="4">
        <f t="array" ref="AA418">MIN(IF($F$2:$F$633=F418,$Z$2:$Z$633))</f>
        <v>44927</v>
      </c>
      <c r="AB418">
        <f t="shared" si="136"/>
        <v>18</v>
      </c>
      <c r="AC418">
        <f t="shared" si="137"/>
        <v>1</v>
      </c>
      <c r="AD418">
        <f t="shared" si="138"/>
        <v>0</v>
      </c>
      <c r="AE418" s="13">
        <f t="shared" si="139"/>
        <v>1</v>
      </c>
      <c r="AH418">
        <f t="shared" si="140"/>
        <v>8.4</v>
      </c>
      <c r="AI418">
        <f t="shared" si="141"/>
        <v>1718.56</v>
      </c>
      <c r="AJ418" s="11">
        <f t="shared" si="142"/>
        <v>7.1999999999999995E-2</v>
      </c>
      <c r="AK418">
        <f t="shared" si="143"/>
        <v>28538.772864000002</v>
      </c>
      <c r="AL418">
        <f t="shared" si="144"/>
        <v>14435.904</v>
      </c>
      <c r="AM418">
        <f t="shared" si="145"/>
        <v>14102.868864000002</v>
      </c>
    </row>
    <row r="419" spans="1:39" x14ac:dyDescent="0.25">
      <c r="A419" t="s">
        <v>598</v>
      </c>
      <c r="B419" s="4">
        <v>45507</v>
      </c>
      <c r="C419" s="4">
        <v>45513</v>
      </c>
      <c r="D419" s="13">
        <f t="shared" si="126"/>
        <v>6</v>
      </c>
      <c r="E419" s="6" t="s">
        <v>646</v>
      </c>
      <c r="F419" t="s">
        <v>650</v>
      </c>
      <c r="G419" t="s">
        <v>675</v>
      </c>
      <c r="H419" t="s">
        <v>704</v>
      </c>
      <c r="I419" t="s">
        <v>709</v>
      </c>
      <c r="J419" t="s">
        <v>722</v>
      </c>
      <c r="K419" t="s">
        <v>731</v>
      </c>
      <c r="L419" t="s">
        <v>1316</v>
      </c>
      <c r="M419" s="8">
        <v>643.21</v>
      </c>
      <c r="N419" s="8">
        <v>1112.81</v>
      </c>
      <c r="O419" s="8">
        <f t="shared" si="127"/>
        <v>1112.81</v>
      </c>
      <c r="P419" s="11">
        <v>0.14099999999999999</v>
      </c>
      <c r="Q419" s="13">
        <v>4</v>
      </c>
      <c r="R419" s="8">
        <f t="shared" si="128"/>
        <v>3823.6151599999998</v>
      </c>
      <c r="S419" s="8">
        <f t="shared" si="129"/>
        <v>2572.84</v>
      </c>
      <c r="T419" s="8">
        <f t="shared" si="130"/>
        <v>1250.7751599999997</v>
      </c>
      <c r="U419" s="11">
        <f t="shared" si="131"/>
        <v>0.32711847496702562</v>
      </c>
      <c r="V419" s="17">
        <v>45355</v>
      </c>
      <c r="W419" s="4" t="str">
        <f t="shared" si="132"/>
        <v>Q3-2024</v>
      </c>
      <c r="X419" t="str">
        <f t="shared" si="133"/>
        <v>Africa → Kenya → Mombasa</v>
      </c>
      <c r="Y419" t="str">
        <f t="shared" si="134"/>
        <v>Medium</v>
      </c>
      <c r="Z419" s="20">
        <f t="shared" si="135"/>
        <v>45505</v>
      </c>
      <c r="AA419" s="4">
        <f t="array" ref="AA419">MIN(IF($F$2:$F$633=F419,$Z$2:$Z$633))</f>
        <v>44927</v>
      </c>
      <c r="AB419">
        <f t="shared" si="136"/>
        <v>19</v>
      </c>
      <c r="AC419">
        <f t="shared" si="137"/>
        <v>1</v>
      </c>
      <c r="AD419">
        <f t="shared" si="138"/>
        <v>0</v>
      </c>
      <c r="AE419" s="13">
        <f t="shared" si="139"/>
        <v>1</v>
      </c>
      <c r="AH419">
        <f t="shared" si="140"/>
        <v>4.8</v>
      </c>
      <c r="AI419">
        <f t="shared" si="141"/>
        <v>739.69150000000002</v>
      </c>
      <c r="AJ419" s="11">
        <f t="shared" si="142"/>
        <v>0.14099999999999999</v>
      </c>
      <c r="AK419">
        <f t="shared" si="143"/>
        <v>4588.3381919999993</v>
      </c>
      <c r="AL419">
        <f t="shared" si="144"/>
        <v>3550.5192000000002</v>
      </c>
      <c r="AM419">
        <f t="shared" si="145"/>
        <v>1037.8189919999991</v>
      </c>
    </row>
    <row r="420" spans="1:39" x14ac:dyDescent="0.25">
      <c r="A420" t="s">
        <v>222</v>
      </c>
      <c r="B420" s="4">
        <v>45545</v>
      </c>
      <c r="C420" s="4">
        <v>45572</v>
      </c>
      <c r="D420" s="13">
        <f t="shared" si="126"/>
        <v>27</v>
      </c>
      <c r="E420" s="6" t="s">
        <v>646</v>
      </c>
      <c r="F420" t="s">
        <v>650</v>
      </c>
      <c r="G420" t="s">
        <v>662</v>
      </c>
      <c r="H420" t="s">
        <v>704</v>
      </c>
      <c r="I420" t="s">
        <v>707</v>
      </c>
      <c r="J420" t="s">
        <v>716</v>
      </c>
      <c r="K420" t="s">
        <v>728</v>
      </c>
      <c r="L420" t="s">
        <v>942</v>
      </c>
      <c r="M420" s="8">
        <v>1248.3900000000001</v>
      </c>
      <c r="N420" s="8">
        <v>1805.11</v>
      </c>
      <c r="O420" s="8">
        <f t="shared" si="127"/>
        <v>1805.11</v>
      </c>
      <c r="P420" s="11">
        <v>0.20300000000000001</v>
      </c>
      <c r="Q420" s="13">
        <v>11</v>
      </c>
      <c r="R420" s="8">
        <f t="shared" si="128"/>
        <v>15825.399369999997</v>
      </c>
      <c r="S420" s="8">
        <f t="shared" si="129"/>
        <v>13732.29</v>
      </c>
      <c r="T420" s="8">
        <f t="shared" si="130"/>
        <v>2093.1093699999965</v>
      </c>
      <c r="U420" s="11">
        <f t="shared" si="131"/>
        <v>0.13226265707820786</v>
      </c>
      <c r="V420" s="17">
        <v>45318</v>
      </c>
      <c r="W420" s="4" t="str">
        <f t="shared" si="132"/>
        <v>Q3-2024</v>
      </c>
      <c r="X420" t="str">
        <f t="shared" si="133"/>
        <v>Africa → Kenya → Kisumu</v>
      </c>
      <c r="Y420" t="str">
        <f t="shared" si="134"/>
        <v>High</v>
      </c>
      <c r="Z420" s="20">
        <f t="shared" si="135"/>
        <v>45536</v>
      </c>
      <c r="AA420" s="4">
        <f t="array" ref="AA420">MIN(IF($F$2:$F$633=F420,$Z$2:$Z$633))</f>
        <v>44927</v>
      </c>
      <c r="AB420">
        <f t="shared" si="136"/>
        <v>20</v>
      </c>
      <c r="AC420">
        <f t="shared" si="137"/>
        <v>0</v>
      </c>
      <c r="AD420">
        <f t="shared" si="138"/>
        <v>1</v>
      </c>
      <c r="AE420" s="13">
        <f t="shared" si="139"/>
        <v>0</v>
      </c>
      <c r="AH420">
        <f t="shared" si="140"/>
        <v>13.2</v>
      </c>
      <c r="AI420">
        <f t="shared" si="141"/>
        <v>1435.6485</v>
      </c>
      <c r="AJ420" s="11">
        <f t="shared" si="142"/>
        <v>0.20300000000000001</v>
      </c>
      <c r="AK420">
        <f t="shared" si="143"/>
        <v>18990.479243999995</v>
      </c>
      <c r="AL420">
        <f t="shared" si="144"/>
        <v>18950.5602</v>
      </c>
      <c r="AM420">
        <f t="shared" si="145"/>
        <v>39.919043999994756</v>
      </c>
    </row>
    <row r="421" spans="1:39" x14ac:dyDescent="0.25">
      <c r="A421" t="s">
        <v>250</v>
      </c>
      <c r="B421" s="4">
        <v>45548</v>
      </c>
      <c r="C421" s="4">
        <v>45567</v>
      </c>
      <c r="D421" s="13">
        <f t="shared" si="126"/>
        <v>19</v>
      </c>
      <c r="E421" s="6" t="s">
        <v>646</v>
      </c>
      <c r="F421" t="s">
        <v>650</v>
      </c>
      <c r="G421" t="s">
        <v>675</v>
      </c>
      <c r="H421" t="s">
        <v>705</v>
      </c>
      <c r="I421" t="s">
        <v>707</v>
      </c>
      <c r="J421" t="s">
        <v>724</v>
      </c>
      <c r="K421" t="s">
        <v>730</v>
      </c>
      <c r="L421" t="s">
        <v>970</v>
      </c>
      <c r="M421" s="8">
        <v>1338.99</v>
      </c>
      <c r="N421" s="8">
        <v>1765.76</v>
      </c>
      <c r="O421" s="8">
        <f t="shared" si="127"/>
        <v>1765.76</v>
      </c>
      <c r="P421" s="11">
        <v>0.126</v>
      </c>
      <c r="Q421" s="13">
        <v>24</v>
      </c>
      <c r="R421" s="8">
        <f t="shared" si="128"/>
        <v>37038.581760000001</v>
      </c>
      <c r="S421" s="8">
        <f t="shared" si="129"/>
        <v>32135.760000000002</v>
      </c>
      <c r="T421" s="8">
        <f t="shared" si="130"/>
        <v>4902.8217599999989</v>
      </c>
      <c r="U421" s="11">
        <f t="shared" si="131"/>
        <v>0.1323706666677725</v>
      </c>
      <c r="V421" s="17">
        <v>45316</v>
      </c>
      <c r="W421" s="4" t="str">
        <f t="shared" si="132"/>
        <v>Q3-2024</v>
      </c>
      <c r="X421" t="str">
        <f t="shared" si="133"/>
        <v>Africa → Kenya → Mombasa</v>
      </c>
      <c r="Y421" t="str">
        <f t="shared" si="134"/>
        <v>High</v>
      </c>
      <c r="Z421" s="20">
        <f t="shared" si="135"/>
        <v>45536</v>
      </c>
      <c r="AA421" s="4">
        <f t="array" ref="AA421">MIN(IF($F$2:$F$633=F421,$Z$2:$Z$633))</f>
        <v>44927</v>
      </c>
      <c r="AB421">
        <f t="shared" si="136"/>
        <v>20</v>
      </c>
      <c r="AC421">
        <f t="shared" si="137"/>
        <v>0</v>
      </c>
      <c r="AD421">
        <f t="shared" si="138"/>
        <v>0</v>
      </c>
      <c r="AE421" s="13">
        <f t="shared" si="139"/>
        <v>0</v>
      </c>
      <c r="AH421">
        <f t="shared" si="140"/>
        <v>28.799999999999997</v>
      </c>
      <c r="AI421">
        <f t="shared" si="141"/>
        <v>1539.8384999999998</v>
      </c>
      <c r="AJ421" s="11">
        <f t="shared" si="142"/>
        <v>0.126</v>
      </c>
      <c r="AK421">
        <f t="shared" si="143"/>
        <v>44446.298111999989</v>
      </c>
      <c r="AL421">
        <f t="shared" si="144"/>
        <v>44347.348799999992</v>
      </c>
      <c r="AM421">
        <f t="shared" si="145"/>
        <v>98.949311999997008</v>
      </c>
    </row>
    <row r="422" spans="1:39" x14ac:dyDescent="0.25">
      <c r="A422" t="s">
        <v>57</v>
      </c>
      <c r="B422" s="4">
        <v>45590</v>
      </c>
      <c r="C422" s="4">
        <v>45610</v>
      </c>
      <c r="D422" s="13">
        <f t="shared" si="126"/>
        <v>20</v>
      </c>
      <c r="E422" s="6" t="s">
        <v>646</v>
      </c>
      <c r="F422" t="s">
        <v>650</v>
      </c>
      <c r="G422" t="s">
        <v>675</v>
      </c>
      <c r="H422" t="s">
        <v>701</v>
      </c>
      <c r="I422" t="s">
        <v>711</v>
      </c>
      <c r="J422" t="s">
        <v>722</v>
      </c>
      <c r="K422" t="s">
        <v>728</v>
      </c>
      <c r="L422" t="s">
        <v>776</v>
      </c>
      <c r="M422" s="8">
        <v>1396.48</v>
      </c>
      <c r="N422" s="8">
        <v>3204.5</v>
      </c>
      <c r="O422" s="8">
        <f t="shared" si="127"/>
        <v>3204.5</v>
      </c>
      <c r="P422" s="11">
        <v>0.318</v>
      </c>
      <c r="Q422" s="13">
        <v>14</v>
      </c>
      <c r="R422" s="8">
        <f t="shared" si="128"/>
        <v>30596.565999999999</v>
      </c>
      <c r="S422" s="8">
        <f t="shared" si="129"/>
        <v>19550.72</v>
      </c>
      <c r="T422" s="8">
        <f t="shared" si="130"/>
        <v>11045.845999999998</v>
      </c>
      <c r="U422" s="11">
        <f t="shared" si="131"/>
        <v>0.36101587348070363</v>
      </c>
      <c r="V422" s="17">
        <v>45266</v>
      </c>
      <c r="W422" s="4" t="str">
        <f t="shared" si="132"/>
        <v>Q4-2024</v>
      </c>
      <c r="X422" t="str">
        <f t="shared" si="133"/>
        <v>Africa → Kenya → Mombasa</v>
      </c>
      <c r="Y422" t="str">
        <f t="shared" si="134"/>
        <v>High</v>
      </c>
      <c r="Z422" s="20">
        <f t="shared" si="135"/>
        <v>45566</v>
      </c>
      <c r="AA422" s="4">
        <f t="array" ref="AA422">MIN(IF($F$2:$F$633=F422,$Z$2:$Z$633))</f>
        <v>44927</v>
      </c>
      <c r="AB422">
        <f t="shared" si="136"/>
        <v>21</v>
      </c>
      <c r="AC422">
        <f t="shared" si="137"/>
        <v>0</v>
      </c>
      <c r="AD422">
        <f t="shared" si="138"/>
        <v>1</v>
      </c>
      <c r="AE422" s="13">
        <f t="shared" si="139"/>
        <v>0</v>
      </c>
      <c r="AH422">
        <f t="shared" si="140"/>
        <v>16.8</v>
      </c>
      <c r="AI422">
        <f t="shared" si="141"/>
        <v>1605.952</v>
      </c>
      <c r="AJ422" s="11">
        <f t="shared" si="142"/>
        <v>0.25</v>
      </c>
      <c r="AK422">
        <f t="shared" si="143"/>
        <v>40376.700000000004</v>
      </c>
      <c r="AL422">
        <f t="shared" si="144"/>
        <v>26979.993600000002</v>
      </c>
      <c r="AM422">
        <f t="shared" si="145"/>
        <v>13396.706400000003</v>
      </c>
    </row>
    <row r="423" spans="1:39" x14ac:dyDescent="0.25">
      <c r="A423" t="s">
        <v>356</v>
      </c>
      <c r="B423" s="4">
        <v>45594</v>
      </c>
      <c r="C423" s="4">
        <v>45600</v>
      </c>
      <c r="D423" s="13">
        <f t="shared" si="126"/>
        <v>6</v>
      </c>
      <c r="E423" s="6" t="s">
        <v>646</v>
      </c>
      <c r="F423" t="s">
        <v>650</v>
      </c>
      <c r="G423" t="s">
        <v>664</v>
      </c>
      <c r="H423" t="s">
        <v>701</v>
      </c>
      <c r="I423" t="s">
        <v>710</v>
      </c>
      <c r="J423" t="s">
        <v>724</v>
      </c>
      <c r="K423" t="s">
        <v>728</v>
      </c>
      <c r="L423" t="s">
        <v>1076</v>
      </c>
      <c r="M423" s="8">
        <v>805.81</v>
      </c>
      <c r="N423" s="8">
        <v>1823.04</v>
      </c>
      <c r="O423" s="8">
        <f t="shared" si="127"/>
        <v>1823.04</v>
      </c>
      <c r="P423" s="11">
        <v>0</v>
      </c>
      <c r="Q423" s="13">
        <v>11</v>
      </c>
      <c r="R423" s="8">
        <f t="shared" si="128"/>
        <v>20053.439999999999</v>
      </c>
      <c r="S423" s="8">
        <f t="shared" si="129"/>
        <v>8863.91</v>
      </c>
      <c r="T423" s="8">
        <f t="shared" si="130"/>
        <v>11189.529999999999</v>
      </c>
      <c r="U423" s="11">
        <f t="shared" si="131"/>
        <v>0.55798556257679477</v>
      </c>
      <c r="V423" s="17">
        <v>45279</v>
      </c>
      <c r="W423" s="4" t="str">
        <f t="shared" si="132"/>
        <v>Q4-2024</v>
      </c>
      <c r="X423" t="str">
        <f t="shared" si="133"/>
        <v>Africa → Kenya → Nairobi</v>
      </c>
      <c r="Y423" t="str">
        <f t="shared" si="134"/>
        <v>High</v>
      </c>
      <c r="Z423" s="20">
        <f t="shared" si="135"/>
        <v>45566</v>
      </c>
      <c r="AA423" s="4">
        <f t="array" ref="AA423">MIN(IF($F$2:$F$633=F423,$Z$2:$Z$633))</f>
        <v>44927</v>
      </c>
      <c r="AB423">
        <f t="shared" si="136"/>
        <v>21</v>
      </c>
      <c r="AC423">
        <f t="shared" si="137"/>
        <v>1</v>
      </c>
      <c r="AD423">
        <f t="shared" si="138"/>
        <v>0</v>
      </c>
      <c r="AE423" s="13">
        <f t="shared" si="139"/>
        <v>1</v>
      </c>
      <c r="AH423">
        <f t="shared" si="140"/>
        <v>13.2</v>
      </c>
      <c r="AI423">
        <f t="shared" si="141"/>
        <v>926.68149999999991</v>
      </c>
      <c r="AJ423" s="11">
        <f t="shared" si="142"/>
        <v>0</v>
      </c>
      <c r="AK423">
        <f t="shared" si="143"/>
        <v>24064.127999999997</v>
      </c>
      <c r="AL423">
        <f t="shared" si="144"/>
        <v>12232.195799999998</v>
      </c>
      <c r="AM423">
        <f t="shared" si="145"/>
        <v>11831.932199999999</v>
      </c>
    </row>
    <row r="424" spans="1:39" x14ac:dyDescent="0.25">
      <c r="A424" t="s">
        <v>262</v>
      </c>
      <c r="B424" s="4">
        <v>45604</v>
      </c>
      <c r="C424" s="4">
        <v>45604</v>
      </c>
      <c r="D424" s="13">
        <f t="shared" si="126"/>
        <v>0</v>
      </c>
      <c r="E424" s="6" t="s">
        <v>646</v>
      </c>
      <c r="F424" t="s">
        <v>650</v>
      </c>
      <c r="G424" t="s">
        <v>678</v>
      </c>
      <c r="H424" t="s">
        <v>706</v>
      </c>
      <c r="I424" t="s">
        <v>709</v>
      </c>
      <c r="J424" t="s">
        <v>724</v>
      </c>
      <c r="K424" t="s">
        <v>729</v>
      </c>
      <c r="L424" t="s">
        <v>982</v>
      </c>
      <c r="M424" s="8">
        <v>803.28</v>
      </c>
      <c r="N424" s="8">
        <v>1009</v>
      </c>
      <c r="O424" s="8">
        <f t="shared" si="127"/>
        <v>1009</v>
      </c>
      <c r="P424" s="11">
        <v>0.11</v>
      </c>
      <c r="Q424" s="13">
        <v>4</v>
      </c>
      <c r="R424" s="8">
        <f t="shared" si="128"/>
        <v>3592.04</v>
      </c>
      <c r="S424" s="8">
        <f t="shared" si="129"/>
        <v>3213.12</v>
      </c>
      <c r="T424" s="8">
        <f t="shared" si="130"/>
        <v>378.92000000000007</v>
      </c>
      <c r="U424" s="11">
        <f t="shared" si="131"/>
        <v>0.10548880302001093</v>
      </c>
      <c r="V424" s="17">
        <v>45245</v>
      </c>
      <c r="W424" s="4" t="str">
        <f t="shared" si="132"/>
        <v>Q4-2024</v>
      </c>
      <c r="X424" t="str">
        <f t="shared" si="133"/>
        <v>Africa → Kenya → Nakuru</v>
      </c>
      <c r="Y424" t="str">
        <f t="shared" si="134"/>
        <v>Medium</v>
      </c>
      <c r="Z424" s="20">
        <f t="shared" si="135"/>
        <v>45597</v>
      </c>
      <c r="AA424" s="4">
        <f t="array" ref="AA424">MIN(IF($F$2:$F$633=F424,$Z$2:$Z$633))</f>
        <v>44927</v>
      </c>
      <c r="AB424">
        <f t="shared" si="136"/>
        <v>22</v>
      </c>
      <c r="AC424">
        <f t="shared" si="137"/>
        <v>1</v>
      </c>
      <c r="AD424">
        <f t="shared" si="138"/>
        <v>0</v>
      </c>
      <c r="AE424" s="13">
        <f t="shared" si="139"/>
        <v>1</v>
      </c>
      <c r="AH424">
        <f t="shared" si="140"/>
        <v>4.8</v>
      </c>
      <c r="AI424">
        <f t="shared" si="141"/>
        <v>923.77199999999993</v>
      </c>
      <c r="AJ424" s="11">
        <f t="shared" si="142"/>
        <v>0.11</v>
      </c>
      <c r="AK424">
        <f t="shared" si="143"/>
        <v>4310.4480000000003</v>
      </c>
      <c r="AL424">
        <f t="shared" si="144"/>
        <v>4434.1055999999999</v>
      </c>
      <c r="AM424">
        <f t="shared" si="145"/>
        <v>-123.65759999999955</v>
      </c>
    </row>
    <row r="425" spans="1:39" x14ac:dyDescent="0.25">
      <c r="A425" t="s">
        <v>479</v>
      </c>
      <c r="B425" s="4">
        <v>45618</v>
      </c>
      <c r="C425" s="4">
        <v>45641</v>
      </c>
      <c r="D425" s="13">
        <f t="shared" si="126"/>
        <v>23</v>
      </c>
      <c r="E425" s="6" t="s">
        <v>646</v>
      </c>
      <c r="F425" t="s">
        <v>650</v>
      </c>
      <c r="G425" t="s">
        <v>675</v>
      </c>
      <c r="H425" t="s">
        <v>703</v>
      </c>
      <c r="I425" t="s">
        <v>710</v>
      </c>
      <c r="J425" t="s">
        <v>712</v>
      </c>
      <c r="K425" t="s">
        <v>727</v>
      </c>
      <c r="L425" t="s">
        <v>1198</v>
      </c>
      <c r="M425" s="8">
        <v>1335.76</v>
      </c>
      <c r="N425" s="8">
        <v>2665.91</v>
      </c>
      <c r="O425" s="8">
        <f t="shared" si="127"/>
        <v>2665.91</v>
      </c>
      <c r="P425" s="11">
        <v>0.21099999999999999</v>
      </c>
      <c r="Q425" s="13">
        <v>40</v>
      </c>
      <c r="R425" s="8">
        <f t="shared" si="128"/>
        <v>84136.119600000005</v>
      </c>
      <c r="S425" s="8">
        <f t="shared" si="129"/>
        <v>53430.400000000001</v>
      </c>
      <c r="T425" s="8">
        <f t="shared" si="130"/>
        <v>30705.719600000004</v>
      </c>
      <c r="U425" s="11">
        <f t="shared" si="131"/>
        <v>0.36495288522909253</v>
      </c>
      <c r="V425" s="17">
        <v>45224</v>
      </c>
      <c r="W425" s="4" t="str">
        <f t="shared" si="132"/>
        <v>Q4-2024</v>
      </c>
      <c r="X425" t="str">
        <f t="shared" si="133"/>
        <v>Africa → Kenya → Mombasa</v>
      </c>
      <c r="Y425" t="str">
        <f t="shared" si="134"/>
        <v>High</v>
      </c>
      <c r="Z425" s="20">
        <f t="shared" si="135"/>
        <v>45597</v>
      </c>
      <c r="AA425" s="4">
        <f t="array" ref="AA425">MIN(IF($F$2:$F$633=F425,$Z$2:$Z$633))</f>
        <v>44927</v>
      </c>
      <c r="AB425">
        <f t="shared" si="136"/>
        <v>22</v>
      </c>
      <c r="AC425">
        <f t="shared" si="137"/>
        <v>0</v>
      </c>
      <c r="AD425">
        <f t="shared" si="138"/>
        <v>1</v>
      </c>
      <c r="AE425" s="13">
        <f t="shared" si="139"/>
        <v>0</v>
      </c>
      <c r="AH425">
        <f t="shared" si="140"/>
        <v>48</v>
      </c>
      <c r="AI425">
        <f t="shared" si="141"/>
        <v>1536.1239999999998</v>
      </c>
      <c r="AJ425" s="11">
        <f t="shared" si="142"/>
        <v>0.21099999999999999</v>
      </c>
      <c r="AK425">
        <f t="shared" si="143"/>
        <v>100963.34351999999</v>
      </c>
      <c r="AL425">
        <f t="shared" si="144"/>
        <v>73733.95199999999</v>
      </c>
      <c r="AM425">
        <f t="shared" si="145"/>
        <v>27229.391520000005</v>
      </c>
    </row>
    <row r="426" spans="1:39" x14ac:dyDescent="0.25">
      <c r="A426" t="s">
        <v>622</v>
      </c>
      <c r="B426" s="4">
        <v>45623</v>
      </c>
      <c r="C426" s="4">
        <v>45650</v>
      </c>
      <c r="D426" s="13">
        <f t="shared" si="126"/>
        <v>27</v>
      </c>
      <c r="E426" s="6" t="s">
        <v>646</v>
      </c>
      <c r="F426" t="s">
        <v>650</v>
      </c>
      <c r="G426" t="s">
        <v>675</v>
      </c>
      <c r="H426" t="s">
        <v>701</v>
      </c>
      <c r="I426" t="s">
        <v>710</v>
      </c>
      <c r="J426" t="s">
        <v>717</v>
      </c>
      <c r="K426" t="s">
        <v>728</v>
      </c>
      <c r="L426" t="s">
        <v>1340</v>
      </c>
      <c r="M426" s="8">
        <v>143.33000000000001</v>
      </c>
      <c r="N426" s="8">
        <v>233.51</v>
      </c>
      <c r="O426" s="8">
        <f t="shared" si="127"/>
        <v>233.51</v>
      </c>
      <c r="P426" s="11">
        <v>0.16300000000000001</v>
      </c>
      <c r="Q426" s="13">
        <v>14</v>
      </c>
      <c r="R426" s="8">
        <f t="shared" si="128"/>
        <v>2736.27018</v>
      </c>
      <c r="S426" s="8">
        <f t="shared" si="129"/>
        <v>2006.6200000000001</v>
      </c>
      <c r="T426" s="8">
        <f t="shared" si="130"/>
        <v>729.65017999999986</v>
      </c>
      <c r="U426" s="11">
        <f t="shared" si="131"/>
        <v>0.26665867476580835</v>
      </c>
      <c r="V426" s="17">
        <v>45229</v>
      </c>
      <c r="W426" s="4" t="str">
        <f t="shared" si="132"/>
        <v>Q4-2024</v>
      </c>
      <c r="X426" t="str">
        <f t="shared" si="133"/>
        <v>Africa → Kenya → Mombasa</v>
      </c>
      <c r="Y426" t="str">
        <f t="shared" si="134"/>
        <v>Low</v>
      </c>
      <c r="Z426" s="20">
        <f t="shared" si="135"/>
        <v>45597</v>
      </c>
      <c r="AA426" s="4">
        <f t="array" ref="AA426">MIN(IF($F$2:$F$633=F426,$Z$2:$Z$633))</f>
        <v>44927</v>
      </c>
      <c r="AB426">
        <f t="shared" si="136"/>
        <v>22</v>
      </c>
      <c r="AC426">
        <f t="shared" si="137"/>
        <v>0</v>
      </c>
      <c r="AD426">
        <f t="shared" si="138"/>
        <v>0</v>
      </c>
      <c r="AE426" s="13">
        <f t="shared" si="139"/>
        <v>0</v>
      </c>
      <c r="AH426">
        <f t="shared" si="140"/>
        <v>16.8</v>
      </c>
      <c r="AI426">
        <f t="shared" si="141"/>
        <v>164.8295</v>
      </c>
      <c r="AJ426" s="11">
        <f t="shared" si="142"/>
        <v>0.16300000000000001</v>
      </c>
      <c r="AK426">
        <f t="shared" si="143"/>
        <v>3283.5242159999998</v>
      </c>
      <c r="AL426">
        <f t="shared" si="144"/>
        <v>2769.1356000000001</v>
      </c>
      <c r="AM426">
        <f t="shared" si="145"/>
        <v>514.38861599999973</v>
      </c>
    </row>
    <row r="427" spans="1:39" x14ac:dyDescent="0.25">
      <c r="A427" t="s">
        <v>576</v>
      </c>
      <c r="B427" s="4">
        <v>45626</v>
      </c>
      <c r="C427" s="4">
        <v>45645</v>
      </c>
      <c r="D427" s="13">
        <f t="shared" si="126"/>
        <v>19</v>
      </c>
      <c r="E427" s="6" t="s">
        <v>646</v>
      </c>
      <c r="F427" t="s">
        <v>650</v>
      </c>
      <c r="G427" t="s">
        <v>662</v>
      </c>
      <c r="H427" t="s">
        <v>701</v>
      </c>
      <c r="I427" t="s">
        <v>708</v>
      </c>
      <c r="J427" t="s">
        <v>716</v>
      </c>
      <c r="K427" t="s">
        <v>730</v>
      </c>
      <c r="L427" t="s">
        <v>1294</v>
      </c>
      <c r="M427" s="8">
        <v>1195.98</v>
      </c>
      <c r="N427" s="8">
        <v>1841.9</v>
      </c>
      <c r="O427" s="8">
        <f t="shared" si="127"/>
        <v>1841.9</v>
      </c>
      <c r="P427" s="11">
        <v>5.5E-2</v>
      </c>
      <c r="Q427" s="13">
        <v>19</v>
      </c>
      <c r="R427" s="8">
        <f t="shared" si="128"/>
        <v>33071.3145</v>
      </c>
      <c r="S427" s="8">
        <f t="shared" si="129"/>
        <v>22723.62</v>
      </c>
      <c r="T427" s="8">
        <f t="shared" si="130"/>
        <v>10347.694500000001</v>
      </c>
      <c r="U427" s="11">
        <f t="shared" si="131"/>
        <v>0.31289032977506842</v>
      </c>
      <c r="V427" s="17">
        <v>45220</v>
      </c>
      <c r="W427" s="4" t="str">
        <f t="shared" si="132"/>
        <v>Q4-2024</v>
      </c>
      <c r="X427" t="str">
        <f t="shared" si="133"/>
        <v>Africa → Kenya → Kisumu</v>
      </c>
      <c r="Y427" t="str">
        <f t="shared" si="134"/>
        <v>High</v>
      </c>
      <c r="Z427" s="20">
        <f t="shared" si="135"/>
        <v>45597</v>
      </c>
      <c r="AA427" s="4">
        <f t="array" ref="AA427">MIN(IF($F$2:$F$633=F427,$Z$2:$Z$633))</f>
        <v>44927</v>
      </c>
      <c r="AB427">
        <f t="shared" si="136"/>
        <v>22</v>
      </c>
      <c r="AC427">
        <f t="shared" si="137"/>
        <v>0</v>
      </c>
      <c r="AD427">
        <f t="shared" si="138"/>
        <v>0</v>
      </c>
      <c r="AE427" s="13">
        <f t="shared" si="139"/>
        <v>0</v>
      </c>
      <c r="AH427">
        <f t="shared" si="140"/>
        <v>22.8</v>
      </c>
      <c r="AI427">
        <f t="shared" si="141"/>
        <v>1375.377</v>
      </c>
      <c r="AJ427" s="11">
        <f t="shared" si="142"/>
        <v>5.5E-2</v>
      </c>
      <c r="AK427">
        <f t="shared" si="143"/>
        <v>39685.577400000002</v>
      </c>
      <c r="AL427">
        <f t="shared" si="144"/>
        <v>31358.595600000001</v>
      </c>
      <c r="AM427">
        <f t="shared" si="145"/>
        <v>8326.9818000000014</v>
      </c>
    </row>
    <row r="428" spans="1:39" x14ac:dyDescent="0.25">
      <c r="A428" t="s">
        <v>221</v>
      </c>
      <c r="B428" s="4">
        <v>45678</v>
      </c>
      <c r="C428" s="4">
        <v>45702</v>
      </c>
      <c r="D428" s="13">
        <f t="shared" si="126"/>
        <v>24</v>
      </c>
      <c r="E428" s="6" t="s">
        <v>646</v>
      </c>
      <c r="F428" t="s">
        <v>650</v>
      </c>
      <c r="G428" t="s">
        <v>664</v>
      </c>
      <c r="H428" t="s">
        <v>705</v>
      </c>
      <c r="I428" t="s">
        <v>707</v>
      </c>
      <c r="J428" t="s">
        <v>713</v>
      </c>
      <c r="K428" t="s">
        <v>733</v>
      </c>
      <c r="L428" t="s">
        <v>941</v>
      </c>
      <c r="M428" s="8">
        <v>1030.44</v>
      </c>
      <c r="N428" s="8">
        <v>2562.84</v>
      </c>
      <c r="O428" s="8">
        <f t="shared" si="127"/>
        <v>2562.84</v>
      </c>
      <c r="P428" s="11">
        <v>0.14799999999999999</v>
      </c>
      <c r="Q428" s="13">
        <v>13</v>
      </c>
      <c r="R428" s="8">
        <f t="shared" si="128"/>
        <v>28386.015839999996</v>
      </c>
      <c r="S428" s="8">
        <f t="shared" si="129"/>
        <v>13395.720000000001</v>
      </c>
      <c r="T428" s="8">
        <f t="shared" si="130"/>
        <v>14990.295839999995</v>
      </c>
      <c r="U428" s="11">
        <f t="shared" si="131"/>
        <v>0.52808734852027039</v>
      </c>
      <c r="V428" s="17">
        <v>45164</v>
      </c>
      <c r="W428" s="4" t="str">
        <f t="shared" si="132"/>
        <v>Q1-2025</v>
      </c>
      <c r="X428" t="str">
        <f t="shared" si="133"/>
        <v>Africa → Kenya → Nairobi</v>
      </c>
      <c r="Y428" t="str">
        <f t="shared" si="134"/>
        <v>High</v>
      </c>
      <c r="Z428" s="20">
        <f t="shared" si="135"/>
        <v>45658</v>
      </c>
      <c r="AA428" s="4">
        <f t="array" ref="AA428">MIN(IF($F$2:$F$633=F428,$Z$2:$Z$633))</f>
        <v>44927</v>
      </c>
      <c r="AB428">
        <f t="shared" si="136"/>
        <v>24</v>
      </c>
      <c r="AC428">
        <f t="shared" si="137"/>
        <v>0</v>
      </c>
      <c r="AD428">
        <f t="shared" si="138"/>
        <v>0</v>
      </c>
      <c r="AE428" s="13">
        <f t="shared" si="139"/>
        <v>0</v>
      </c>
      <c r="AH428">
        <f t="shared" si="140"/>
        <v>15.6</v>
      </c>
      <c r="AI428">
        <f t="shared" si="141"/>
        <v>1185.0059999999999</v>
      </c>
      <c r="AJ428" s="11">
        <f t="shared" si="142"/>
        <v>0.14799999999999999</v>
      </c>
      <c r="AK428">
        <f t="shared" si="143"/>
        <v>34063.219008</v>
      </c>
      <c r="AL428">
        <f t="shared" si="144"/>
        <v>18486.093599999997</v>
      </c>
      <c r="AM428">
        <f t="shared" si="145"/>
        <v>15577.125408000004</v>
      </c>
    </row>
    <row r="429" spans="1:39" x14ac:dyDescent="0.25">
      <c r="A429" t="s">
        <v>227</v>
      </c>
      <c r="B429" s="4">
        <v>45686</v>
      </c>
      <c r="C429" s="4">
        <v>45694</v>
      </c>
      <c r="D429" s="13">
        <f t="shared" si="126"/>
        <v>8</v>
      </c>
      <c r="E429" s="6" t="s">
        <v>646</v>
      </c>
      <c r="F429" t="s">
        <v>650</v>
      </c>
      <c r="G429" t="s">
        <v>662</v>
      </c>
      <c r="H429" t="s">
        <v>702</v>
      </c>
      <c r="I429" t="s">
        <v>707</v>
      </c>
      <c r="J429" t="s">
        <v>717</v>
      </c>
      <c r="K429" t="s">
        <v>730</v>
      </c>
      <c r="L429" t="s">
        <v>947</v>
      </c>
      <c r="M429" s="8">
        <v>1445.27</v>
      </c>
      <c r="N429" s="8">
        <v>2691.45</v>
      </c>
      <c r="O429" s="8">
        <f t="shared" si="127"/>
        <v>2691.45</v>
      </c>
      <c r="P429" s="11">
        <v>0</v>
      </c>
      <c r="Q429" s="13">
        <v>9</v>
      </c>
      <c r="R429" s="8">
        <f t="shared" si="128"/>
        <v>24223.05</v>
      </c>
      <c r="S429" s="8">
        <f t="shared" si="129"/>
        <v>13007.43</v>
      </c>
      <c r="T429" s="8">
        <f t="shared" si="130"/>
        <v>11215.619999999999</v>
      </c>
      <c r="U429" s="11">
        <f t="shared" si="131"/>
        <v>0.46301436028906351</v>
      </c>
      <c r="V429" s="17">
        <v>45159</v>
      </c>
      <c r="W429" s="4" t="str">
        <f t="shared" si="132"/>
        <v>Q1-2025</v>
      </c>
      <c r="X429" t="str">
        <f t="shared" si="133"/>
        <v>Africa → Kenya → Kisumu</v>
      </c>
      <c r="Y429" t="str">
        <f t="shared" si="134"/>
        <v>High</v>
      </c>
      <c r="Z429" s="20">
        <f t="shared" si="135"/>
        <v>45658</v>
      </c>
      <c r="AA429" s="4">
        <f t="array" ref="AA429">MIN(IF($F$2:$F$633=F429,$Z$2:$Z$633))</f>
        <v>44927</v>
      </c>
      <c r="AB429">
        <f t="shared" si="136"/>
        <v>24</v>
      </c>
      <c r="AC429">
        <f t="shared" si="137"/>
        <v>0</v>
      </c>
      <c r="AD429">
        <f t="shared" si="138"/>
        <v>0</v>
      </c>
      <c r="AE429" s="13">
        <f t="shared" si="139"/>
        <v>0</v>
      </c>
      <c r="AH429">
        <f t="shared" si="140"/>
        <v>10.799999999999999</v>
      </c>
      <c r="AI429">
        <f t="shared" si="141"/>
        <v>1662.0604999999998</v>
      </c>
      <c r="AJ429" s="11">
        <f t="shared" si="142"/>
        <v>0</v>
      </c>
      <c r="AK429">
        <f t="shared" si="143"/>
        <v>29067.659999999996</v>
      </c>
      <c r="AL429">
        <f t="shared" si="144"/>
        <v>17950.253399999998</v>
      </c>
      <c r="AM429">
        <f t="shared" si="145"/>
        <v>11117.406599999998</v>
      </c>
    </row>
    <row r="430" spans="1:39" x14ac:dyDescent="0.25">
      <c r="A430" t="s">
        <v>568</v>
      </c>
      <c r="B430" s="4">
        <v>45703</v>
      </c>
      <c r="C430" s="4">
        <v>45717</v>
      </c>
      <c r="D430" s="13">
        <f t="shared" si="126"/>
        <v>14</v>
      </c>
      <c r="E430" s="6" t="s">
        <v>646</v>
      </c>
      <c r="F430" t="s">
        <v>650</v>
      </c>
      <c r="G430" t="s">
        <v>675</v>
      </c>
      <c r="H430" t="s">
        <v>702</v>
      </c>
      <c r="I430" t="s">
        <v>711</v>
      </c>
      <c r="J430" t="s">
        <v>716</v>
      </c>
      <c r="K430" t="s">
        <v>733</v>
      </c>
      <c r="L430" t="s">
        <v>1286</v>
      </c>
      <c r="M430" s="8">
        <v>1162.8599999999999</v>
      </c>
      <c r="N430" s="8">
        <v>1447.68</v>
      </c>
      <c r="O430" s="8">
        <f t="shared" si="127"/>
        <v>1447.68</v>
      </c>
      <c r="P430" s="11">
        <v>8.6999999999999994E-2</v>
      </c>
      <c r="Q430" s="13">
        <v>12</v>
      </c>
      <c r="R430" s="8">
        <f t="shared" si="128"/>
        <v>15860.782080000001</v>
      </c>
      <c r="S430" s="8">
        <f t="shared" si="129"/>
        <v>13954.32</v>
      </c>
      <c r="T430" s="8">
        <f t="shared" si="130"/>
        <v>1906.4620800000012</v>
      </c>
      <c r="U430" s="11">
        <f t="shared" si="131"/>
        <v>0.12019975247021369</v>
      </c>
      <c r="V430" s="17">
        <v>45146</v>
      </c>
      <c r="W430" s="4" t="str">
        <f t="shared" si="132"/>
        <v>Q1-2025</v>
      </c>
      <c r="X430" t="str">
        <f t="shared" si="133"/>
        <v>Africa → Kenya → Mombasa</v>
      </c>
      <c r="Y430" t="str">
        <f t="shared" si="134"/>
        <v>Medium</v>
      </c>
      <c r="Z430" s="20">
        <f t="shared" si="135"/>
        <v>45689</v>
      </c>
      <c r="AA430" s="4">
        <f t="array" ref="AA430">MIN(IF($F$2:$F$633=F430,$Z$2:$Z$633))</f>
        <v>44927</v>
      </c>
      <c r="AB430">
        <f t="shared" si="136"/>
        <v>25</v>
      </c>
      <c r="AC430">
        <f t="shared" si="137"/>
        <v>0</v>
      </c>
      <c r="AD430">
        <f t="shared" si="138"/>
        <v>0</v>
      </c>
      <c r="AE430" s="13">
        <f t="shared" si="139"/>
        <v>0</v>
      </c>
      <c r="AH430">
        <f t="shared" si="140"/>
        <v>14.399999999999999</v>
      </c>
      <c r="AI430">
        <f t="shared" si="141"/>
        <v>1337.2889999999998</v>
      </c>
      <c r="AJ430" s="11">
        <f t="shared" si="142"/>
        <v>8.6999999999999994E-2</v>
      </c>
      <c r="AK430">
        <f t="shared" si="143"/>
        <v>19032.938496000002</v>
      </c>
      <c r="AL430">
        <f t="shared" si="144"/>
        <v>19256.961599999995</v>
      </c>
      <c r="AM430">
        <f t="shared" si="145"/>
        <v>-224.0231039999926</v>
      </c>
    </row>
    <row r="431" spans="1:39" x14ac:dyDescent="0.25">
      <c r="A431" t="s">
        <v>117</v>
      </c>
      <c r="B431" s="4">
        <v>45747</v>
      </c>
      <c r="C431" s="4">
        <v>45751</v>
      </c>
      <c r="D431" s="13">
        <f t="shared" si="126"/>
        <v>4</v>
      </c>
      <c r="E431" s="6" t="s">
        <v>646</v>
      </c>
      <c r="F431" t="s">
        <v>650</v>
      </c>
      <c r="G431" t="s">
        <v>678</v>
      </c>
      <c r="H431" t="s">
        <v>701</v>
      </c>
      <c r="I431" t="s">
        <v>711</v>
      </c>
      <c r="J431" t="s">
        <v>712</v>
      </c>
      <c r="K431" t="s">
        <v>731</v>
      </c>
      <c r="L431" t="s">
        <v>836</v>
      </c>
      <c r="M431" s="8">
        <v>862.08</v>
      </c>
      <c r="N431" s="8">
        <v>1952.83</v>
      </c>
      <c r="O431" s="8">
        <f t="shared" si="127"/>
        <v>1952.83</v>
      </c>
      <c r="P431" s="11">
        <v>0</v>
      </c>
      <c r="Q431" s="13">
        <v>7</v>
      </c>
      <c r="R431" s="8">
        <f t="shared" si="128"/>
        <v>13669.81</v>
      </c>
      <c r="S431" s="8">
        <f t="shared" si="129"/>
        <v>6034.56</v>
      </c>
      <c r="T431" s="8">
        <f t="shared" si="130"/>
        <v>7635.2499999999991</v>
      </c>
      <c r="U431" s="11">
        <f t="shared" si="131"/>
        <v>0.5585483631447693</v>
      </c>
      <c r="V431" s="17">
        <v>45115</v>
      </c>
      <c r="W431" s="4" t="str">
        <f t="shared" si="132"/>
        <v>Q1-2025</v>
      </c>
      <c r="X431" t="str">
        <f t="shared" si="133"/>
        <v>Africa → Kenya → Nakuru</v>
      </c>
      <c r="Y431" t="str">
        <f t="shared" si="134"/>
        <v>High</v>
      </c>
      <c r="Z431" s="20">
        <f t="shared" si="135"/>
        <v>45717</v>
      </c>
      <c r="AA431" s="4">
        <f t="array" ref="AA431">MIN(IF($F$2:$F$633=F431,$Z$2:$Z$633))</f>
        <v>44927</v>
      </c>
      <c r="AB431">
        <f t="shared" si="136"/>
        <v>26</v>
      </c>
      <c r="AC431">
        <f t="shared" si="137"/>
        <v>1</v>
      </c>
      <c r="AD431">
        <f t="shared" si="138"/>
        <v>0</v>
      </c>
      <c r="AE431" s="13">
        <f t="shared" si="139"/>
        <v>1</v>
      </c>
      <c r="AH431">
        <f t="shared" si="140"/>
        <v>8.4</v>
      </c>
      <c r="AI431">
        <f t="shared" si="141"/>
        <v>991.39199999999994</v>
      </c>
      <c r="AJ431" s="11">
        <f t="shared" si="142"/>
        <v>0</v>
      </c>
      <c r="AK431">
        <f t="shared" si="143"/>
        <v>16403.772000000001</v>
      </c>
      <c r="AL431">
        <f t="shared" si="144"/>
        <v>8327.6928000000007</v>
      </c>
      <c r="AM431">
        <f t="shared" si="145"/>
        <v>8076.0792000000001</v>
      </c>
    </row>
    <row r="432" spans="1:39" x14ac:dyDescent="0.25">
      <c r="A432" t="s">
        <v>414</v>
      </c>
      <c r="B432" s="4">
        <v>45759</v>
      </c>
      <c r="C432" s="4">
        <v>45777</v>
      </c>
      <c r="D432" s="13">
        <f t="shared" si="126"/>
        <v>18</v>
      </c>
      <c r="E432" s="6" t="s">
        <v>646</v>
      </c>
      <c r="F432" t="s">
        <v>650</v>
      </c>
      <c r="G432" t="s">
        <v>662</v>
      </c>
      <c r="H432" t="s">
        <v>701</v>
      </c>
      <c r="I432" t="s">
        <v>709</v>
      </c>
      <c r="J432" t="s">
        <v>721</v>
      </c>
      <c r="K432" t="s">
        <v>729</v>
      </c>
      <c r="L432" t="s">
        <v>1133</v>
      </c>
      <c r="M432" s="8">
        <v>1119.04</v>
      </c>
      <c r="N432" s="8">
        <v>1299.02</v>
      </c>
      <c r="O432" s="8">
        <f t="shared" si="127"/>
        <v>1299.02</v>
      </c>
      <c r="P432" s="11">
        <v>2.5000000000000001E-2</v>
      </c>
      <c r="Q432" s="13">
        <v>14</v>
      </c>
      <c r="R432" s="8">
        <f t="shared" si="128"/>
        <v>17731.623</v>
      </c>
      <c r="S432" s="8">
        <f t="shared" si="129"/>
        <v>15666.56</v>
      </c>
      <c r="T432" s="8">
        <f t="shared" si="130"/>
        <v>2065.0630000000001</v>
      </c>
      <c r="U432" s="11">
        <f t="shared" si="131"/>
        <v>0.11646215352085933</v>
      </c>
      <c r="V432" s="17">
        <v>45094</v>
      </c>
      <c r="W432" s="4" t="str">
        <f t="shared" si="132"/>
        <v>Q2-2025</v>
      </c>
      <c r="X432" t="str">
        <f t="shared" si="133"/>
        <v>Africa → Kenya → Kisumu</v>
      </c>
      <c r="Y432" t="str">
        <f t="shared" si="134"/>
        <v>Medium</v>
      </c>
      <c r="Z432" s="20">
        <f t="shared" si="135"/>
        <v>45748</v>
      </c>
      <c r="AA432" s="4">
        <f t="array" ref="AA432">MIN(IF($F$2:$F$633=F432,$Z$2:$Z$633))</f>
        <v>44927</v>
      </c>
      <c r="AB432">
        <f t="shared" si="136"/>
        <v>27</v>
      </c>
      <c r="AC432">
        <f t="shared" si="137"/>
        <v>0</v>
      </c>
      <c r="AD432">
        <f t="shared" si="138"/>
        <v>0</v>
      </c>
      <c r="AE432" s="13">
        <f t="shared" si="139"/>
        <v>0</v>
      </c>
      <c r="AH432">
        <f t="shared" si="140"/>
        <v>16.8</v>
      </c>
      <c r="AI432">
        <f t="shared" si="141"/>
        <v>1286.896</v>
      </c>
      <c r="AJ432" s="11">
        <f t="shared" si="142"/>
        <v>2.5000000000000001E-2</v>
      </c>
      <c r="AK432">
        <f t="shared" si="143"/>
        <v>21277.9476</v>
      </c>
      <c r="AL432">
        <f t="shared" si="144"/>
        <v>21619.852800000001</v>
      </c>
      <c r="AM432">
        <f t="shared" si="145"/>
        <v>-341.90520000000106</v>
      </c>
    </row>
    <row r="433" spans="1:39" x14ac:dyDescent="0.25">
      <c r="A433" t="s">
        <v>74</v>
      </c>
      <c r="B433" s="4">
        <v>45779</v>
      </c>
      <c r="C433" s="4">
        <v>45790</v>
      </c>
      <c r="D433" s="13">
        <f t="shared" si="126"/>
        <v>11</v>
      </c>
      <c r="E433" s="6" t="s">
        <v>646</v>
      </c>
      <c r="F433" t="s">
        <v>650</v>
      </c>
      <c r="G433" t="s">
        <v>678</v>
      </c>
      <c r="H433" t="s">
        <v>705</v>
      </c>
      <c r="I433" t="s">
        <v>708</v>
      </c>
      <c r="J433" t="s">
        <v>720</v>
      </c>
      <c r="K433" t="s">
        <v>733</v>
      </c>
      <c r="L433" t="s">
        <v>793</v>
      </c>
      <c r="M433" s="8">
        <v>1057.5999999999999</v>
      </c>
      <c r="N433" s="8">
        <v>1437.06</v>
      </c>
      <c r="O433" s="8">
        <f t="shared" si="127"/>
        <v>1437.06</v>
      </c>
      <c r="P433" s="11">
        <v>0.20499999999999999</v>
      </c>
      <c r="Q433" s="13">
        <v>4</v>
      </c>
      <c r="R433" s="8">
        <f t="shared" si="128"/>
        <v>4569.8508000000002</v>
      </c>
      <c r="S433" s="8">
        <f t="shared" si="129"/>
        <v>4230.3999999999996</v>
      </c>
      <c r="T433" s="8">
        <f t="shared" si="130"/>
        <v>339.45080000000053</v>
      </c>
      <c r="U433" s="11">
        <f t="shared" si="131"/>
        <v>7.4280499485891424E-2</v>
      </c>
      <c r="V433" s="17">
        <v>45057</v>
      </c>
      <c r="W433" s="4" t="str">
        <f t="shared" si="132"/>
        <v>Q2-2025</v>
      </c>
      <c r="X433" t="str">
        <f t="shared" si="133"/>
        <v>Africa → Kenya → Nakuru</v>
      </c>
      <c r="Y433" t="str">
        <f t="shared" si="134"/>
        <v>Medium</v>
      </c>
      <c r="Z433" s="20">
        <f t="shared" si="135"/>
        <v>45778</v>
      </c>
      <c r="AA433" s="4">
        <f t="array" ref="AA433">MIN(IF($F$2:$F$633=F433,$Z$2:$Z$633))</f>
        <v>44927</v>
      </c>
      <c r="AB433">
        <f t="shared" si="136"/>
        <v>28</v>
      </c>
      <c r="AC433">
        <f t="shared" si="137"/>
        <v>0</v>
      </c>
      <c r="AD433">
        <f t="shared" si="138"/>
        <v>1</v>
      </c>
      <c r="AE433" s="13">
        <f t="shared" si="139"/>
        <v>0</v>
      </c>
      <c r="AH433">
        <f t="shared" si="140"/>
        <v>4.8</v>
      </c>
      <c r="AI433">
        <f t="shared" si="141"/>
        <v>1216.2399999999998</v>
      </c>
      <c r="AJ433" s="11">
        <f t="shared" si="142"/>
        <v>0.20499999999999999</v>
      </c>
      <c r="AK433">
        <f t="shared" si="143"/>
        <v>5483.82096</v>
      </c>
      <c r="AL433">
        <f t="shared" si="144"/>
        <v>5837.9519999999984</v>
      </c>
      <c r="AM433">
        <f t="shared" si="145"/>
        <v>-354.13103999999839</v>
      </c>
    </row>
    <row r="434" spans="1:39" x14ac:dyDescent="0.25">
      <c r="A434" t="s">
        <v>594</v>
      </c>
      <c r="B434" s="4">
        <v>45849</v>
      </c>
      <c r="C434" s="4">
        <v>45872</v>
      </c>
      <c r="D434" s="13">
        <f t="shared" si="126"/>
        <v>23</v>
      </c>
      <c r="E434" s="6" t="s">
        <v>646</v>
      </c>
      <c r="F434" t="s">
        <v>650</v>
      </c>
      <c r="G434" t="s">
        <v>678</v>
      </c>
      <c r="H434" t="s">
        <v>705</v>
      </c>
      <c r="I434" t="s">
        <v>707</v>
      </c>
      <c r="J434" t="s">
        <v>712</v>
      </c>
      <c r="K434" t="s">
        <v>730</v>
      </c>
      <c r="L434" t="s">
        <v>1312</v>
      </c>
      <c r="M434" s="8">
        <v>389.93</v>
      </c>
      <c r="N434" s="8">
        <v>486.13</v>
      </c>
      <c r="O434" s="8">
        <f t="shared" si="127"/>
        <v>486.13</v>
      </c>
      <c r="P434" s="11">
        <v>0.13200000000000001</v>
      </c>
      <c r="Q434" s="13">
        <v>17</v>
      </c>
      <c r="R434" s="8">
        <f t="shared" si="128"/>
        <v>7173.3342799999991</v>
      </c>
      <c r="S434" s="8">
        <f t="shared" si="129"/>
        <v>6628.81</v>
      </c>
      <c r="T434" s="8">
        <f t="shared" si="130"/>
        <v>544.52427999999873</v>
      </c>
      <c r="U434" s="11">
        <f t="shared" si="131"/>
        <v>7.5909508569562828E-2</v>
      </c>
      <c r="V434" s="17">
        <v>45027</v>
      </c>
      <c r="W434" s="4" t="str">
        <f t="shared" si="132"/>
        <v>Q3-2025</v>
      </c>
      <c r="X434" t="str">
        <f t="shared" si="133"/>
        <v>Africa → Kenya → Nakuru</v>
      </c>
      <c r="Y434" t="str">
        <f t="shared" si="134"/>
        <v>Low</v>
      </c>
      <c r="Z434" s="20">
        <f t="shared" si="135"/>
        <v>45839</v>
      </c>
      <c r="AA434" s="4">
        <f t="array" ref="AA434">MIN(IF($F$2:$F$633=F434,$Z$2:$Z$633))</f>
        <v>44927</v>
      </c>
      <c r="AB434">
        <f t="shared" si="136"/>
        <v>30</v>
      </c>
      <c r="AC434">
        <f t="shared" si="137"/>
        <v>0</v>
      </c>
      <c r="AD434">
        <f t="shared" si="138"/>
        <v>0</v>
      </c>
      <c r="AE434" s="13">
        <f t="shared" si="139"/>
        <v>0</v>
      </c>
      <c r="AH434">
        <f t="shared" si="140"/>
        <v>20.399999999999999</v>
      </c>
      <c r="AI434">
        <f t="shared" si="141"/>
        <v>448.41949999999997</v>
      </c>
      <c r="AJ434" s="11">
        <f t="shared" si="142"/>
        <v>0.13200000000000001</v>
      </c>
      <c r="AK434">
        <f t="shared" si="143"/>
        <v>8608.001135999999</v>
      </c>
      <c r="AL434">
        <f t="shared" si="144"/>
        <v>9147.7577999999994</v>
      </c>
      <c r="AM434">
        <f t="shared" si="145"/>
        <v>-539.75666400000046</v>
      </c>
    </row>
    <row r="435" spans="1:39" x14ac:dyDescent="0.25">
      <c r="A435" t="s">
        <v>637</v>
      </c>
      <c r="B435" s="4">
        <v>45857</v>
      </c>
      <c r="C435" s="4">
        <v>45869</v>
      </c>
      <c r="D435" s="13">
        <f t="shared" si="126"/>
        <v>12</v>
      </c>
      <c r="E435" s="6" t="s">
        <v>646</v>
      </c>
      <c r="F435" t="s">
        <v>650</v>
      </c>
      <c r="G435" t="s">
        <v>664</v>
      </c>
      <c r="H435" t="s">
        <v>705</v>
      </c>
      <c r="I435" t="s">
        <v>709</v>
      </c>
      <c r="J435" t="s">
        <v>719</v>
      </c>
      <c r="K435" t="s">
        <v>733</v>
      </c>
      <c r="L435" t="s">
        <v>1355</v>
      </c>
      <c r="M435" s="8">
        <v>619.64</v>
      </c>
      <c r="N435" s="8">
        <v>861.16</v>
      </c>
      <c r="O435" s="8">
        <f t="shared" si="127"/>
        <v>861.16</v>
      </c>
      <c r="P435" s="11">
        <v>0.113</v>
      </c>
      <c r="Q435" s="13">
        <v>14</v>
      </c>
      <c r="R435" s="8">
        <f t="shared" si="128"/>
        <v>10693.88488</v>
      </c>
      <c r="S435" s="8">
        <f t="shared" si="129"/>
        <v>8674.9599999999991</v>
      </c>
      <c r="T435" s="8">
        <f t="shared" si="130"/>
        <v>2018.9248800000005</v>
      </c>
      <c r="U435" s="11">
        <f t="shared" si="131"/>
        <v>0.18879246435276761</v>
      </c>
      <c r="V435" s="17">
        <v>44998</v>
      </c>
      <c r="W435" s="4" t="str">
        <f t="shared" si="132"/>
        <v>Q3-2025</v>
      </c>
      <c r="X435" t="str">
        <f t="shared" si="133"/>
        <v>Africa → Kenya → Nairobi</v>
      </c>
      <c r="Y435" t="str">
        <f t="shared" si="134"/>
        <v>Medium</v>
      </c>
      <c r="Z435" s="20">
        <f t="shared" si="135"/>
        <v>45839</v>
      </c>
      <c r="AA435" s="4">
        <f t="array" ref="AA435">MIN(IF($F$2:$F$633=F435,$Z$2:$Z$633))</f>
        <v>44927</v>
      </c>
      <c r="AB435">
        <f t="shared" si="136"/>
        <v>30</v>
      </c>
      <c r="AC435">
        <f t="shared" si="137"/>
        <v>0</v>
      </c>
      <c r="AD435">
        <f t="shared" si="138"/>
        <v>0</v>
      </c>
      <c r="AE435" s="13">
        <f t="shared" si="139"/>
        <v>0</v>
      </c>
      <c r="AH435">
        <f t="shared" si="140"/>
        <v>16.8</v>
      </c>
      <c r="AI435">
        <f t="shared" si="141"/>
        <v>712.5859999999999</v>
      </c>
      <c r="AJ435" s="11">
        <f t="shared" si="142"/>
        <v>0.113</v>
      </c>
      <c r="AK435">
        <f t="shared" si="143"/>
        <v>12832.661855999999</v>
      </c>
      <c r="AL435">
        <f t="shared" si="144"/>
        <v>11971.444799999999</v>
      </c>
      <c r="AM435">
        <f t="shared" si="145"/>
        <v>861.2170559999995</v>
      </c>
    </row>
    <row r="436" spans="1:39" x14ac:dyDescent="0.25">
      <c r="A436" t="s">
        <v>102</v>
      </c>
      <c r="B436" s="4">
        <v>45876</v>
      </c>
      <c r="C436" s="4">
        <v>45888</v>
      </c>
      <c r="D436" s="13">
        <f t="shared" si="126"/>
        <v>12</v>
      </c>
      <c r="E436" s="6" t="s">
        <v>646</v>
      </c>
      <c r="F436" t="s">
        <v>650</v>
      </c>
      <c r="G436" t="s">
        <v>678</v>
      </c>
      <c r="H436" t="s">
        <v>701</v>
      </c>
      <c r="I436" t="s">
        <v>709</v>
      </c>
      <c r="J436" t="s">
        <v>724</v>
      </c>
      <c r="K436" t="s">
        <v>727</v>
      </c>
      <c r="L436" t="s">
        <v>821</v>
      </c>
      <c r="M436" s="8">
        <v>601.51</v>
      </c>
      <c r="N436" s="8">
        <v>679.35</v>
      </c>
      <c r="O436" s="8">
        <f t="shared" si="127"/>
        <v>679.35</v>
      </c>
      <c r="P436" s="11">
        <v>0.188</v>
      </c>
      <c r="Q436" s="13">
        <v>3</v>
      </c>
      <c r="R436" s="8">
        <f t="shared" si="128"/>
        <v>1654.8966000000003</v>
      </c>
      <c r="S436" s="8">
        <f t="shared" si="129"/>
        <v>1804.53</v>
      </c>
      <c r="T436" s="8">
        <f t="shared" si="130"/>
        <v>-149.63339999999971</v>
      </c>
      <c r="U436" s="11">
        <f t="shared" si="131"/>
        <v>-9.0418579626062243E-2</v>
      </c>
      <c r="V436" s="17">
        <v>44985</v>
      </c>
      <c r="W436" s="4" t="str">
        <f t="shared" si="132"/>
        <v>Q3-2025</v>
      </c>
      <c r="X436" t="str">
        <f t="shared" si="133"/>
        <v>Africa → Kenya → Nakuru</v>
      </c>
      <c r="Y436" t="str">
        <f t="shared" si="134"/>
        <v>Low</v>
      </c>
      <c r="Z436" s="20">
        <f t="shared" si="135"/>
        <v>45870</v>
      </c>
      <c r="AA436" s="4">
        <f t="array" ref="AA436">MIN(IF($F$2:$F$633=F436,$Z$2:$Z$633))</f>
        <v>44927</v>
      </c>
      <c r="AB436">
        <f t="shared" si="136"/>
        <v>31</v>
      </c>
      <c r="AC436">
        <f t="shared" si="137"/>
        <v>0</v>
      </c>
      <c r="AD436">
        <f t="shared" si="138"/>
        <v>0</v>
      </c>
      <c r="AE436" s="13">
        <f t="shared" si="139"/>
        <v>0</v>
      </c>
      <c r="AH436">
        <f t="shared" si="140"/>
        <v>3.5999999999999996</v>
      </c>
      <c r="AI436">
        <f t="shared" si="141"/>
        <v>691.73649999999998</v>
      </c>
      <c r="AJ436" s="11">
        <f t="shared" si="142"/>
        <v>0.188</v>
      </c>
      <c r="AK436">
        <f t="shared" si="143"/>
        <v>1985.87592</v>
      </c>
      <c r="AL436">
        <f t="shared" si="144"/>
        <v>2490.2513999999996</v>
      </c>
      <c r="AM436">
        <f t="shared" si="145"/>
        <v>-504.3754799999997</v>
      </c>
    </row>
    <row r="437" spans="1:39" x14ac:dyDescent="0.25">
      <c r="A437" t="s">
        <v>234</v>
      </c>
      <c r="B437" s="4">
        <v>45894</v>
      </c>
      <c r="C437" s="4">
        <v>45924</v>
      </c>
      <c r="D437" s="13">
        <f t="shared" si="126"/>
        <v>30</v>
      </c>
      <c r="E437" s="6" t="s">
        <v>646</v>
      </c>
      <c r="F437" t="s">
        <v>650</v>
      </c>
      <c r="G437" t="s">
        <v>664</v>
      </c>
      <c r="H437" t="s">
        <v>704</v>
      </c>
      <c r="I437" t="s">
        <v>711</v>
      </c>
      <c r="J437" t="s">
        <v>717</v>
      </c>
      <c r="K437" t="s">
        <v>727</v>
      </c>
      <c r="L437" t="s">
        <v>954</v>
      </c>
      <c r="M437" s="8">
        <v>589.14</v>
      </c>
      <c r="N437" s="8">
        <v>1300.58</v>
      </c>
      <c r="O437" s="8">
        <f t="shared" si="127"/>
        <v>1300.58</v>
      </c>
      <c r="P437" s="11">
        <v>5.5E-2</v>
      </c>
      <c r="Q437" s="13">
        <v>11</v>
      </c>
      <c r="R437" s="8">
        <f t="shared" si="128"/>
        <v>13519.529099999998</v>
      </c>
      <c r="S437" s="8">
        <f t="shared" si="129"/>
        <v>6480.54</v>
      </c>
      <c r="T437" s="8">
        <f t="shared" si="130"/>
        <v>7038.989099999998</v>
      </c>
      <c r="U437" s="11">
        <f t="shared" si="131"/>
        <v>0.52065342275863724</v>
      </c>
      <c r="V437" s="17">
        <v>44956</v>
      </c>
      <c r="W437" s="4" t="str">
        <f t="shared" si="132"/>
        <v>Q3-2025</v>
      </c>
      <c r="X437" t="str">
        <f t="shared" si="133"/>
        <v>Africa → Kenya → Nairobi</v>
      </c>
      <c r="Y437" t="str">
        <f t="shared" si="134"/>
        <v>Medium</v>
      </c>
      <c r="Z437" s="20">
        <f t="shared" si="135"/>
        <v>45870</v>
      </c>
      <c r="AA437" s="4">
        <f t="array" ref="AA437">MIN(IF($F$2:$F$633=F437,$Z$2:$Z$633))</f>
        <v>44927</v>
      </c>
      <c r="AB437">
        <f t="shared" si="136"/>
        <v>31</v>
      </c>
      <c r="AC437">
        <f t="shared" si="137"/>
        <v>0</v>
      </c>
      <c r="AD437">
        <f t="shared" si="138"/>
        <v>0</v>
      </c>
      <c r="AE437" s="13">
        <f t="shared" si="139"/>
        <v>0</v>
      </c>
      <c r="AH437">
        <f t="shared" si="140"/>
        <v>13.2</v>
      </c>
      <c r="AI437">
        <f t="shared" si="141"/>
        <v>677.51099999999997</v>
      </c>
      <c r="AJ437" s="11">
        <f t="shared" si="142"/>
        <v>5.5E-2</v>
      </c>
      <c r="AK437">
        <f t="shared" si="143"/>
        <v>16223.434919999998</v>
      </c>
      <c r="AL437">
        <f t="shared" si="144"/>
        <v>8943.145199999999</v>
      </c>
      <c r="AM437">
        <f t="shared" si="145"/>
        <v>7280.2897199999989</v>
      </c>
    </row>
    <row r="438" spans="1:39" x14ac:dyDescent="0.25">
      <c r="A438" t="s">
        <v>109</v>
      </c>
      <c r="B438" s="4">
        <v>45910</v>
      </c>
      <c r="C438" s="4">
        <v>45930</v>
      </c>
      <c r="D438" s="13">
        <f t="shared" si="126"/>
        <v>20</v>
      </c>
      <c r="E438" s="6" t="s">
        <v>646</v>
      </c>
      <c r="F438" t="s">
        <v>650</v>
      </c>
      <c r="G438" t="s">
        <v>675</v>
      </c>
      <c r="H438" t="s">
        <v>701</v>
      </c>
      <c r="I438" t="s">
        <v>711</v>
      </c>
      <c r="J438" t="s">
        <v>716</v>
      </c>
      <c r="K438" t="s">
        <v>730</v>
      </c>
      <c r="L438" t="s">
        <v>828</v>
      </c>
      <c r="M438" s="8">
        <v>1009.48</v>
      </c>
      <c r="N438" s="8">
        <v>1088.81</v>
      </c>
      <c r="O438" s="8">
        <f t="shared" si="127"/>
        <v>1088.81</v>
      </c>
      <c r="P438" s="11">
        <v>0.16</v>
      </c>
      <c r="Q438" s="13">
        <v>6</v>
      </c>
      <c r="R438" s="8">
        <f t="shared" si="128"/>
        <v>5487.6023999999998</v>
      </c>
      <c r="S438" s="8">
        <f t="shared" si="129"/>
        <v>6056.88</v>
      </c>
      <c r="T438" s="8">
        <f t="shared" si="130"/>
        <v>-569.27760000000035</v>
      </c>
      <c r="U438" s="11">
        <f t="shared" si="131"/>
        <v>-0.10373885688219693</v>
      </c>
      <c r="V438" s="17">
        <v>44948</v>
      </c>
      <c r="W438" s="4" t="str">
        <f t="shared" si="132"/>
        <v>Q3-2025</v>
      </c>
      <c r="X438" t="str">
        <f t="shared" si="133"/>
        <v>Africa → Kenya → Mombasa</v>
      </c>
      <c r="Y438" t="str">
        <f t="shared" si="134"/>
        <v>Medium</v>
      </c>
      <c r="Z438" s="20">
        <f t="shared" si="135"/>
        <v>45901</v>
      </c>
      <c r="AA438" s="4">
        <f t="array" ref="AA438">MIN(IF($F$2:$F$633=F438,$Z$2:$Z$633))</f>
        <v>44927</v>
      </c>
      <c r="AB438">
        <f t="shared" si="136"/>
        <v>32</v>
      </c>
      <c r="AC438">
        <f t="shared" si="137"/>
        <v>0</v>
      </c>
      <c r="AD438">
        <f t="shared" si="138"/>
        <v>0</v>
      </c>
      <c r="AE438" s="13">
        <f t="shared" si="139"/>
        <v>0</v>
      </c>
      <c r="AH438">
        <f t="shared" si="140"/>
        <v>7.1999999999999993</v>
      </c>
      <c r="AI438">
        <f t="shared" si="141"/>
        <v>1160.902</v>
      </c>
      <c r="AJ438" s="11">
        <f t="shared" si="142"/>
        <v>0.16</v>
      </c>
      <c r="AK438">
        <f t="shared" si="143"/>
        <v>6585.122879999999</v>
      </c>
      <c r="AL438">
        <f t="shared" si="144"/>
        <v>8358.4943999999996</v>
      </c>
      <c r="AM438">
        <f t="shared" si="145"/>
        <v>-1773.3715200000006</v>
      </c>
    </row>
    <row r="439" spans="1:39" x14ac:dyDescent="0.25">
      <c r="A439" t="s">
        <v>161</v>
      </c>
      <c r="B439" s="4">
        <v>45911</v>
      </c>
      <c r="C439" s="4">
        <v>45928</v>
      </c>
      <c r="D439" s="13">
        <f t="shared" si="126"/>
        <v>17</v>
      </c>
      <c r="E439" s="6" t="s">
        <v>646</v>
      </c>
      <c r="F439" t="s">
        <v>650</v>
      </c>
      <c r="G439" t="s">
        <v>664</v>
      </c>
      <c r="H439" t="s">
        <v>703</v>
      </c>
      <c r="I439" t="s">
        <v>710</v>
      </c>
      <c r="J439" t="s">
        <v>713</v>
      </c>
      <c r="K439" t="s">
        <v>731</v>
      </c>
      <c r="L439" t="s">
        <v>880</v>
      </c>
      <c r="M439" s="8">
        <v>891.46</v>
      </c>
      <c r="N439" s="8">
        <v>728.61</v>
      </c>
      <c r="O439" s="8">
        <f t="shared" si="127"/>
        <v>728.61</v>
      </c>
      <c r="P439" s="11">
        <v>0.185</v>
      </c>
      <c r="Q439" s="13">
        <v>6</v>
      </c>
      <c r="R439" s="8">
        <f t="shared" si="128"/>
        <v>3562.9028999999996</v>
      </c>
      <c r="S439" s="8">
        <f t="shared" si="129"/>
        <v>5348.76</v>
      </c>
      <c r="T439" s="8">
        <f t="shared" si="130"/>
        <v>-1785.8571000000006</v>
      </c>
      <c r="U439" s="11">
        <f t="shared" si="131"/>
        <v>-0.50123653383874167</v>
      </c>
      <c r="V439" s="17">
        <v>44936</v>
      </c>
      <c r="W439" s="4" t="str">
        <f t="shared" si="132"/>
        <v>Q3-2025</v>
      </c>
      <c r="X439" t="str">
        <f t="shared" si="133"/>
        <v>Africa → Kenya → Nairobi</v>
      </c>
      <c r="Y439" t="str">
        <f t="shared" si="134"/>
        <v>Low</v>
      </c>
      <c r="Z439" s="20">
        <f t="shared" si="135"/>
        <v>45901</v>
      </c>
      <c r="AA439" s="4">
        <f t="array" ref="AA439">MIN(IF($F$2:$F$633=F439,$Z$2:$Z$633))</f>
        <v>44927</v>
      </c>
      <c r="AB439">
        <f t="shared" si="136"/>
        <v>32</v>
      </c>
      <c r="AC439">
        <f t="shared" si="137"/>
        <v>0</v>
      </c>
      <c r="AD439">
        <f t="shared" si="138"/>
        <v>0</v>
      </c>
      <c r="AE439" s="13">
        <f t="shared" si="139"/>
        <v>0</v>
      </c>
      <c r="AH439">
        <f t="shared" si="140"/>
        <v>7.1999999999999993</v>
      </c>
      <c r="AI439">
        <f t="shared" si="141"/>
        <v>1025.1789999999999</v>
      </c>
      <c r="AJ439" s="11">
        <f t="shared" si="142"/>
        <v>0.185</v>
      </c>
      <c r="AK439">
        <f t="shared" si="143"/>
        <v>4275.483479999999</v>
      </c>
      <c r="AL439">
        <f t="shared" si="144"/>
        <v>7381.2887999999984</v>
      </c>
      <c r="AM439">
        <f t="shared" si="145"/>
        <v>-3105.8053199999995</v>
      </c>
    </row>
    <row r="440" spans="1:39" x14ac:dyDescent="0.25">
      <c r="A440" t="s">
        <v>22</v>
      </c>
      <c r="B440" s="4">
        <v>44939</v>
      </c>
      <c r="C440" s="4">
        <v>44941</v>
      </c>
      <c r="D440" s="13">
        <f t="shared" si="126"/>
        <v>2</v>
      </c>
      <c r="E440" s="6" t="s">
        <v>646</v>
      </c>
      <c r="F440" t="s">
        <v>651</v>
      </c>
      <c r="G440" t="s">
        <v>669</v>
      </c>
      <c r="H440" t="s">
        <v>702</v>
      </c>
      <c r="I440" t="s">
        <v>708</v>
      </c>
      <c r="J440" t="s">
        <v>719</v>
      </c>
      <c r="K440" t="s">
        <v>728</v>
      </c>
      <c r="L440" t="s">
        <v>741</v>
      </c>
      <c r="M440" s="8">
        <v>28.38</v>
      </c>
      <c r="N440" s="8">
        <v>47.22</v>
      </c>
      <c r="O440" s="8">
        <f t="shared" si="127"/>
        <v>47.22</v>
      </c>
      <c r="P440" s="11">
        <v>0.19400000000000001</v>
      </c>
      <c r="Q440" s="13">
        <v>18</v>
      </c>
      <c r="R440" s="8">
        <f t="shared" si="128"/>
        <v>685.06776000000002</v>
      </c>
      <c r="S440" s="8">
        <f t="shared" si="129"/>
        <v>510.84</v>
      </c>
      <c r="T440" s="8">
        <f t="shared" si="130"/>
        <v>174.22776000000005</v>
      </c>
      <c r="U440" s="11">
        <f t="shared" si="131"/>
        <v>0.25432193743871417</v>
      </c>
      <c r="V440" s="17">
        <v>45914</v>
      </c>
      <c r="W440" s="4" t="str">
        <f t="shared" si="132"/>
        <v>Q1-2023</v>
      </c>
      <c r="X440" t="str">
        <f t="shared" si="133"/>
        <v>Africa → Nigeria → Abuja</v>
      </c>
      <c r="Y440" t="str">
        <f t="shared" si="134"/>
        <v>Low</v>
      </c>
      <c r="Z440" s="20">
        <f t="shared" si="135"/>
        <v>44927</v>
      </c>
      <c r="AA440" s="4">
        <f t="array" ref="AA440">MIN(IF($F$2:$F$633=F440,$Z$2:$Z$633))</f>
        <v>44927</v>
      </c>
      <c r="AB440">
        <f t="shared" si="136"/>
        <v>0</v>
      </c>
      <c r="AC440">
        <f t="shared" si="137"/>
        <v>1</v>
      </c>
      <c r="AD440">
        <f t="shared" si="138"/>
        <v>0</v>
      </c>
      <c r="AE440" s="13">
        <f t="shared" si="139"/>
        <v>1</v>
      </c>
      <c r="AH440">
        <f t="shared" si="140"/>
        <v>21.599999999999998</v>
      </c>
      <c r="AI440">
        <f t="shared" si="141"/>
        <v>32.636999999999993</v>
      </c>
      <c r="AJ440" s="11">
        <f t="shared" si="142"/>
        <v>0.19400000000000001</v>
      </c>
      <c r="AK440">
        <f t="shared" si="143"/>
        <v>822.08131199999991</v>
      </c>
      <c r="AL440">
        <f t="shared" si="144"/>
        <v>704.95919999999978</v>
      </c>
      <c r="AM440">
        <f t="shared" si="145"/>
        <v>117.12211200000013</v>
      </c>
    </row>
    <row r="441" spans="1:39" x14ac:dyDescent="0.25">
      <c r="A441" t="s">
        <v>557</v>
      </c>
      <c r="B441" s="4">
        <v>44968</v>
      </c>
      <c r="C441" s="4">
        <v>44969</v>
      </c>
      <c r="D441" s="13">
        <f t="shared" si="126"/>
        <v>1</v>
      </c>
      <c r="E441" s="6" t="s">
        <v>646</v>
      </c>
      <c r="F441" t="s">
        <v>651</v>
      </c>
      <c r="G441" t="s">
        <v>663</v>
      </c>
      <c r="H441" t="s">
        <v>703</v>
      </c>
      <c r="I441" t="s">
        <v>711</v>
      </c>
      <c r="J441" t="s">
        <v>726</v>
      </c>
      <c r="K441" t="s">
        <v>733</v>
      </c>
      <c r="L441" t="s">
        <v>1275</v>
      </c>
      <c r="M441" s="8">
        <v>944.61</v>
      </c>
      <c r="N441" s="8">
        <v>839.04</v>
      </c>
      <c r="O441" s="8">
        <f t="shared" si="127"/>
        <v>839.04</v>
      </c>
      <c r="P441" s="11">
        <v>5.8999999999999997E-2</v>
      </c>
      <c r="Q441" s="13">
        <v>6</v>
      </c>
      <c r="R441" s="8">
        <f t="shared" si="128"/>
        <v>4737.2198399999997</v>
      </c>
      <c r="S441" s="8">
        <f t="shared" si="129"/>
        <v>5667.66</v>
      </c>
      <c r="T441" s="8">
        <f t="shared" si="130"/>
        <v>-930.44016000000011</v>
      </c>
      <c r="U441" s="11">
        <f t="shared" si="131"/>
        <v>-0.19641059343363726</v>
      </c>
      <c r="V441" s="17">
        <v>45897</v>
      </c>
      <c r="W441" s="4" t="str">
        <f t="shared" si="132"/>
        <v>Q1-2023</v>
      </c>
      <c r="X441" t="str">
        <f t="shared" si="133"/>
        <v>Africa → Nigeria → Port Harcourt</v>
      </c>
      <c r="Y441" t="str">
        <f t="shared" si="134"/>
        <v>Medium</v>
      </c>
      <c r="Z441" s="20">
        <f t="shared" si="135"/>
        <v>44958</v>
      </c>
      <c r="AA441" s="4">
        <f t="array" ref="AA441">MIN(IF($F$2:$F$633=F441,$Z$2:$Z$633))</f>
        <v>44927</v>
      </c>
      <c r="AB441">
        <f t="shared" si="136"/>
        <v>1</v>
      </c>
      <c r="AC441">
        <f t="shared" si="137"/>
        <v>1</v>
      </c>
      <c r="AD441">
        <f t="shared" si="138"/>
        <v>0</v>
      </c>
      <c r="AE441" s="13">
        <f t="shared" si="139"/>
        <v>1</v>
      </c>
      <c r="AH441">
        <f t="shared" si="140"/>
        <v>7.1999999999999993</v>
      </c>
      <c r="AI441">
        <f t="shared" si="141"/>
        <v>1086.3015</v>
      </c>
      <c r="AJ441" s="11">
        <f t="shared" si="142"/>
        <v>5.8999999999999997E-2</v>
      </c>
      <c r="AK441">
        <f t="shared" si="143"/>
        <v>5684.6638079999993</v>
      </c>
      <c r="AL441">
        <f t="shared" si="144"/>
        <v>7821.3707999999997</v>
      </c>
      <c r="AM441">
        <f t="shared" si="145"/>
        <v>-2136.7069920000004</v>
      </c>
    </row>
    <row r="442" spans="1:39" x14ac:dyDescent="0.25">
      <c r="A442" t="s">
        <v>386</v>
      </c>
      <c r="B442" s="4">
        <v>45022</v>
      </c>
      <c r="C442" s="4">
        <v>45024</v>
      </c>
      <c r="D442" s="13">
        <f t="shared" si="126"/>
        <v>2</v>
      </c>
      <c r="E442" s="6" t="s">
        <v>646</v>
      </c>
      <c r="F442" t="s">
        <v>651</v>
      </c>
      <c r="G442" t="s">
        <v>669</v>
      </c>
      <c r="H442" t="s">
        <v>705</v>
      </c>
      <c r="I442" t="s">
        <v>709</v>
      </c>
      <c r="J442" t="s">
        <v>723</v>
      </c>
      <c r="K442" t="s">
        <v>732</v>
      </c>
      <c r="L442" t="s">
        <v>1106</v>
      </c>
      <c r="M442" s="8">
        <v>720.35</v>
      </c>
      <c r="N442" s="8">
        <v>1571.66</v>
      </c>
      <c r="O442" s="8">
        <f t="shared" si="127"/>
        <v>1571.66</v>
      </c>
      <c r="P442" s="11">
        <v>0.107</v>
      </c>
      <c r="Q442" s="13">
        <v>23</v>
      </c>
      <c r="R442" s="8">
        <f t="shared" si="128"/>
        <v>32280.32474</v>
      </c>
      <c r="S442" s="8">
        <f t="shared" si="129"/>
        <v>16568.05</v>
      </c>
      <c r="T442" s="8">
        <f t="shared" si="130"/>
        <v>15712.274740000001</v>
      </c>
      <c r="U442" s="11">
        <f t="shared" si="131"/>
        <v>0.4867446305622265</v>
      </c>
      <c r="V442" s="17">
        <v>45832</v>
      </c>
      <c r="W442" s="4" t="str">
        <f t="shared" si="132"/>
        <v>Q2-2023</v>
      </c>
      <c r="X442" t="str">
        <f t="shared" si="133"/>
        <v>Africa → Nigeria → Abuja</v>
      </c>
      <c r="Y442" t="str">
        <f t="shared" si="134"/>
        <v>Medium</v>
      </c>
      <c r="Z442" s="20">
        <f t="shared" si="135"/>
        <v>45017</v>
      </c>
      <c r="AA442" s="4">
        <f t="array" ref="AA442">MIN(IF($F$2:$F$633=F442,$Z$2:$Z$633))</f>
        <v>44927</v>
      </c>
      <c r="AB442">
        <f t="shared" si="136"/>
        <v>3</v>
      </c>
      <c r="AC442">
        <f t="shared" si="137"/>
        <v>1</v>
      </c>
      <c r="AD442">
        <f t="shared" si="138"/>
        <v>0</v>
      </c>
      <c r="AE442" s="13">
        <f t="shared" si="139"/>
        <v>1</v>
      </c>
      <c r="AH442">
        <f t="shared" si="140"/>
        <v>27.599999999999998</v>
      </c>
      <c r="AI442">
        <f t="shared" si="141"/>
        <v>828.40249999999992</v>
      </c>
      <c r="AJ442" s="11">
        <f t="shared" si="142"/>
        <v>0.107</v>
      </c>
      <c r="AK442">
        <f t="shared" si="143"/>
        <v>38736.389688000003</v>
      </c>
      <c r="AL442">
        <f t="shared" si="144"/>
        <v>22863.908999999996</v>
      </c>
      <c r="AM442">
        <f t="shared" si="145"/>
        <v>15872.480688000007</v>
      </c>
    </row>
    <row r="443" spans="1:39" x14ac:dyDescent="0.25">
      <c r="A443" t="s">
        <v>533</v>
      </c>
      <c r="B443" s="4">
        <v>45047</v>
      </c>
      <c r="C443" s="4">
        <v>45064</v>
      </c>
      <c r="D443" s="13">
        <f t="shared" si="126"/>
        <v>17</v>
      </c>
      <c r="E443" s="6" t="s">
        <v>646</v>
      </c>
      <c r="F443" t="s">
        <v>651</v>
      </c>
      <c r="G443" t="s">
        <v>663</v>
      </c>
      <c r="H443" t="s">
        <v>701</v>
      </c>
      <c r="I443" t="s">
        <v>711</v>
      </c>
      <c r="J443" t="s">
        <v>721</v>
      </c>
      <c r="K443" t="s">
        <v>727</v>
      </c>
      <c r="L443" t="s">
        <v>1252</v>
      </c>
      <c r="M443" s="8">
        <v>327.97</v>
      </c>
      <c r="N443" s="8">
        <v>299.94</v>
      </c>
      <c r="O443" s="8">
        <f t="shared" si="127"/>
        <v>299.94</v>
      </c>
      <c r="P443" s="11">
        <v>4.9000000000000002E-2</v>
      </c>
      <c r="Q443" s="13">
        <v>3</v>
      </c>
      <c r="R443" s="8">
        <f t="shared" si="128"/>
        <v>855.72881999999993</v>
      </c>
      <c r="S443" s="8">
        <f t="shared" si="129"/>
        <v>983.91000000000008</v>
      </c>
      <c r="T443" s="8">
        <f t="shared" si="130"/>
        <v>-128.18118000000015</v>
      </c>
      <c r="U443" s="11">
        <f t="shared" si="131"/>
        <v>-0.14979182306843442</v>
      </c>
      <c r="V443" s="17">
        <v>45811</v>
      </c>
      <c r="W443" s="4" t="str">
        <f t="shared" si="132"/>
        <v>Q2-2023</v>
      </c>
      <c r="X443" t="str">
        <f t="shared" si="133"/>
        <v>Africa → Nigeria → Port Harcourt</v>
      </c>
      <c r="Y443" t="str">
        <f t="shared" si="134"/>
        <v>Low</v>
      </c>
      <c r="Z443" s="20">
        <f t="shared" si="135"/>
        <v>45047</v>
      </c>
      <c r="AA443" s="4">
        <f t="array" ref="AA443">MIN(IF($F$2:$F$633=F443,$Z$2:$Z$633))</f>
        <v>44927</v>
      </c>
      <c r="AB443">
        <f t="shared" si="136"/>
        <v>4</v>
      </c>
      <c r="AC443">
        <f t="shared" si="137"/>
        <v>0</v>
      </c>
      <c r="AD443">
        <f t="shared" si="138"/>
        <v>0</v>
      </c>
      <c r="AE443" s="13">
        <f t="shared" si="139"/>
        <v>0</v>
      </c>
      <c r="AH443">
        <f t="shared" si="140"/>
        <v>3.5999999999999996</v>
      </c>
      <c r="AI443">
        <f t="shared" si="141"/>
        <v>377.16550000000001</v>
      </c>
      <c r="AJ443" s="11">
        <f t="shared" si="142"/>
        <v>4.9000000000000002E-2</v>
      </c>
      <c r="AK443">
        <f t="shared" si="143"/>
        <v>1026.8745839999999</v>
      </c>
      <c r="AL443">
        <f t="shared" si="144"/>
        <v>1357.7957999999999</v>
      </c>
      <c r="AM443">
        <f t="shared" si="145"/>
        <v>-330.92121599999996</v>
      </c>
    </row>
    <row r="444" spans="1:39" x14ac:dyDescent="0.25">
      <c r="A444" t="s">
        <v>361</v>
      </c>
      <c r="B444" s="4">
        <v>45050</v>
      </c>
      <c r="C444" s="4">
        <v>45062</v>
      </c>
      <c r="D444" s="13">
        <f t="shared" si="126"/>
        <v>12</v>
      </c>
      <c r="E444" s="6" t="s">
        <v>646</v>
      </c>
      <c r="F444" t="s">
        <v>651</v>
      </c>
      <c r="G444" t="s">
        <v>669</v>
      </c>
      <c r="H444" t="s">
        <v>705</v>
      </c>
      <c r="I444" t="s">
        <v>709</v>
      </c>
      <c r="J444" t="s">
        <v>713</v>
      </c>
      <c r="K444" t="s">
        <v>730</v>
      </c>
      <c r="L444" t="s">
        <v>1081</v>
      </c>
      <c r="M444" s="8">
        <v>77.739999999999995</v>
      </c>
      <c r="N444" s="8">
        <v>147.12</v>
      </c>
      <c r="O444" s="8">
        <f t="shared" si="127"/>
        <v>147.12</v>
      </c>
      <c r="P444" s="11">
        <v>0</v>
      </c>
      <c r="Q444" s="13">
        <v>15</v>
      </c>
      <c r="R444" s="8">
        <f t="shared" si="128"/>
        <v>2206.8000000000002</v>
      </c>
      <c r="S444" s="8">
        <f t="shared" si="129"/>
        <v>1166.0999999999999</v>
      </c>
      <c r="T444" s="8">
        <f t="shared" si="130"/>
        <v>1040.7000000000003</v>
      </c>
      <c r="U444" s="11">
        <f t="shared" si="131"/>
        <v>0.47158781946710177</v>
      </c>
      <c r="V444" s="17">
        <v>45792</v>
      </c>
      <c r="W444" s="4" t="str">
        <f t="shared" si="132"/>
        <v>Q2-2023</v>
      </c>
      <c r="X444" t="str">
        <f t="shared" si="133"/>
        <v>Africa → Nigeria → Abuja</v>
      </c>
      <c r="Y444" t="str">
        <f t="shared" si="134"/>
        <v>Low</v>
      </c>
      <c r="Z444" s="20">
        <f t="shared" si="135"/>
        <v>45047</v>
      </c>
      <c r="AA444" s="4">
        <f t="array" ref="AA444">MIN(IF($F$2:$F$633=F444,$Z$2:$Z$633))</f>
        <v>44927</v>
      </c>
      <c r="AB444">
        <f t="shared" si="136"/>
        <v>4</v>
      </c>
      <c r="AC444">
        <f t="shared" si="137"/>
        <v>0</v>
      </c>
      <c r="AD444">
        <f t="shared" si="138"/>
        <v>0</v>
      </c>
      <c r="AE444" s="13">
        <f t="shared" si="139"/>
        <v>0</v>
      </c>
      <c r="AH444">
        <f t="shared" si="140"/>
        <v>18</v>
      </c>
      <c r="AI444">
        <f t="shared" si="141"/>
        <v>89.400999999999982</v>
      </c>
      <c r="AJ444" s="11">
        <f t="shared" si="142"/>
        <v>0</v>
      </c>
      <c r="AK444">
        <f t="shared" si="143"/>
        <v>2648.16</v>
      </c>
      <c r="AL444">
        <f t="shared" si="144"/>
        <v>1609.2179999999996</v>
      </c>
      <c r="AM444">
        <f t="shared" si="145"/>
        <v>1038.9420000000002</v>
      </c>
    </row>
    <row r="445" spans="1:39" x14ac:dyDescent="0.25">
      <c r="A445" t="s">
        <v>281</v>
      </c>
      <c r="B445" s="4">
        <v>45051</v>
      </c>
      <c r="C445" s="4">
        <v>45053</v>
      </c>
      <c r="D445" s="13">
        <f t="shared" si="126"/>
        <v>2</v>
      </c>
      <c r="E445" s="6" t="s">
        <v>646</v>
      </c>
      <c r="F445" t="s">
        <v>651</v>
      </c>
      <c r="G445" t="s">
        <v>663</v>
      </c>
      <c r="H445" t="s">
        <v>703</v>
      </c>
      <c r="I445" t="s">
        <v>709</v>
      </c>
      <c r="J445" t="s">
        <v>720</v>
      </c>
      <c r="K445" t="s">
        <v>727</v>
      </c>
      <c r="L445" t="s">
        <v>1001</v>
      </c>
      <c r="M445" s="8">
        <v>1269.6500000000001</v>
      </c>
      <c r="N445" s="8">
        <v>2462.77</v>
      </c>
      <c r="O445" s="8">
        <f t="shared" si="127"/>
        <v>2462.77</v>
      </c>
      <c r="P445" s="11">
        <v>0.107</v>
      </c>
      <c r="Q445" s="13">
        <v>8</v>
      </c>
      <c r="R445" s="8">
        <f t="shared" si="128"/>
        <v>17594.028880000002</v>
      </c>
      <c r="S445" s="8">
        <f t="shared" si="129"/>
        <v>10157.200000000001</v>
      </c>
      <c r="T445" s="8">
        <f t="shared" si="130"/>
        <v>7436.8288800000009</v>
      </c>
      <c r="U445" s="11">
        <f t="shared" si="131"/>
        <v>0.42269050089225502</v>
      </c>
      <c r="V445" s="17">
        <v>45794</v>
      </c>
      <c r="W445" s="4" t="str">
        <f t="shared" si="132"/>
        <v>Q2-2023</v>
      </c>
      <c r="X445" t="str">
        <f t="shared" si="133"/>
        <v>Africa → Nigeria → Port Harcourt</v>
      </c>
      <c r="Y445" t="str">
        <f t="shared" si="134"/>
        <v>High</v>
      </c>
      <c r="Z445" s="20">
        <f t="shared" si="135"/>
        <v>45047</v>
      </c>
      <c r="AA445" s="4">
        <f t="array" ref="AA445">MIN(IF($F$2:$F$633=F445,$Z$2:$Z$633))</f>
        <v>44927</v>
      </c>
      <c r="AB445">
        <f t="shared" si="136"/>
        <v>4</v>
      </c>
      <c r="AC445">
        <f t="shared" si="137"/>
        <v>1</v>
      </c>
      <c r="AD445">
        <f t="shared" si="138"/>
        <v>0</v>
      </c>
      <c r="AE445" s="13">
        <f t="shared" si="139"/>
        <v>1</v>
      </c>
      <c r="AH445">
        <f t="shared" si="140"/>
        <v>9.6</v>
      </c>
      <c r="AI445">
        <f t="shared" si="141"/>
        <v>1460.0975000000001</v>
      </c>
      <c r="AJ445" s="11">
        <f t="shared" si="142"/>
        <v>0.107</v>
      </c>
      <c r="AK445">
        <f t="shared" si="143"/>
        <v>21112.834655999999</v>
      </c>
      <c r="AL445">
        <f t="shared" si="144"/>
        <v>14016.936</v>
      </c>
      <c r="AM445">
        <f t="shared" si="145"/>
        <v>7095.8986559999994</v>
      </c>
    </row>
    <row r="446" spans="1:39" x14ac:dyDescent="0.25">
      <c r="A446" t="s">
        <v>274</v>
      </c>
      <c r="B446" s="4">
        <v>45066</v>
      </c>
      <c r="C446" s="4">
        <v>45084</v>
      </c>
      <c r="D446" s="13">
        <f t="shared" si="126"/>
        <v>18</v>
      </c>
      <c r="E446" s="6" t="s">
        <v>646</v>
      </c>
      <c r="F446" t="s">
        <v>651</v>
      </c>
      <c r="G446" t="s">
        <v>663</v>
      </c>
      <c r="H446" t="s">
        <v>706</v>
      </c>
      <c r="I446" t="s">
        <v>710</v>
      </c>
      <c r="J446" t="s">
        <v>718</v>
      </c>
      <c r="K446" t="s">
        <v>727</v>
      </c>
      <c r="L446" t="s">
        <v>994</v>
      </c>
      <c r="M446" s="8">
        <v>1120.06</v>
      </c>
      <c r="N446" s="8">
        <v>2068.21</v>
      </c>
      <c r="O446" s="8">
        <f t="shared" si="127"/>
        <v>2068.21</v>
      </c>
      <c r="P446" s="11">
        <v>7.8E-2</v>
      </c>
      <c r="Q446" s="13">
        <v>12</v>
      </c>
      <c r="R446" s="8">
        <f t="shared" si="128"/>
        <v>22882.675440000003</v>
      </c>
      <c r="S446" s="8">
        <f t="shared" si="129"/>
        <v>13440.72</v>
      </c>
      <c r="T446" s="8">
        <f t="shared" si="130"/>
        <v>9441.9554400000034</v>
      </c>
      <c r="U446" s="11">
        <f t="shared" si="131"/>
        <v>0.41262462795303284</v>
      </c>
      <c r="V446" s="17">
        <v>45774</v>
      </c>
      <c r="W446" s="4" t="str">
        <f t="shared" si="132"/>
        <v>Q2-2023</v>
      </c>
      <c r="X446" t="str">
        <f t="shared" si="133"/>
        <v>Africa → Nigeria → Port Harcourt</v>
      </c>
      <c r="Y446" t="str">
        <f t="shared" si="134"/>
        <v>High</v>
      </c>
      <c r="Z446" s="20">
        <f t="shared" si="135"/>
        <v>45047</v>
      </c>
      <c r="AA446" s="4">
        <f t="array" ref="AA446">MIN(IF($F$2:$F$633=F446,$Z$2:$Z$633))</f>
        <v>44927</v>
      </c>
      <c r="AB446">
        <f t="shared" si="136"/>
        <v>4</v>
      </c>
      <c r="AC446">
        <f t="shared" si="137"/>
        <v>0</v>
      </c>
      <c r="AD446">
        <f t="shared" si="138"/>
        <v>0</v>
      </c>
      <c r="AE446" s="13">
        <f t="shared" si="139"/>
        <v>0</v>
      </c>
      <c r="AH446">
        <f t="shared" si="140"/>
        <v>14.399999999999999</v>
      </c>
      <c r="AI446">
        <f t="shared" si="141"/>
        <v>1288.0689999999997</v>
      </c>
      <c r="AJ446" s="11">
        <f t="shared" si="142"/>
        <v>7.8E-2</v>
      </c>
      <c r="AK446">
        <f t="shared" si="143"/>
        <v>27459.210528</v>
      </c>
      <c r="AL446">
        <f t="shared" si="144"/>
        <v>18548.193599999995</v>
      </c>
      <c r="AM446">
        <f t="shared" si="145"/>
        <v>8911.0169280000046</v>
      </c>
    </row>
    <row r="447" spans="1:39" x14ac:dyDescent="0.25">
      <c r="A447" t="s">
        <v>61</v>
      </c>
      <c r="B447" s="4">
        <v>45100</v>
      </c>
      <c r="C447" s="4">
        <v>45110</v>
      </c>
      <c r="D447" s="13">
        <f t="shared" si="126"/>
        <v>10</v>
      </c>
      <c r="E447" s="6" t="s">
        <v>646</v>
      </c>
      <c r="F447" t="s">
        <v>651</v>
      </c>
      <c r="G447" t="s">
        <v>669</v>
      </c>
      <c r="H447" t="s">
        <v>704</v>
      </c>
      <c r="I447" t="s">
        <v>708</v>
      </c>
      <c r="J447" t="s">
        <v>713</v>
      </c>
      <c r="K447" t="s">
        <v>728</v>
      </c>
      <c r="L447" t="s">
        <v>780</v>
      </c>
      <c r="M447" s="8">
        <v>337.75</v>
      </c>
      <c r="N447" s="8">
        <v>548.89</v>
      </c>
      <c r="O447" s="8">
        <f t="shared" si="127"/>
        <v>548.89</v>
      </c>
      <c r="P447" s="11">
        <v>0</v>
      </c>
      <c r="Q447" s="13">
        <v>13</v>
      </c>
      <c r="R447" s="8">
        <f t="shared" si="128"/>
        <v>7135.57</v>
      </c>
      <c r="S447" s="8">
        <f t="shared" si="129"/>
        <v>4390.75</v>
      </c>
      <c r="T447" s="8">
        <f t="shared" si="130"/>
        <v>2744.8199999999997</v>
      </c>
      <c r="U447" s="11">
        <f t="shared" si="131"/>
        <v>0.38466723751571352</v>
      </c>
      <c r="V447" s="17">
        <v>45756</v>
      </c>
      <c r="W447" s="4" t="str">
        <f t="shared" si="132"/>
        <v>Q2-2023</v>
      </c>
      <c r="X447" t="str">
        <f t="shared" si="133"/>
        <v>Africa → Nigeria → Abuja</v>
      </c>
      <c r="Y447" t="str">
        <f t="shared" si="134"/>
        <v>Low</v>
      </c>
      <c r="Z447" s="20">
        <f t="shared" si="135"/>
        <v>45078</v>
      </c>
      <c r="AA447" s="4">
        <f t="array" ref="AA447">MIN(IF($F$2:$F$633=F447,$Z$2:$Z$633))</f>
        <v>44927</v>
      </c>
      <c r="AB447">
        <f t="shared" si="136"/>
        <v>5</v>
      </c>
      <c r="AC447">
        <f t="shared" si="137"/>
        <v>0</v>
      </c>
      <c r="AD447">
        <f t="shared" si="138"/>
        <v>0</v>
      </c>
      <c r="AE447" s="13">
        <f t="shared" si="139"/>
        <v>0</v>
      </c>
      <c r="AH447">
        <f t="shared" si="140"/>
        <v>15.6</v>
      </c>
      <c r="AI447">
        <f t="shared" si="141"/>
        <v>388.41249999999997</v>
      </c>
      <c r="AJ447" s="11">
        <f t="shared" si="142"/>
        <v>0</v>
      </c>
      <c r="AK447">
        <f t="shared" si="143"/>
        <v>8562.6839999999993</v>
      </c>
      <c r="AL447">
        <f t="shared" si="144"/>
        <v>6059.2349999999997</v>
      </c>
      <c r="AM447">
        <f t="shared" si="145"/>
        <v>2503.4489999999996</v>
      </c>
    </row>
    <row r="448" spans="1:39" x14ac:dyDescent="0.25">
      <c r="A448" t="s">
        <v>376</v>
      </c>
      <c r="B448" s="4">
        <v>45108</v>
      </c>
      <c r="C448" s="4">
        <v>45115</v>
      </c>
      <c r="D448" s="13">
        <f t="shared" si="126"/>
        <v>7</v>
      </c>
      <c r="E448" s="6" t="s">
        <v>646</v>
      </c>
      <c r="F448" t="s">
        <v>651</v>
      </c>
      <c r="G448" t="s">
        <v>663</v>
      </c>
      <c r="H448" t="s">
        <v>701</v>
      </c>
      <c r="I448" t="s">
        <v>707</v>
      </c>
      <c r="J448" t="s">
        <v>720</v>
      </c>
      <c r="K448" t="s">
        <v>731</v>
      </c>
      <c r="L448" t="s">
        <v>1096</v>
      </c>
      <c r="M448" s="8">
        <v>834.26</v>
      </c>
      <c r="N448" s="8">
        <v>1780.56</v>
      </c>
      <c r="O448" s="8">
        <f t="shared" si="127"/>
        <v>1780.56</v>
      </c>
      <c r="P448" s="11">
        <v>1.4E-2</v>
      </c>
      <c r="Q448" s="13">
        <v>47</v>
      </c>
      <c r="R448" s="8">
        <f t="shared" si="128"/>
        <v>82514.711519999997</v>
      </c>
      <c r="S448" s="8">
        <f t="shared" si="129"/>
        <v>39210.22</v>
      </c>
      <c r="T448" s="8">
        <f t="shared" si="130"/>
        <v>43304.491519999996</v>
      </c>
      <c r="U448" s="11">
        <f t="shared" si="131"/>
        <v>0.5248093427497933</v>
      </c>
      <c r="V448" s="17">
        <v>45746</v>
      </c>
      <c r="W448" s="4" t="str">
        <f t="shared" si="132"/>
        <v>Q3-2023</v>
      </c>
      <c r="X448" t="str">
        <f t="shared" si="133"/>
        <v>Africa → Nigeria → Port Harcourt</v>
      </c>
      <c r="Y448" t="str">
        <f t="shared" si="134"/>
        <v>High</v>
      </c>
      <c r="Z448" s="20">
        <f t="shared" si="135"/>
        <v>45108</v>
      </c>
      <c r="AA448" s="4">
        <f t="array" ref="AA448">MIN(IF($F$2:$F$633=F448,$Z$2:$Z$633))</f>
        <v>44927</v>
      </c>
      <c r="AB448">
        <f t="shared" si="136"/>
        <v>6</v>
      </c>
      <c r="AC448">
        <f t="shared" si="137"/>
        <v>1</v>
      </c>
      <c r="AD448">
        <f t="shared" si="138"/>
        <v>0</v>
      </c>
      <c r="AE448" s="13">
        <f t="shared" si="139"/>
        <v>1</v>
      </c>
      <c r="AH448">
        <f t="shared" si="140"/>
        <v>56.4</v>
      </c>
      <c r="AI448">
        <f t="shared" si="141"/>
        <v>959.39899999999989</v>
      </c>
      <c r="AJ448" s="11">
        <f t="shared" si="142"/>
        <v>1.4E-2</v>
      </c>
      <c r="AK448">
        <f t="shared" si="143"/>
        <v>99017.653823999994</v>
      </c>
      <c r="AL448">
        <f t="shared" si="144"/>
        <v>54110.103599999995</v>
      </c>
      <c r="AM448">
        <f t="shared" si="145"/>
        <v>44907.550223999999</v>
      </c>
    </row>
    <row r="449" spans="1:39" x14ac:dyDescent="0.25">
      <c r="A449" t="s">
        <v>366</v>
      </c>
      <c r="B449" s="4">
        <v>45121</v>
      </c>
      <c r="C449" s="4">
        <v>45121</v>
      </c>
      <c r="D449" s="13">
        <f t="shared" si="126"/>
        <v>0</v>
      </c>
      <c r="E449" s="6" t="s">
        <v>646</v>
      </c>
      <c r="F449" t="s">
        <v>651</v>
      </c>
      <c r="G449" t="s">
        <v>665</v>
      </c>
      <c r="H449" t="s">
        <v>702</v>
      </c>
      <c r="I449" t="s">
        <v>707</v>
      </c>
      <c r="J449" t="s">
        <v>714</v>
      </c>
      <c r="K449" t="s">
        <v>733</v>
      </c>
      <c r="L449" t="s">
        <v>1086</v>
      </c>
      <c r="M449" s="8">
        <v>956.38</v>
      </c>
      <c r="N449" s="8">
        <v>1454.22</v>
      </c>
      <c r="O449" s="8">
        <f t="shared" si="127"/>
        <v>1454.22</v>
      </c>
      <c r="P449" s="11">
        <v>3.9E-2</v>
      </c>
      <c r="Q449" s="13">
        <v>19</v>
      </c>
      <c r="R449" s="8">
        <f t="shared" si="128"/>
        <v>26552.60298</v>
      </c>
      <c r="S449" s="8">
        <f t="shared" si="129"/>
        <v>18171.22</v>
      </c>
      <c r="T449" s="8">
        <f t="shared" si="130"/>
        <v>8381.3829799999985</v>
      </c>
      <c r="U449" s="11">
        <f t="shared" si="131"/>
        <v>0.31565202802576603</v>
      </c>
      <c r="V449" s="17">
        <v>45727</v>
      </c>
      <c r="W449" s="4" t="str">
        <f t="shared" si="132"/>
        <v>Q3-2023</v>
      </c>
      <c r="X449" t="str">
        <f t="shared" si="133"/>
        <v>Africa → Nigeria → Lagos</v>
      </c>
      <c r="Y449" t="str">
        <f t="shared" si="134"/>
        <v>Medium</v>
      </c>
      <c r="Z449" s="20">
        <f t="shared" si="135"/>
        <v>45108</v>
      </c>
      <c r="AA449" s="4">
        <f t="array" ref="AA449">MIN(IF($F$2:$F$633=F449,$Z$2:$Z$633))</f>
        <v>44927</v>
      </c>
      <c r="AB449">
        <f t="shared" si="136"/>
        <v>6</v>
      </c>
      <c r="AC449">
        <f t="shared" si="137"/>
        <v>1</v>
      </c>
      <c r="AD449">
        <f t="shared" si="138"/>
        <v>0</v>
      </c>
      <c r="AE449" s="13">
        <f t="shared" si="139"/>
        <v>1</v>
      </c>
      <c r="AH449">
        <f t="shared" si="140"/>
        <v>22.8</v>
      </c>
      <c r="AI449">
        <f t="shared" si="141"/>
        <v>1099.837</v>
      </c>
      <c r="AJ449" s="11">
        <f t="shared" si="142"/>
        <v>3.9E-2</v>
      </c>
      <c r="AK449">
        <f t="shared" si="143"/>
        <v>31863.123575999998</v>
      </c>
      <c r="AL449">
        <f t="shared" si="144"/>
        <v>25076.283599999999</v>
      </c>
      <c r="AM449">
        <f t="shared" si="145"/>
        <v>6786.8399759999993</v>
      </c>
    </row>
    <row r="450" spans="1:39" x14ac:dyDescent="0.25">
      <c r="A450" t="s">
        <v>352</v>
      </c>
      <c r="B450" s="4">
        <v>45132</v>
      </c>
      <c r="C450" s="4">
        <v>45148</v>
      </c>
      <c r="D450" s="13">
        <f t="shared" ref="D450:D513" si="146">C450-B450</f>
        <v>16</v>
      </c>
      <c r="E450" s="6" t="s">
        <v>646</v>
      </c>
      <c r="F450" t="s">
        <v>651</v>
      </c>
      <c r="G450" t="s">
        <v>663</v>
      </c>
      <c r="H450" t="s">
        <v>701</v>
      </c>
      <c r="I450" t="s">
        <v>710</v>
      </c>
      <c r="J450" t="s">
        <v>714</v>
      </c>
      <c r="K450" t="s">
        <v>733</v>
      </c>
      <c r="L450" t="s">
        <v>1072</v>
      </c>
      <c r="M450" s="8">
        <v>506.83</v>
      </c>
      <c r="N450" s="8">
        <v>441.74</v>
      </c>
      <c r="O450" s="8">
        <f t="shared" ref="O450:O513" si="147">ABS(N:N)</f>
        <v>441.74</v>
      </c>
      <c r="P450" s="11">
        <v>0.24</v>
      </c>
      <c r="Q450" s="13">
        <v>9</v>
      </c>
      <c r="R450" s="8">
        <f t="shared" ref="R450:R513" si="148">O450*Q450*(1-P450)</f>
        <v>3021.5016000000001</v>
      </c>
      <c r="S450" s="8">
        <f t="shared" ref="S450:S513" si="149">PRODUCT(M450*Q450)</f>
        <v>4561.47</v>
      </c>
      <c r="T450" s="8">
        <f t="shared" ref="T450:T513" si="150">R450-S450</f>
        <v>-1539.9684000000002</v>
      </c>
      <c r="U450" s="11">
        <f t="shared" ref="U450:U513" si="151">IF(T450=0, "0", T450/R450)</f>
        <v>-0.50966989393618067</v>
      </c>
      <c r="V450" s="17">
        <v>45704</v>
      </c>
      <c r="W450" s="4" t="str">
        <f t="shared" ref="W450:W513" si="152">"Q"&amp;ROUNDUP(MONTH(B450)/3,0)&amp;"-"&amp;YEAR(B450)</f>
        <v>Q3-2023</v>
      </c>
      <c r="X450" t="str">
        <f t="shared" ref="X450:X513" si="153">E450 &amp; " → " &amp; F450 &amp; " → " &amp; G450</f>
        <v>Africa → Nigeria → Port Harcourt</v>
      </c>
      <c r="Y450" t="str">
        <f t="shared" ref="Y450:Y513" si="154">IF(O450&lt;=_xlfn.PERCENTILE.INC($O:$O,0.33),"Low",
IF(O450&lt;=_xlfn.PERCENTILE.INC($O:$O,0.67),"Medium","High"))</f>
        <v>Low</v>
      </c>
      <c r="Z450" s="20">
        <f t="shared" ref="Z450:Z513" si="155">DATE(YEAR(B450),MONTH(B450),1)</f>
        <v>45108</v>
      </c>
      <c r="AA450" s="4">
        <f t="array" ref="AA450">MIN(IF($F$2:$F$633=F450,$Z$2:$Z$633))</f>
        <v>44927</v>
      </c>
      <c r="AB450">
        <f t="shared" si="136"/>
        <v>6</v>
      </c>
      <c r="AC450">
        <f t="shared" si="137"/>
        <v>0</v>
      </c>
      <c r="AD450">
        <f t="shared" si="138"/>
        <v>1</v>
      </c>
      <c r="AE450" s="13">
        <f t="shared" si="139"/>
        <v>0</v>
      </c>
      <c r="AH450">
        <f t="shared" si="140"/>
        <v>10.799999999999999</v>
      </c>
      <c r="AI450">
        <f t="shared" si="141"/>
        <v>582.85449999999992</v>
      </c>
      <c r="AJ450" s="11">
        <f t="shared" si="142"/>
        <v>0.24</v>
      </c>
      <c r="AK450">
        <f t="shared" si="143"/>
        <v>3625.8019199999994</v>
      </c>
      <c r="AL450">
        <f t="shared" si="144"/>
        <v>6294.8285999999989</v>
      </c>
      <c r="AM450">
        <f t="shared" si="145"/>
        <v>-2669.0266799999995</v>
      </c>
    </row>
    <row r="451" spans="1:39" x14ac:dyDescent="0.25">
      <c r="A451" t="s">
        <v>198</v>
      </c>
      <c r="B451" s="4">
        <v>45157</v>
      </c>
      <c r="C451" s="4">
        <v>45161</v>
      </c>
      <c r="D451" s="13">
        <f t="shared" si="146"/>
        <v>4</v>
      </c>
      <c r="E451" s="6" t="s">
        <v>646</v>
      </c>
      <c r="F451" t="s">
        <v>651</v>
      </c>
      <c r="G451" t="s">
        <v>669</v>
      </c>
      <c r="H451" t="s">
        <v>705</v>
      </c>
      <c r="I451" t="s">
        <v>708</v>
      </c>
      <c r="J451" t="s">
        <v>713</v>
      </c>
      <c r="K451" t="s">
        <v>732</v>
      </c>
      <c r="L451" t="s">
        <v>917</v>
      </c>
      <c r="M451" s="8">
        <v>790.63</v>
      </c>
      <c r="N451" s="8">
        <v>1382.31</v>
      </c>
      <c r="O451" s="8">
        <f t="shared" si="147"/>
        <v>1382.31</v>
      </c>
      <c r="P451" s="11">
        <v>0.10100000000000001</v>
      </c>
      <c r="Q451" s="13">
        <v>7</v>
      </c>
      <c r="R451" s="8">
        <f t="shared" si="148"/>
        <v>8698.8768300000011</v>
      </c>
      <c r="S451" s="8">
        <f t="shared" si="149"/>
        <v>5534.41</v>
      </c>
      <c r="T451" s="8">
        <f t="shared" si="150"/>
        <v>3164.4668300000012</v>
      </c>
      <c r="U451" s="11">
        <f t="shared" si="151"/>
        <v>0.36377878338116448</v>
      </c>
      <c r="V451" s="17">
        <v>45678</v>
      </c>
      <c r="W451" s="4" t="str">
        <f t="shared" si="152"/>
        <v>Q3-2023</v>
      </c>
      <c r="X451" t="str">
        <f t="shared" si="153"/>
        <v>Africa → Nigeria → Abuja</v>
      </c>
      <c r="Y451" t="str">
        <f t="shared" si="154"/>
        <v>Medium</v>
      </c>
      <c r="Z451" s="20">
        <f t="shared" si="155"/>
        <v>45139</v>
      </c>
      <c r="AA451" s="4">
        <f t="array" ref="AA451">MIN(IF($F$2:$F$633=F451,$Z$2:$Z$633))</f>
        <v>44927</v>
      </c>
      <c r="AB451">
        <f t="shared" ref="AB451:AB514" si="156">DATEDIF(AA451,Z451,"m")</f>
        <v>7</v>
      </c>
      <c r="AC451">
        <f t="shared" ref="AC451:AC514" si="157">IF(D451&lt;=7,1,0)</f>
        <v>1</v>
      </c>
      <c r="AD451">
        <f t="shared" ref="AD451:AD514" si="158">IF(P451&gt;20%,1,0)</f>
        <v>0</v>
      </c>
      <c r="AE451" s="13">
        <f t="shared" ref="AE451:AE514" si="159">IF(D451&lt;=7, 1,0)</f>
        <v>1</v>
      </c>
      <c r="AH451">
        <f t="shared" ref="AH451:AH514" si="160" xml:space="preserve"> Q451 * (1 + $AG$5)</f>
        <v>8.4</v>
      </c>
      <c r="AI451">
        <f t="shared" ref="AI451:AI514" si="161">M451*(1+$AG$4)</f>
        <v>909.22449999999992</v>
      </c>
      <c r="AJ451" s="11">
        <f t="shared" ref="AJ451:AJ514" si="162" xml:space="preserve"> MIN(P451, $AG$3)</f>
        <v>0.10100000000000001</v>
      </c>
      <c r="AK451">
        <f t="shared" ref="AK451:AK514" si="163">AH451 * O451 * (1-AJ451)</f>
        <v>10438.652196000001</v>
      </c>
      <c r="AL451">
        <f t="shared" ref="AL451:AL514" si="164">AH451 * AI451</f>
        <v>7637.4857999999995</v>
      </c>
      <c r="AM451">
        <f t="shared" ref="AM451:AM514" si="165" xml:space="preserve"> AK451 - AL451</f>
        <v>2801.1663960000014</v>
      </c>
    </row>
    <row r="452" spans="1:39" x14ac:dyDescent="0.25">
      <c r="A452" t="s">
        <v>427</v>
      </c>
      <c r="B452" s="4">
        <v>45163</v>
      </c>
      <c r="C452" s="4">
        <v>45185</v>
      </c>
      <c r="D452" s="13">
        <f t="shared" si="146"/>
        <v>22</v>
      </c>
      <c r="E452" s="6" t="s">
        <v>646</v>
      </c>
      <c r="F452" t="s">
        <v>651</v>
      </c>
      <c r="G452" t="s">
        <v>669</v>
      </c>
      <c r="H452" t="s">
        <v>701</v>
      </c>
      <c r="I452" t="s">
        <v>709</v>
      </c>
      <c r="J452" t="s">
        <v>716</v>
      </c>
      <c r="K452" t="s">
        <v>730</v>
      </c>
      <c r="L452" t="s">
        <v>1146</v>
      </c>
      <c r="M452" s="8">
        <v>1196.83</v>
      </c>
      <c r="N452" s="8">
        <v>2513.5100000000002</v>
      </c>
      <c r="O452" s="8">
        <f t="shared" si="147"/>
        <v>2513.5100000000002</v>
      </c>
      <c r="P452" s="11">
        <v>8.3000000000000004E-2</v>
      </c>
      <c r="Q452" s="13">
        <v>7</v>
      </c>
      <c r="R452" s="8">
        <f t="shared" si="148"/>
        <v>16134.22069</v>
      </c>
      <c r="S452" s="8">
        <f t="shared" si="149"/>
        <v>8377.81</v>
      </c>
      <c r="T452" s="8">
        <f t="shared" si="150"/>
        <v>7756.4106900000006</v>
      </c>
      <c r="U452" s="11">
        <f t="shared" si="151"/>
        <v>0.48074281609445374</v>
      </c>
      <c r="V452" s="17">
        <v>45667</v>
      </c>
      <c r="W452" s="4" t="str">
        <f t="shared" si="152"/>
        <v>Q3-2023</v>
      </c>
      <c r="X452" t="str">
        <f t="shared" si="153"/>
        <v>Africa → Nigeria → Abuja</v>
      </c>
      <c r="Y452" t="str">
        <f t="shared" si="154"/>
        <v>High</v>
      </c>
      <c r="Z452" s="20">
        <f t="shared" si="155"/>
        <v>45139</v>
      </c>
      <c r="AA452" s="4">
        <f t="array" ref="AA452">MIN(IF($F$2:$F$633=F452,$Z$2:$Z$633))</f>
        <v>44927</v>
      </c>
      <c r="AB452">
        <f t="shared" si="156"/>
        <v>7</v>
      </c>
      <c r="AC452">
        <f t="shared" si="157"/>
        <v>0</v>
      </c>
      <c r="AD452">
        <f t="shared" si="158"/>
        <v>0</v>
      </c>
      <c r="AE452" s="13">
        <f t="shared" si="159"/>
        <v>0</v>
      </c>
      <c r="AH452">
        <f t="shared" si="160"/>
        <v>8.4</v>
      </c>
      <c r="AI452">
        <f t="shared" si="161"/>
        <v>1376.3544999999999</v>
      </c>
      <c r="AJ452" s="11">
        <f t="shared" si="162"/>
        <v>8.3000000000000004E-2</v>
      </c>
      <c r="AK452">
        <f t="shared" si="163"/>
        <v>19361.064828000006</v>
      </c>
      <c r="AL452">
        <f t="shared" si="164"/>
        <v>11561.3778</v>
      </c>
      <c r="AM452">
        <f t="shared" si="165"/>
        <v>7799.6870280000057</v>
      </c>
    </row>
    <row r="453" spans="1:39" x14ac:dyDescent="0.25">
      <c r="A453" t="s">
        <v>630</v>
      </c>
      <c r="B453" s="4">
        <v>45208</v>
      </c>
      <c r="C453" s="4">
        <v>45210</v>
      </c>
      <c r="D453" s="13">
        <f t="shared" si="146"/>
        <v>2</v>
      </c>
      <c r="E453" s="6" t="s">
        <v>646</v>
      </c>
      <c r="F453" t="s">
        <v>651</v>
      </c>
      <c r="G453" t="s">
        <v>663</v>
      </c>
      <c r="H453" t="s">
        <v>702</v>
      </c>
      <c r="I453" t="s">
        <v>709</v>
      </c>
      <c r="J453" t="s">
        <v>723</v>
      </c>
      <c r="K453" t="s">
        <v>729</v>
      </c>
      <c r="L453" t="s">
        <v>1348</v>
      </c>
      <c r="M453" s="8">
        <v>391.16</v>
      </c>
      <c r="N453" s="8">
        <v>902.47</v>
      </c>
      <c r="O453" s="8">
        <f t="shared" si="147"/>
        <v>902.47</v>
      </c>
      <c r="P453" s="11">
        <v>4.0000000000000001E-3</v>
      </c>
      <c r="Q453" s="13">
        <v>12</v>
      </c>
      <c r="R453" s="8">
        <f t="shared" si="148"/>
        <v>10786.32144</v>
      </c>
      <c r="S453" s="8">
        <f t="shared" si="149"/>
        <v>4693.92</v>
      </c>
      <c r="T453" s="8">
        <f t="shared" si="150"/>
        <v>6092.4014399999996</v>
      </c>
      <c r="U453" s="11">
        <f t="shared" si="151"/>
        <v>0.56482661618139207</v>
      </c>
      <c r="V453" s="17">
        <v>45647</v>
      </c>
      <c r="W453" s="4" t="str">
        <f t="shared" si="152"/>
        <v>Q4-2023</v>
      </c>
      <c r="X453" t="str">
        <f t="shared" si="153"/>
        <v>Africa → Nigeria → Port Harcourt</v>
      </c>
      <c r="Y453" t="str">
        <f t="shared" si="154"/>
        <v>Medium</v>
      </c>
      <c r="Z453" s="20">
        <f t="shared" si="155"/>
        <v>45200</v>
      </c>
      <c r="AA453" s="4">
        <f t="array" ref="AA453">MIN(IF($F$2:$F$633=F453,$Z$2:$Z$633))</f>
        <v>44927</v>
      </c>
      <c r="AB453">
        <f t="shared" si="156"/>
        <v>9</v>
      </c>
      <c r="AC453">
        <f t="shared" si="157"/>
        <v>1</v>
      </c>
      <c r="AD453">
        <f t="shared" si="158"/>
        <v>0</v>
      </c>
      <c r="AE453" s="13">
        <f t="shared" si="159"/>
        <v>1</v>
      </c>
      <c r="AH453">
        <f t="shared" si="160"/>
        <v>14.399999999999999</v>
      </c>
      <c r="AI453">
        <f t="shared" si="161"/>
        <v>449.834</v>
      </c>
      <c r="AJ453" s="11">
        <f t="shared" si="162"/>
        <v>4.0000000000000001E-3</v>
      </c>
      <c r="AK453">
        <f t="shared" si="163"/>
        <v>12943.585728</v>
      </c>
      <c r="AL453">
        <f t="shared" si="164"/>
        <v>6477.6095999999998</v>
      </c>
      <c r="AM453">
        <f t="shared" si="165"/>
        <v>6465.9761280000002</v>
      </c>
    </row>
    <row r="454" spans="1:39" x14ac:dyDescent="0.25">
      <c r="A454" t="s">
        <v>362</v>
      </c>
      <c r="B454" s="4">
        <v>45281</v>
      </c>
      <c r="C454" s="4">
        <v>45297</v>
      </c>
      <c r="D454" s="13">
        <f t="shared" si="146"/>
        <v>16</v>
      </c>
      <c r="E454" s="6" t="s">
        <v>646</v>
      </c>
      <c r="F454" t="s">
        <v>651</v>
      </c>
      <c r="G454" t="s">
        <v>663</v>
      </c>
      <c r="H454" t="s">
        <v>701</v>
      </c>
      <c r="I454" t="s">
        <v>709</v>
      </c>
      <c r="J454" t="s">
        <v>723</v>
      </c>
      <c r="K454" t="s">
        <v>727</v>
      </c>
      <c r="L454" t="s">
        <v>1082</v>
      </c>
      <c r="M454" s="8">
        <v>932.61</v>
      </c>
      <c r="N454" s="8">
        <v>1982.98</v>
      </c>
      <c r="O454" s="8">
        <f t="shared" si="147"/>
        <v>1982.98</v>
      </c>
      <c r="P454" s="11">
        <v>0.14399999999999999</v>
      </c>
      <c r="Q454" s="13">
        <v>16</v>
      </c>
      <c r="R454" s="8">
        <f t="shared" si="148"/>
        <v>27158.894079999998</v>
      </c>
      <c r="S454" s="8">
        <f t="shared" si="149"/>
        <v>14921.76</v>
      </c>
      <c r="T454" s="8">
        <f t="shared" si="150"/>
        <v>12237.134079999998</v>
      </c>
      <c r="U454" s="11">
        <f t="shared" si="151"/>
        <v>0.45057556629345635</v>
      </c>
      <c r="V454" s="17">
        <v>45582</v>
      </c>
      <c r="W454" s="4" t="str">
        <f t="shared" si="152"/>
        <v>Q4-2023</v>
      </c>
      <c r="X454" t="str">
        <f t="shared" si="153"/>
        <v>Africa → Nigeria → Port Harcourt</v>
      </c>
      <c r="Y454" t="str">
        <f t="shared" si="154"/>
        <v>High</v>
      </c>
      <c r="Z454" s="20">
        <f t="shared" si="155"/>
        <v>45261</v>
      </c>
      <c r="AA454" s="4">
        <f t="array" ref="AA454">MIN(IF($F$2:$F$633=F454,$Z$2:$Z$633))</f>
        <v>44927</v>
      </c>
      <c r="AB454">
        <f t="shared" si="156"/>
        <v>11</v>
      </c>
      <c r="AC454">
        <f t="shared" si="157"/>
        <v>0</v>
      </c>
      <c r="AD454">
        <f t="shared" si="158"/>
        <v>0</v>
      </c>
      <c r="AE454" s="13">
        <f t="shared" si="159"/>
        <v>0</v>
      </c>
      <c r="AH454">
        <f t="shared" si="160"/>
        <v>19.2</v>
      </c>
      <c r="AI454">
        <f t="shared" si="161"/>
        <v>1072.5014999999999</v>
      </c>
      <c r="AJ454" s="11">
        <f t="shared" si="162"/>
        <v>0.14399999999999999</v>
      </c>
      <c r="AK454">
        <f t="shared" si="163"/>
        <v>32590.672896</v>
      </c>
      <c r="AL454">
        <f t="shared" si="164"/>
        <v>20592.028799999996</v>
      </c>
      <c r="AM454">
        <f t="shared" si="165"/>
        <v>11998.644096000004</v>
      </c>
    </row>
    <row r="455" spans="1:39" x14ac:dyDescent="0.25">
      <c r="A455" t="s">
        <v>259</v>
      </c>
      <c r="B455" s="4">
        <v>45357</v>
      </c>
      <c r="C455" s="4">
        <v>45377</v>
      </c>
      <c r="D455" s="13">
        <f t="shared" si="146"/>
        <v>20</v>
      </c>
      <c r="E455" s="6" t="s">
        <v>646</v>
      </c>
      <c r="F455" t="s">
        <v>651</v>
      </c>
      <c r="G455" t="s">
        <v>663</v>
      </c>
      <c r="H455" t="s">
        <v>704</v>
      </c>
      <c r="I455" t="s">
        <v>709</v>
      </c>
      <c r="J455" t="s">
        <v>714</v>
      </c>
      <c r="K455" t="s">
        <v>730</v>
      </c>
      <c r="L455" t="s">
        <v>979</v>
      </c>
      <c r="M455" s="8">
        <v>65.64</v>
      </c>
      <c r="N455" s="8">
        <v>151.88</v>
      </c>
      <c r="O455" s="8">
        <f t="shared" si="147"/>
        <v>151.88</v>
      </c>
      <c r="P455" s="11">
        <v>0.16700000000000001</v>
      </c>
      <c r="Q455" s="13">
        <v>23</v>
      </c>
      <c r="R455" s="8">
        <f t="shared" si="148"/>
        <v>2909.8689199999999</v>
      </c>
      <c r="S455" s="8">
        <f t="shared" si="149"/>
        <v>1509.72</v>
      </c>
      <c r="T455" s="8">
        <f t="shared" si="150"/>
        <v>1400.1489199999999</v>
      </c>
      <c r="U455" s="11">
        <f t="shared" si="151"/>
        <v>0.48117250587356353</v>
      </c>
      <c r="V455" s="17">
        <v>45491</v>
      </c>
      <c r="W455" s="4" t="str">
        <f t="shared" si="152"/>
        <v>Q1-2024</v>
      </c>
      <c r="X455" t="str">
        <f t="shared" si="153"/>
        <v>Africa → Nigeria → Port Harcourt</v>
      </c>
      <c r="Y455" t="str">
        <f t="shared" si="154"/>
        <v>Low</v>
      </c>
      <c r="Z455" s="20">
        <f t="shared" si="155"/>
        <v>45352</v>
      </c>
      <c r="AA455" s="4">
        <f t="array" ref="AA455">MIN(IF($F$2:$F$633=F455,$Z$2:$Z$633))</f>
        <v>44927</v>
      </c>
      <c r="AB455">
        <f t="shared" si="156"/>
        <v>14</v>
      </c>
      <c r="AC455">
        <f t="shared" si="157"/>
        <v>0</v>
      </c>
      <c r="AD455">
        <f t="shared" si="158"/>
        <v>0</v>
      </c>
      <c r="AE455" s="13">
        <f t="shared" si="159"/>
        <v>0</v>
      </c>
      <c r="AH455">
        <f t="shared" si="160"/>
        <v>27.599999999999998</v>
      </c>
      <c r="AI455">
        <f t="shared" si="161"/>
        <v>75.48599999999999</v>
      </c>
      <c r="AJ455" s="11">
        <f t="shared" si="162"/>
        <v>0.16700000000000001</v>
      </c>
      <c r="AK455">
        <f t="shared" si="163"/>
        <v>3491.8427039999997</v>
      </c>
      <c r="AL455">
        <f t="shared" si="164"/>
        <v>2083.4135999999994</v>
      </c>
      <c r="AM455">
        <f t="shared" si="165"/>
        <v>1408.4291040000003</v>
      </c>
    </row>
    <row r="456" spans="1:39" x14ac:dyDescent="0.25">
      <c r="A456" t="s">
        <v>601</v>
      </c>
      <c r="B456" s="4">
        <v>45364</v>
      </c>
      <c r="C456" s="4">
        <v>45388</v>
      </c>
      <c r="D456" s="13">
        <f t="shared" si="146"/>
        <v>24</v>
      </c>
      <c r="E456" s="6" t="s">
        <v>646</v>
      </c>
      <c r="F456" t="s">
        <v>651</v>
      </c>
      <c r="G456" t="s">
        <v>669</v>
      </c>
      <c r="H456" t="s">
        <v>704</v>
      </c>
      <c r="I456" t="s">
        <v>710</v>
      </c>
      <c r="J456" t="s">
        <v>716</v>
      </c>
      <c r="K456" t="s">
        <v>727</v>
      </c>
      <c r="L456" t="s">
        <v>1319</v>
      </c>
      <c r="M456" s="8">
        <v>1232.78</v>
      </c>
      <c r="N456" s="8">
        <v>1731.75</v>
      </c>
      <c r="O456" s="8">
        <f t="shared" si="147"/>
        <v>1731.75</v>
      </c>
      <c r="P456" s="11">
        <v>9.2999999999999999E-2</v>
      </c>
      <c r="Q456" s="13">
        <v>16</v>
      </c>
      <c r="R456" s="8">
        <f t="shared" si="148"/>
        <v>25131.155999999999</v>
      </c>
      <c r="S456" s="8">
        <f t="shared" si="149"/>
        <v>19724.48</v>
      </c>
      <c r="T456" s="8">
        <f t="shared" si="150"/>
        <v>5406.6759999999995</v>
      </c>
      <c r="U456" s="11">
        <f t="shared" si="151"/>
        <v>0.21513837246484005</v>
      </c>
      <c r="V456" s="17">
        <v>45488</v>
      </c>
      <c r="W456" s="4" t="str">
        <f t="shared" si="152"/>
        <v>Q1-2024</v>
      </c>
      <c r="X456" t="str">
        <f t="shared" si="153"/>
        <v>Africa → Nigeria → Abuja</v>
      </c>
      <c r="Y456" t="str">
        <f t="shared" si="154"/>
        <v>High</v>
      </c>
      <c r="Z456" s="20">
        <f t="shared" si="155"/>
        <v>45352</v>
      </c>
      <c r="AA456" s="4">
        <f t="array" ref="AA456">MIN(IF($F$2:$F$633=F456,$Z$2:$Z$633))</f>
        <v>44927</v>
      </c>
      <c r="AB456">
        <f t="shared" si="156"/>
        <v>14</v>
      </c>
      <c r="AC456">
        <f t="shared" si="157"/>
        <v>0</v>
      </c>
      <c r="AD456">
        <f t="shared" si="158"/>
        <v>0</v>
      </c>
      <c r="AE456" s="13">
        <f t="shared" si="159"/>
        <v>0</v>
      </c>
      <c r="AH456">
        <f t="shared" si="160"/>
        <v>19.2</v>
      </c>
      <c r="AI456">
        <f t="shared" si="161"/>
        <v>1417.6969999999999</v>
      </c>
      <c r="AJ456" s="11">
        <f t="shared" si="162"/>
        <v>9.2999999999999999E-2</v>
      </c>
      <c r="AK456">
        <f t="shared" si="163"/>
        <v>30157.387200000001</v>
      </c>
      <c r="AL456">
        <f t="shared" si="164"/>
        <v>27219.782399999996</v>
      </c>
      <c r="AM456">
        <f t="shared" si="165"/>
        <v>2937.6048000000046</v>
      </c>
    </row>
    <row r="457" spans="1:39" x14ac:dyDescent="0.25">
      <c r="A457" t="s">
        <v>519</v>
      </c>
      <c r="B457" s="4">
        <v>45387</v>
      </c>
      <c r="C457" s="4">
        <v>45391</v>
      </c>
      <c r="D457" s="13">
        <f t="shared" si="146"/>
        <v>4</v>
      </c>
      <c r="E457" s="6" t="s">
        <v>646</v>
      </c>
      <c r="F457" t="s">
        <v>651</v>
      </c>
      <c r="G457" t="s">
        <v>665</v>
      </c>
      <c r="H457" t="s">
        <v>703</v>
      </c>
      <c r="I457" t="s">
        <v>711</v>
      </c>
      <c r="J457" t="s">
        <v>723</v>
      </c>
      <c r="K457" t="s">
        <v>727</v>
      </c>
      <c r="L457" t="s">
        <v>1238</v>
      </c>
      <c r="M457" s="8">
        <v>395.07</v>
      </c>
      <c r="N457" s="8">
        <v>970.27</v>
      </c>
      <c r="O457" s="8">
        <f t="shared" si="147"/>
        <v>970.27</v>
      </c>
      <c r="P457" s="11">
        <v>0.123</v>
      </c>
      <c r="Q457" s="13">
        <v>38</v>
      </c>
      <c r="R457" s="8">
        <f t="shared" si="148"/>
        <v>32335.21802</v>
      </c>
      <c r="S457" s="8">
        <f t="shared" si="149"/>
        <v>15012.66</v>
      </c>
      <c r="T457" s="8">
        <f t="shared" si="150"/>
        <v>17322.55802</v>
      </c>
      <c r="U457" s="11">
        <f t="shared" si="151"/>
        <v>0.53571799049833657</v>
      </c>
      <c r="V457" s="17">
        <v>45466</v>
      </c>
      <c r="W457" s="4" t="str">
        <f t="shared" si="152"/>
        <v>Q2-2024</v>
      </c>
      <c r="X457" t="str">
        <f t="shared" si="153"/>
        <v>Africa → Nigeria → Lagos</v>
      </c>
      <c r="Y457" t="str">
        <f t="shared" si="154"/>
        <v>Medium</v>
      </c>
      <c r="Z457" s="20">
        <f t="shared" si="155"/>
        <v>45383</v>
      </c>
      <c r="AA457" s="4">
        <f t="array" ref="AA457">MIN(IF($F$2:$F$633=F457,$Z$2:$Z$633))</f>
        <v>44927</v>
      </c>
      <c r="AB457">
        <f t="shared" si="156"/>
        <v>15</v>
      </c>
      <c r="AC457">
        <f t="shared" si="157"/>
        <v>1</v>
      </c>
      <c r="AD457">
        <f t="shared" si="158"/>
        <v>0</v>
      </c>
      <c r="AE457" s="13">
        <f t="shared" si="159"/>
        <v>1</v>
      </c>
      <c r="AH457">
        <f t="shared" si="160"/>
        <v>45.6</v>
      </c>
      <c r="AI457">
        <f t="shared" si="161"/>
        <v>454.33049999999997</v>
      </c>
      <c r="AJ457" s="11">
        <f t="shared" si="162"/>
        <v>0.123</v>
      </c>
      <c r="AK457">
        <f t="shared" si="163"/>
        <v>38802.261623999999</v>
      </c>
      <c r="AL457">
        <f t="shared" si="164"/>
        <v>20717.470799999999</v>
      </c>
      <c r="AM457">
        <f t="shared" si="165"/>
        <v>18084.790824</v>
      </c>
    </row>
    <row r="458" spans="1:39" x14ac:dyDescent="0.25">
      <c r="A458" t="s">
        <v>53</v>
      </c>
      <c r="B458" s="4">
        <v>45401</v>
      </c>
      <c r="C458" s="4">
        <v>45418</v>
      </c>
      <c r="D458" s="13">
        <f t="shared" si="146"/>
        <v>17</v>
      </c>
      <c r="E458" s="6" t="s">
        <v>646</v>
      </c>
      <c r="F458" t="s">
        <v>651</v>
      </c>
      <c r="G458" t="s">
        <v>663</v>
      </c>
      <c r="H458" t="s">
        <v>703</v>
      </c>
      <c r="I458" t="s">
        <v>708</v>
      </c>
      <c r="J458" t="s">
        <v>720</v>
      </c>
      <c r="K458" t="s">
        <v>728</v>
      </c>
      <c r="L458" t="s">
        <v>772</v>
      </c>
      <c r="M458" s="8">
        <v>865.33</v>
      </c>
      <c r="N458" s="8">
        <v>1395.64</v>
      </c>
      <c r="O458" s="8">
        <f t="shared" si="147"/>
        <v>1395.64</v>
      </c>
      <c r="P458" s="11">
        <v>0.17499999999999999</v>
      </c>
      <c r="Q458" s="13">
        <v>13</v>
      </c>
      <c r="R458" s="8">
        <f t="shared" si="148"/>
        <v>14968.239</v>
      </c>
      <c r="S458" s="8">
        <f t="shared" si="149"/>
        <v>11249.29</v>
      </c>
      <c r="T458" s="8">
        <f t="shared" si="150"/>
        <v>3718.9489999999987</v>
      </c>
      <c r="U458" s="11">
        <f t="shared" si="151"/>
        <v>0.24845601409758347</v>
      </c>
      <c r="V458" s="17">
        <v>45462</v>
      </c>
      <c r="W458" s="4" t="str">
        <f t="shared" si="152"/>
        <v>Q2-2024</v>
      </c>
      <c r="X458" t="str">
        <f t="shared" si="153"/>
        <v>Africa → Nigeria → Port Harcourt</v>
      </c>
      <c r="Y458" t="str">
        <f t="shared" si="154"/>
        <v>Medium</v>
      </c>
      <c r="Z458" s="20">
        <f t="shared" si="155"/>
        <v>45383</v>
      </c>
      <c r="AA458" s="4">
        <f t="array" ref="AA458">MIN(IF($F$2:$F$633=F458,$Z$2:$Z$633))</f>
        <v>44927</v>
      </c>
      <c r="AB458">
        <f t="shared" si="156"/>
        <v>15</v>
      </c>
      <c r="AC458">
        <f t="shared" si="157"/>
        <v>0</v>
      </c>
      <c r="AD458">
        <f t="shared" si="158"/>
        <v>0</v>
      </c>
      <c r="AE458" s="13">
        <f t="shared" si="159"/>
        <v>0</v>
      </c>
      <c r="AH458">
        <f t="shared" si="160"/>
        <v>15.6</v>
      </c>
      <c r="AI458">
        <f t="shared" si="161"/>
        <v>995.12950000000001</v>
      </c>
      <c r="AJ458" s="11">
        <f t="shared" si="162"/>
        <v>0.17499999999999999</v>
      </c>
      <c r="AK458">
        <f t="shared" si="163"/>
        <v>17961.8868</v>
      </c>
      <c r="AL458">
        <f t="shared" si="164"/>
        <v>15524.020199999999</v>
      </c>
      <c r="AM458">
        <f t="shared" si="165"/>
        <v>2437.8666000000012</v>
      </c>
    </row>
    <row r="459" spans="1:39" x14ac:dyDescent="0.25">
      <c r="A459" t="s">
        <v>504</v>
      </c>
      <c r="B459" s="4">
        <v>45403</v>
      </c>
      <c r="C459" s="4">
        <v>45431</v>
      </c>
      <c r="D459" s="13">
        <f t="shared" si="146"/>
        <v>28</v>
      </c>
      <c r="E459" s="6" t="s">
        <v>646</v>
      </c>
      <c r="F459" t="s">
        <v>651</v>
      </c>
      <c r="G459" t="s">
        <v>665</v>
      </c>
      <c r="H459" t="s">
        <v>701</v>
      </c>
      <c r="I459" t="s">
        <v>710</v>
      </c>
      <c r="J459" t="s">
        <v>720</v>
      </c>
      <c r="K459" t="s">
        <v>733</v>
      </c>
      <c r="L459" t="s">
        <v>1223</v>
      </c>
      <c r="M459" s="8">
        <v>187.22</v>
      </c>
      <c r="N459" s="8">
        <v>309.47000000000003</v>
      </c>
      <c r="O459" s="8">
        <f t="shared" si="147"/>
        <v>309.47000000000003</v>
      </c>
      <c r="P459" s="11">
        <v>0</v>
      </c>
      <c r="Q459" s="13">
        <v>5</v>
      </c>
      <c r="R459" s="8">
        <f t="shared" si="148"/>
        <v>1547.3500000000001</v>
      </c>
      <c r="S459" s="8">
        <f t="shared" si="149"/>
        <v>936.1</v>
      </c>
      <c r="T459" s="8">
        <f t="shared" si="150"/>
        <v>611.25000000000011</v>
      </c>
      <c r="U459" s="11">
        <f t="shared" si="151"/>
        <v>0.39503021294471197</v>
      </c>
      <c r="V459" s="17">
        <v>45440</v>
      </c>
      <c r="W459" s="4" t="str">
        <f t="shared" si="152"/>
        <v>Q2-2024</v>
      </c>
      <c r="X459" t="str">
        <f t="shared" si="153"/>
        <v>Africa → Nigeria → Lagos</v>
      </c>
      <c r="Y459" t="str">
        <f t="shared" si="154"/>
        <v>Low</v>
      </c>
      <c r="Z459" s="20">
        <f t="shared" si="155"/>
        <v>45383</v>
      </c>
      <c r="AA459" s="4">
        <f t="array" ref="AA459">MIN(IF($F$2:$F$633=F459,$Z$2:$Z$633))</f>
        <v>44927</v>
      </c>
      <c r="AB459">
        <f t="shared" si="156"/>
        <v>15</v>
      </c>
      <c r="AC459">
        <f t="shared" si="157"/>
        <v>0</v>
      </c>
      <c r="AD459">
        <f t="shared" si="158"/>
        <v>0</v>
      </c>
      <c r="AE459" s="13">
        <f t="shared" si="159"/>
        <v>0</v>
      </c>
      <c r="AH459">
        <f t="shared" si="160"/>
        <v>6</v>
      </c>
      <c r="AI459">
        <f t="shared" si="161"/>
        <v>215.30299999999997</v>
      </c>
      <c r="AJ459" s="11">
        <f t="shared" si="162"/>
        <v>0</v>
      </c>
      <c r="AK459">
        <f t="shared" si="163"/>
        <v>1856.8200000000002</v>
      </c>
      <c r="AL459">
        <f t="shared" si="164"/>
        <v>1291.8179999999998</v>
      </c>
      <c r="AM459">
        <f t="shared" si="165"/>
        <v>565.00200000000041</v>
      </c>
    </row>
    <row r="460" spans="1:39" x14ac:dyDescent="0.25">
      <c r="A460" t="s">
        <v>23</v>
      </c>
      <c r="B460" s="4">
        <v>45416</v>
      </c>
      <c r="C460" s="4">
        <v>45441</v>
      </c>
      <c r="D460" s="13">
        <f t="shared" si="146"/>
        <v>25</v>
      </c>
      <c r="E460" s="6" t="s">
        <v>646</v>
      </c>
      <c r="F460" t="s">
        <v>651</v>
      </c>
      <c r="G460" t="s">
        <v>669</v>
      </c>
      <c r="H460" t="s">
        <v>703</v>
      </c>
      <c r="I460" t="s">
        <v>709</v>
      </c>
      <c r="J460" t="s">
        <v>719</v>
      </c>
      <c r="K460" t="s">
        <v>732</v>
      </c>
      <c r="L460" t="s">
        <v>742</v>
      </c>
      <c r="M460" s="8">
        <v>1295.3399999999999</v>
      </c>
      <c r="N460" s="8">
        <v>2530.81</v>
      </c>
      <c r="O460" s="8">
        <f t="shared" si="147"/>
        <v>2530.81</v>
      </c>
      <c r="P460" s="11">
        <v>3.1E-2</v>
      </c>
      <c r="Q460" s="13">
        <v>6</v>
      </c>
      <c r="R460" s="8">
        <f t="shared" si="148"/>
        <v>14714.12934</v>
      </c>
      <c r="S460" s="8">
        <f t="shared" si="149"/>
        <v>7772.0399999999991</v>
      </c>
      <c r="T460" s="8">
        <f t="shared" si="150"/>
        <v>6942.0893400000004</v>
      </c>
      <c r="U460" s="11">
        <f t="shared" si="151"/>
        <v>0.4717974933880798</v>
      </c>
      <c r="V460" s="17">
        <v>45453</v>
      </c>
      <c r="W460" s="4" t="str">
        <f t="shared" si="152"/>
        <v>Q2-2024</v>
      </c>
      <c r="X460" t="str">
        <f t="shared" si="153"/>
        <v>Africa → Nigeria → Abuja</v>
      </c>
      <c r="Y460" t="str">
        <f t="shared" si="154"/>
        <v>High</v>
      </c>
      <c r="Z460" s="20">
        <f t="shared" si="155"/>
        <v>45413</v>
      </c>
      <c r="AA460" s="4">
        <f t="array" ref="AA460">MIN(IF($F$2:$F$633=F460,$Z$2:$Z$633))</f>
        <v>44927</v>
      </c>
      <c r="AB460">
        <f t="shared" si="156"/>
        <v>16</v>
      </c>
      <c r="AC460">
        <f t="shared" si="157"/>
        <v>0</v>
      </c>
      <c r="AD460">
        <f t="shared" si="158"/>
        <v>0</v>
      </c>
      <c r="AE460" s="13">
        <f t="shared" si="159"/>
        <v>0</v>
      </c>
      <c r="AH460">
        <f t="shared" si="160"/>
        <v>7.1999999999999993</v>
      </c>
      <c r="AI460">
        <f t="shared" si="161"/>
        <v>1489.6409999999998</v>
      </c>
      <c r="AJ460" s="11">
        <f t="shared" si="162"/>
        <v>3.1E-2</v>
      </c>
      <c r="AK460">
        <f t="shared" si="163"/>
        <v>17656.955207999999</v>
      </c>
      <c r="AL460">
        <f t="shared" si="164"/>
        <v>10725.415199999998</v>
      </c>
      <c r="AM460">
        <f t="shared" si="165"/>
        <v>6931.5400080000018</v>
      </c>
    </row>
    <row r="461" spans="1:39" x14ac:dyDescent="0.25">
      <c r="A461" t="s">
        <v>401</v>
      </c>
      <c r="B461" s="4">
        <v>45419</v>
      </c>
      <c r="C461" s="4">
        <v>45424</v>
      </c>
      <c r="D461" s="13">
        <f t="shared" si="146"/>
        <v>5</v>
      </c>
      <c r="E461" s="6" t="s">
        <v>646</v>
      </c>
      <c r="F461" t="s">
        <v>651</v>
      </c>
      <c r="G461" t="s">
        <v>669</v>
      </c>
      <c r="H461" t="s">
        <v>703</v>
      </c>
      <c r="I461" t="s">
        <v>710</v>
      </c>
      <c r="J461" t="s">
        <v>716</v>
      </c>
      <c r="K461" t="s">
        <v>731</v>
      </c>
      <c r="L461" t="s">
        <v>1120</v>
      </c>
      <c r="M461" s="8">
        <v>1163.99</v>
      </c>
      <c r="N461" s="8">
        <v>1617.85</v>
      </c>
      <c r="O461" s="8">
        <f t="shared" si="147"/>
        <v>1617.85</v>
      </c>
      <c r="P461" s="11">
        <v>0.127</v>
      </c>
      <c r="Q461" s="13">
        <v>14</v>
      </c>
      <c r="R461" s="8">
        <f t="shared" si="148"/>
        <v>19773.362699999998</v>
      </c>
      <c r="S461" s="8">
        <f t="shared" si="149"/>
        <v>16295.86</v>
      </c>
      <c r="T461" s="8">
        <f t="shared" si="150"/>
        <v>3477.5026999999973</v>
      </c>
      <c r="U461" s="11">
        <f t="shared" si="151"/>
        <v>0.17586804797749436</v>
      </c>
      <c r="V461" s="17">
        <v>45445</v>
      </c>
      <c r="W461" s="4" t="str">
        <f t="shared" si="152"/>
        <v>Q2-2024</v>
      </c>
      <c r="X461" t="str">
        <f t="shared" si="153"/>
        <v>Africa → Nigeria → Abuja</v>
      </c>
      <c r="Y461" t="str">
        <f t="shared" si="154"/>
        <v>Medium</v>
      </c>
      <c r="Z461" s="20">
        <f t="shared" si="155"/>
        <v>45413</v>
      </c>
      <c r="AA461" s="4">
        <f t="array" ref="AA461">MIN(IF($F$2:$F$633=F461,$Z$2:$Z$633))</f>
        <v>44927</v>
      </c>
      <c r="AB461">
        <f t="shared" si="156"/>
        <v>16</v>
      </c>
      <c r="AC461">
        <f t="shared" si="157"/>
        <v>1</v>
      </c>
      <c r="AD461">
        <f t="shared" si="158"/>
        <v>0</v>
      </c>
      <c r="AE461" s="13">
        <f t="shared" si="159"/>
        <v>1</v>
      </c>
      <c r="AH461">
        <f t="shared" si="160"/>
        <v>16.8</v>
      </c>
      <c r="AI461">
        <f t="shared" si="161"/>
        <v>1338.5884999999998</v>
      </c>
      <c r="AJ461" s="11">
        <f t="shared" si="162"/>
        <v>0.127</v>
      </c>
      <c r="AK461">
        <f t="shared" si="163"/>
        <v>23728.035240000001</v>
      </c>
      <c r="AL461">
        <f t="shared" si="164"/>
        <v>22488.286799999998</v>
      </c>
      <c r="AM461">
        <f t="shared" si="165"/>
        <v>1239.748440000003</v>
      </c>
    </row>
    <row r="462" spans="1:39" x14ac:dyDescent="0.25">
      <c r="A462" t="s">
        <v>112</v>
      </c>
      <c r="B462" s="4">
        <v>45438</v>
      </c>
      <c r="C462" s="4">
        <v>45440</v>
      </c>
      <c r="D462" s="13">
        <f t="shared" si="146"/>
        <v>2</v>
      </c>
      <c r="E462" s="6" t="s">
        <v>646</v>
      </c>
      <c r="F462" t="s">
        <v>651</v>
      </c>
      <c r="G462" t="s">
        <v>669</v>
      </c>
      <c r="H462" t="s">
        <v>706</v>
      </c>
      <c r="I462" t="s">
        <v>708</v>
      </c>
      <c r="J462" t="s">
        <v>721</v>
      </c>
      <c r="K462" t="s">
        <v>733</v>
      </c>
      <c r="L462" t="s">
        <v>831</v>
      </c>
      <c r="M462" s="8">
        <v>1227.08</v>
      </c>
      <c r="N462" s="8">
        <v>1896.62</v>
      </c>
      <c r="O462" s="8">
        <f t="shared" si="147"/>
        <v>1896.62</v>
      </c>
      <c r="P462" s="11">
        <v>0</v>
      </c>
      <c r="Q462" s="13">
        <v>18</v>
      </c>
      <c r="R462" s="8">
        <f t="shared" si="148"/>
        <v>34139.159999999996</v>
      </c>
      <c r="S462" s="8">
        <f t="shared" si="149"/>
        <v>22087.439999999999</v>
      </c>
      <c r="T462" s="8">
        <f t="shared" si="150"/>
        <v>12051.719999999998</v>
      </c>
      <c r="U462" s="11">
        <f t="shared" si="151"/>
        <v>0.353017473189147</v>
      </c>
      <c r="V462" s="17">
        <v>45430</v>
      </c>
      <c r="W462" s="4" t="str">
        <f t="shared" si="152"/>
        <v>Q2-2024</v>
      </c>
      <c r="X462" t="str">
        <f t="shared" si="153"/>
        <v>Africa → Nigeria → Abuja</v>
      </c>
      <c r="Y462" t="str">
        <f t="shared" si="154"/>
        <v>High</v>
      </c>
      <c r="Z462" s="20">
        <f t="shared" si="155"/>
        <v>45413</v>
      </c>
      <c r="AA462" s="4">
        <f t="array" ref="AA462">MIN(IF($F$2:$F$633=F462,$Z$2:$Z$633))</f>
        <v>44927</v>
      </c>
      <c r="AB462">
        <f t="shared" si="156"/>
        <v>16</v>
      </c>
      <c r="AC462">
        <f t="shared" si="157"/>
        <v>1</v>
      </c>
      <c r="AD462">
        <f t="shared" si="158"/>
        <v>0</v>
      </c>
      <c r="AE462" s="13">
        <f t="shared" si="159"/>
        <v>1</v>
      </c>
      <c r="AH462">
        <f t="shared" si="160"/>
        <v>21.599999999999998</v>
      </c>
      <c r="AI462">
        <f t="shared" si="161"/>
        <v>1411.1419999999998</v>
      </c>
      <c r="AJ462" s="11">
        <f t="shared" si="162"/>
        <v>0</v>
      </c>
      <c r="AK462">
        <f t="shared" si="163"/>
        <v>40966.991999999991</v>
      </c>
      <c r="AL462">
        <f t="shared" si="164"/>
        <v>30480.667199999993</v>
      </c>
      <c r="AM462">
        <f t="shared" si="165"/>
        <v>10486.324799999999</v>
      </c>
    </row>
    <row r="463" spans="1:39" x14ac:dyDescent="0.25">
      <c r="A463" t="s">
        <v>463</v>
      </c>
      <c r="B463" s="4">
        <v>45454</v>
      </c>
      <c r="C463" s="4">
        <v>45482</v>
      </c>
      <c r="D463" s="13">
        <f t="shared" si="146"/>
        <v>28</v>
      </c>
      <c r="E463" s="6" t="s">
        <v>646</v>
      </c>
      <c r="F463" t="s">
        <v>651</v>
      </c>
      <c r="G463" t="s">
        <v>663</v>
      </c>
      <c r="H463" t="s">
        <v>701</v>
      </c>
      <c r="I463" t="s">
        <v>709</v>
      </c>
      <c r="J463" t="s">
        <v>714</v>
      </c>
      <c r="K463" t="s">
        <v>730</v>
      </c>
      <c r="L463" t="s">
        <v>1182</v>
      </c>
      <c r="M463" s="8">
        <v>895.54</v>
      </c>
      <c r="N463" s="8">
        <v>1045</v>
      </c>
      <c r="O463" s="8">
        <f t="shared" si="147"/>
        <v>1045</v>
      </c>
      <c r="P463" s="11">
        <v>0.216</v>
      </c>
      <c r="Q463" s="13">
        <v>15</v>
      </c>
      <c r="R463" s="8">
        <f t="shared" si="148"/>
        <v>12289.2</v>
      </c>
      <c r="S463" s="8">
        <f t="shared" si="149"/>
        <v>13433.099999999999</v>
      </c>
      <c r="T463" s="8">
        <f t="shared" si="150"/>
        <v>-1143.8999999999978</v>
      </c>
      <c r="U463" s="11">
        <f t="shared" si="151"/>
        <v>-9.3081730299775234E-2</v>
      </c>
      <c r="V463" s="17">
        <v>45381</v>
      </c>
      <c r="W463" s="4" t="str">
        <f t="shared" si="152"/>
        <v>Q2-2024</v>
      </c>
      <c r="X463" t="str">
        <f t="shared" si="153"/>
        <v>Africa → Nigeria → Port Harcourt</v>
      </c>
      <c r="Y463" t="str">
        <f t="shared" si="154"/>
        <v>Medium</v>
      </c>
      <c r="Z463" s="20">
        <f t="shared" si="155"/>
        <v>45444</v>
      </c>
      <c r="AA463" s="4">
        <f t="array" ref="AA463">MIN(IF($F$2:$F$633=F463,$Z$2:$Z$633))</f>
        <v>44927</v>
      </c>
      <c r="AB463">
        <f t="shared" si="156"/>
        <v>17</v>
      </c>
      <c r="AC463">
        <f t="shared" si="157"/>
        <v>0</v>
      </c>
      <c r="AD463">
        <f t="shared" si="158"/>
        <v>1</v>
      </c>
      <c r="AE463" s="13">
        <f t="shared" si="159"/>
        <v>0</v>
      </c>
      <c r="AH463">
        <f t="shared" si="160"/>
        <v>18</v>
      </c>
      <c r="AI463">
        <f t="shared" si="161"/>
        <v>1029.8709999999999</v>
      </c>
      <c r="AJ463" s="11">
        <f t="shared" si="162"/>
        <v>0.216</v>
      </c>
      <c r="AK463">
        <f t="shared" si="163"/>
        <v>14747.04</v>
      </c>
      <c r="AL463">
        <f t="shared" si="164"/>
        <v>18537.677999999996</v>
      </c>
      <c r="AM463">
        <f t="shared" si="165"/>
        <v>-3790.6379999999954</v>
      </c>
    </row>
    <row r="464" spans="1:39" x14ac:dyDescent="0.25">
      <c r="A464" t="s">
        <v>480</v>
      </c>
      <c r="B464" s="4">
        <v>45466</v>
      </c>
      <c r="C464" s="4">
        <v>45471</v>
      </c>
      <c r="D464" s="13">
        <f t="shared" si="146"/>
        <v>5</v>
      </c>
      <c r="E464" s="6" t="s">
        <v>646</v>
      </c>
      <c r="F464" t="s">
        <v>651</v>
      </c>
      <c r="G464" t="s">
        <v>663</v>
      </c>
      <c r="H464" t="s">
        <v>703</v>
      </c>
      <c r="I464" t="s">
        <v>711</v>
      </c>
      <c r="J464" t="s">
        <v>724</v>
      </c>
      <c r="K464" t="s">
        <v>733</v>
      </c>
      <c r="L464" t="s">
        <v>1199</v>
      </c>
      <c r="M464" s="8">
        <v>242.31</v>
      </c>
      <c r="N464" s="8">
        <v>587.95000000000005</v>
      </c>
      <c r="O464" s="8">
        <f t="shared" si="147"/>
        <v>587.95000000000005</v>
      </c>
      <c r="P464" s="11">
        <v>0.22900000000000001</v>
      </c>
      <c r="Q464" s="13">
        <v>6</v>
      </c>
      <c r="R464" s="8">
        <f t="shared" si="148"/>
        <v>2719.8567000000003</v>
      </c>
      <c r="S464" s="8">
        <f t="shared" si="149"/>
        <v>1453.8600000000001</v>
      </c>
      <c r="T464" s="8">
        <f t="shared" si="150"/>
        <v>1265.9967000000001</v>
      </c>
      <c r="U464" s="11">
        <f t="shared" si="151"/>
        <v>0.46546448568411714</v>
      </c>
      <c r="V464" s="17">
        <v>45378</v>
      </c>
      <c r="W464" s="4" t="str">
        <f t="shared" si="152"/>
        <v>Q2-2024</v>
      </c>
      <c r="X464" t="str">
        <f t="shared" si="153"/>
        <v>Africa → Nigeria → Port Harcourt</v>
      </c>
      <c r="Y464" t="str">
        <f t="shared" si="154"/>
        <v>Low</v>
      </c>
      <c r="Z464" s="20">
        <f t="shared" si="155"/>
        <v>45444</v>
      </c>
      <c r="AA464" s="4">
        <f t="array" ref="AA464">MIN(IF($F$2:$F$633=F464,$Z$2:$Z$633))</f>
        <v>44927</v>
      </c>
      <c r="AB464">
        <f t="shared" si="156"/>
        <v>17</v>
      </c>
      <c r="AC464">
        <f t="shared" si="157"/>
        <v>1</v>
      </c>
      <c r="AD464">
        <f t="shared" si="158"/>
        <v>1</v>
      </c>
      <c r="AE464" s="13">
        <f t="shared" si="159"/>
        <v>1</v>
      </c>
      <c r="AH464">
        <f t="shared" si="160"/>
        <v>7.1999999999999993</v>
      </c>
      <c r="AI464">
        <f t="shared" si="161"/>
        <v>278.65649999999999</v>
      </c>
      <c r="AJ464" s="11">
        <f t="shared" si="162"/>
        <v>0.22900000000000001</v>
      </c>
      <c r="AK464">
        <f t="shared" si="163"/>
        <v>3263.8280399999999</v>
      </c>
      <c r="AL464">
        <f t="shared" si="164"/>
        <v>2006.3267999999998</v>
      </c>
      <c r="AM464">
        <f t="shared" si="165"/>
        <v>1257.5012400000001</v>
      </c>
    </row>
    <row r="465" spans="1:39" x14ac:dyDescent="0.25">
      <c r="A465" t="s">
        <v>246</v>
      </c>
      <c r="B465" s="4">
        <v>45538</v>
      </c>
      <c r="C465" s="4">
        <v>45543</v>
      </c>
      <c r="D465" s="13">
        <f t="shared" si="146"/>
        <v>5</v>
      </c>
      <c r="E465" s="6" t="s">
        <v>646</v>
      </c>
      <c r="F465" t="s">
        <v>651</v>
      </c>
      <c r="G465" t="s">
        <v>665</v>
      </c>
      <c r="H465" t="s">
        <v>705</v>
      </c>
      <c r="I465" t="s">
        <v>711</v>
      </c>
      <c r="J465" t="s">
        <v>723</v>
      </c>
      <c r="K465" t="s">
        <v>728</v>
      </c>
      <c r="L465" t="s">
        <v>966</v>
      </c>
      <c r="M465" s="8">
        <v>197.63</v>
      </c>
      <c r="N465" s="8">
        <v>325.79000000000002</v>
      </c>
      <c r="O465" s="8">
        <f t="shared" si="147"/>
        <v>325.79000000000002</v>
      </c>
      <c r="P465" s="11">
        <v>0.11600000000000001</v>
      </c>
      <c r="Q465" s="13">
        <v>10</v>
      </c>
      <c r="R465" s="8">
        <f t="shared" si="148"/>
        <v>2879.9836</v>
      </c>
      <c r="S465" s="8">
        <f t="shared" si="149"/>
        <v>1976.3</v>
      </c>
      <c r="T465" s="8">
        <f t="shared" si="150"/>
        <v>903.68360000000007</v>
      </c>
      <c r="U465" s="11">
        <f t="shared" si="151"/>
        <v>0.31378081458519419</v>
      </c>
      <c r="V465" s="17">
        <v>45316</v>
      </c>
      <c r="W465" s="4" t="str">
        <f t="shared" si="152"/>
        <v>Q3-2024</v>
      </c>
      <c r="X465" t="str">
        <f t="shared" si="153"/>
        <v>Africa → Nigeria → Lagos</v>
      </c>
      <c r="Y465" t="str">
        <f t="shared" si="154"/>
        <v>Low</v>
      </c>
      <c r="Z465" s="20">
        <f t="shared" si="155"/>
        <v>45536</v>
      </c>
      <c r="AA465" s="4">
        <f t="array" ref="AA465">MIN(IF($F$2:$F$633=F465,$Z$2:$Z$633))</f>
        <v>44927</v>
      </c>
      <c r="AB465">
        <f t="shared" si="156"/>
        <v>20</v>
      </c>
      <c r="AC465">
        <f t="shared" si="157"/>
        <v>1</v>
      </c>
      <c r="AD465">
        <f t="shared" si="158"/>
        <v>0</v>
      </c>
      <c r="AE465" s="13">
        <f t="shared" si="159"/>
        <v>1</v>
      </c>
      <c r="AH465">
        <f t="shared" si="160"/>
        <v>12</v>
      </c>
      <c r="AI465">
        <f t="shared" si="161"/>
        <v>227.27449999999999</v>
      </c>
      <c r="AJ465" s="11">
        <f t="shared" si="162"/>
        <v>0.11600000000000001</v>
      </c>
      <c r="AK465">
        <f t="shared" si="163"/>
        <v>3455.9803200000006</v>
      </c>
      <c r="AL465">
        <f t="shared" si="164"/>
        <v>2727.2939999999999</v>
      </c>
      <c r="AM465">
        <f t="shared" si="165"/>
        <v>728.68632000000071</v>
      </c>
    </row>
    <row r="466" spans="1:39" x14ac:dyDescent="0.25">
      <c r="A466" t="s">
        <v>108</v>
      </c>
      <c r="B466" s="4">
        <v>45569</v>
      </c>
      <c r="C466" s="4">
        <v>45598</v>
      </c>
      <c r="D466" s="13">
        <f t="shared" si="146"/>
        <v>29</v>
      </c>
      <c r="E466" s="6" t="s">
        <v>646</v>
      </c>
      <c r="F466" t="s">
        <v>651</v>
      </c>
      <c r="G466" t="s">
        <v>669</v>
      </c>
      <c r="H466" t="s">
        <v>701</v>
      </c>
      <c r="I466" t="s">
        <v>710</v>
      </c>
      <c r="J466" t="s">
        <v>721</v>
      </c>
      <c r="K466" t="s">
        <v>733</v>
      </c>
      <c r="L466" t="s">
        <v>827</v>
      </c>
      <c r="M466" s="8">
        <v>412.09</v>
      </c>
      <c r="N466" s="8">
        <v>968.94</v>
      </c>
      <c r="O466" s="8">
        <f t="shared" si="147"/>
        <v>968.94</v>
      </c>
      <c r="P466" s="11">
        <v>9.9000000000000005E-2</v>
      </c>
      <c r="Q466" s="13">
        <v>23</v>
      </c>
      <c r="R466" s="8">
        <f t="shared" si="148"/>
        <v>20079.343620000003</v>
      </c>
      <c r="S466" s="8">
        <f t="shared" si="149"/>
        <v>9478.07</v>
      </c>
      <c r="T466" s="8">
        <f t="shared" si="150"/>
        <v>10601.273620000004</v>
      </c>
      <c r="U466" s="11">
        <f t="shared" si="151"/>
        <v>0.52796913189137418</v>
      </c>
      <c r="V466" s="17">
        <v>45293</v>
      </c>
      <c r="W466" s="4" t="str">
        <f t="shared" si="152"/>
        <v>Q4-2024</v>
      </c>
      <c r="X466" t="str">
        <f t="shared" si="153"/>
        <v>Africa → Nigeria → Abuja</v>
      </c>
      <c r="Y466" t="str">
        <f t="shared" si="154"/>
        <v>Medium</v>
      </c>
      <c r="Z466" s="20">
        <f t="shared" si="155"/>
        <v>45566</v>
      </c>
      <c r="AA466" s="4">
        <f t="array" ref="AA466">MIN(IF($F$2:$F$633=F466,$Z$2:$Z$633))</f>
        <v>44927</v>
      </c>
      <c r="AB466">
        <f t="shared" si="156"/>
        <v>21</v>
      </c>
      <c r="AC466">
        <f t="shared" si="157"/>
        <v>0</v>
      </c>
      <c r="AD466">
        <f t="shared" si="158"/>
        <v>0</v>
      </c>
      <c r="AE466" s="13">
        <f t="shared" si="159"/>
        <v>0</v>
      </c>
      <c r="AH466">
        <f t="shared" si="160"/>
        <v>27.599999999999998</v>
      </c>
      <c r="AI466">
        <f t="shared" si="161"/>
        <v>473.90349999999995</v>
      </c>
      <c r="AJ466" s="11">
        <f t="shared" si="162"/>
        <v>9.9000000000000005E-2</v>
      </c>
      <c r="AK466">
        <f t="shared" si="163"/>
        <v>24095.212344</v>
      </c>
      <c r="AL466">
        <f t="shared" si="164"/>
        <v>13079.736599999998</v>
      </c>
      <c r="AM466">
        <f t="shared" si="165"/>
        <v>11015.475744000001</v>
      </c>
    </row>
    <row r="467" spans="1:39" x14ac:dyDescent="0.25">
      <c r="A467" t="s">
        <v>63</v>
      </c>
      <c r="B467" s="4">
        <v>45579</v>
      </c>
      <c r="C467" s="4">
        <v>45604</v>
      </c>
      <c r="D467" s="13">
        <f t="shared" si="146"/>
        <v>25</v>
      </c>
      <c r="E467" s="6" t="s">
        <v>646</v>
      </c>
      <c r="F467" t="s">
        <v>651</v>
      </c>
      <c r="G467" t="s">
        <v>665</v>
      </c>
      <c r="H467" t="s">
        <v>706</v>
      </c>
      <c r="I467" t="s">
        <v>708</v>
      </c>
      <c r="J467" t="s">
        <v>719</v>
      </c>
      <c r="K467" t="s">
        <v>729</v>
      </c>
      <c r="L467" t="s">
        <v>782</v>
      </c>
      <c r="M467" s="8">
        <v>859.35</v>
      </c>
      <c r="N467" s="8">
        <v>1825.61</v>
      </c>
      <c r="O467" s="8">
        <f t="shared" si="147"/>
        <v>1825.61</v>
      </c>
      <c r="P467" s="11">
        <v>0.187</v>
      </c>
      <c r="Q467" s="13">
        <v>24</v>
      </c>
      <c r="R467" s="8">
        <f t="shared" si="148"/>
        <v>35621.302319999995</v>
      </c>
      <c r="S467" s="8">
        <f t="shared" si="149"/>
        <v>20624.400000000001</v>
      </c>
      <c r="T467" s="8">
        <f t="shared" si="150"/>
        <v>14996.902319999994</v>
      </c>
      <c r="U467" s="11">
        <f t="shared" si="151"/>
        <v>0.42100937762681989</v>
      </c>
      <c r="V467" s="17">
        <v>45281</v>
      </c>
      <c r="W467" s="4" t="str">
        <f t="shared" si="152"/>
        <v>Q4-2024</v>
      </c>
      <c r="X467" t="str">
        <f t="shared" si="153"/>
        <v>Africa → Nigeria → Lagos</v>
      </c>
      <c r="Y467" t="str">
        <f t="shared" si="154"/>
        <v>High</v>
      </c>
      <c r="Z467" s="20">
        <f t="shared" si="155"/>
        <v>45566</v>
      </c>
      <c r="AA467" s="4">
        <f t="array" ref="AA467">MIN(IF($F$2:$F$633=F467,$Z$2:$Z$633))</f>
        <v>44927</v>
      </c>
      <c r="AB467">
        <f t="shared" si="156"/>
        <v>21</v>
      </c>
      <c r="AC467">
        <f t="shared" si="157"/>
        <v>0</v>
      </c>
      <c r="AD467">
        <f t="shared" si="158"/>
        <v>0</v>
      </c>
      <c r="AE467" s="13">
        <f t="shared" si="159"/>
        <v>0</v>
      </c>
      <c r="AH467">
        <f t="shared" si="160"/>
        <v>28.799999999999997</v>
      </c>
      <c r="AI467">
        <f t="shared" si="161"/>
        <v>988.25249999999994</v>
      </c>
      <c r="AJ467" s="11">
        <f t="shared" si="162"/>
        <v>0.187</v>
      </c>
      <c r="AK467">
        <f t="shared" si="163"/>
        <v>42745.562783999987</v>
      </c>
      <c r="AL467">
        <f t="shared" si="164"/>
        <v>28461.671999999995</v>
      </c>
      <c r="AM467">
        <f t="shared" si="165"/>
        <v>14283.890783999992</v>
      </c>
    </row>
    <row r="468" spans="1:39" x14ac:dyDescent="0.25">
      <c r="A468" t="s">
        <v>199</v>
      </c>
      <c r="B468" s="4">
        <v>45587</v>
      </c>
      <c r="C468" s="4">
        <v>45594</v>
      </c>
      <c r="D468" s="13">
        <f t="shared" si="146"/>
        <v>7</v>
      </c>
      <c r="E468" s="6" t="s">
        <v>646</v>
      </c>
      <c r="F468" t="s">
        <v>651</v>
      </c>
      <c r="G468" t="s">
        <v>663</v>
      </c>
      <c r="H468" t="s">
        <v>706</v>
      </c>
      <c r="I468" t="s">
        <v>710</v>
      </c>
      <c r="J468" t="s">
        <v>724</v>
      </c>
      <c r="K468" t="s">
        <v>732</v>
      </c>
      <c r="L468" t="s">
        <v>918</v>
      </c>
      <c r="M468" s="8">
        <v>1023.06</v>
      </c>
      <c r="N468" s="8">
        <v>1355.61</v>
      </c>
      <c r="O468" s="8">
        <f t="shared" si="147"/>
        <v>1355.61</v>
      </c>
      <c r="P468" s="11">
        <v>0.153</v>
      </c>
      <c r="Q468" s="13">
        <v>23</v>
      </c>
      <c r="R468" s="8">
        <f t="shared" si="148"/>
        <v>26408.63841</v>
      </c>
      <c r="S468" s="8">
        <f t="shared" si="149"/>
        <v>23530.379999999997</v>
      </c>
      <c r="T468" s="8">
        <f t="shared" si="150"/>
        <v>2878.2584100000022</v>
      </c>
      <c r="U468" s="11">
        <f t="shared" si="151"/>
        <v>0.10898927711888809</v>
      </c>
      <c r="V468" s="17">
        <v>45292</v>
      </c>
      <c r="W468" s="4" t="str">
        <f t="shared" si="152"/>
        <v>Q4-2024</v>
      </c>
      <c r="X468" t="str">
        <f t="shared" si="153"/>
        <v>Africa → Nigeria → Port Harcourt</v>
      </c>
      <c r="Y468" t="str">
        <f t="shared" si="154"/>
        <v>Medium</v>
      </c>
      <c r="Z468" s="20">
        <f t="shared" si="155"/>
        <v>45566</v>
      </c>
      <c r="AA468" s="4">
        <f t="array" ref="AA468">MIN(IF($F$2:$F$633=F468,$Z$2:$Z$633))</f>
        <v>44927</v>
      </c>
      <c r="AB468">
        <f t="shared" si="156"/>
        <v>21</v>
      </c>
      <c r="AC468">
        <f t="shared" si="157"/>
        <v>1</v>
      </c>
      <c r="AD468">
        <f t="shared" si="158"/>
        <v>0</v>
      </c>
      <c r="AE468" s="13">
        <f t="shared" si="159"/>
        <v>1</v>
      </c>
      <c r="AH468">
        <f t="shared" si="160"/>
        <v>27.599999999999998</v>
      </c>
      <c r="AI468">
        <f t="shared" si="161"/>
        <v>1176.5189999999998</v>
      </c>
      <c r="AJ468" s="11">
        <f t="shared" si="162"/>
        <v>0.153</v>
      </c>
      <c r="AK468">
        <f t="shared" si="163"/>
        <v>31690.366091999997</v>
      </c>
      <c r="AL468">
        <f t="shared" si="164"/>
        <v>32471.924399999993</v>
      </c>
      <c r="AM468">
        <f t="shared" si="165"/>
        <v>-781.55830799999603</v>
      </c>
    </row>
    <row r="469" spans="1:39" x14ac:dyDescent="0.25">
      <c r="A469" t="s">
        <v>16</v>
      </c>
      <c r="B469" s="4">
        <v>45587</v>
      </c>
      <c r="C469" s="4">
        <v>45588</v>
      </c>
      <c r="D469" s="13">
        <f t="shared" si="146"/>
        <v>1</v>
      </c>
      <c r="E469" s="6" t="s">
        <v>646</v>
      </c>
      <c r="F469" t="s">
        <v>651</v>
      </c>
      <c r="G469" t="s">
        <v>663</v>
      </c>
      <c r="H469" t="s">
        <v>702</v>
      </c>
      <c r="I469" t="s">
        <v>708</v>
      </c>
      <c r="J469" t="s">
        <v>713</v>
      </c>
      <c r="K469" t="s">
        <v>728</v>
      </c>
      <c r="L469" t="s">
        <v>735</v>
      </c>
      <c r="M469" s="8">
        <v>1084.3900000000001</v>
      </c>
      <c r="N469" s="8">
        <v>759.33</v>
      </c>
      <c r="O469" s="8">
        <f t="shared" si="147"/>
        <v>759.33</v>
      </c>
      <c r="P469" s="11">
        <v>0.23699999999999999</v>
      </c>
      <c r="Q469" s="13">
        <v>31</v>
      </c>
      <c r="R469" s="8">
        <f t="shared" si="148"/>
        <v>17960.432489999999</v>
      </c>
      <c r="S469" s="8">
        <f t="shared" si="149"/>
        <v>33616.090000000004</v>
      </c>
      <c r="T469" s="8">
        <f t="shared" si="150"/>
        <v>-15655.657510000005</v>
      </c>
      <c r="U469" s="11">
        <f t="shared" si="151"/>
        <v>-0.87167486187856302</v>
      </c>
      <c r="V469" s="17">
        <v>45288</v>
      </c>
      <c r="W469" s="4" t="str">
        <f t="shared" si="152"/>
        <v>Q4-2024</v>
      </c>
      <c r="X469" t="str">
        <f t="shared" si="153"/>
        <v>Africa → Nigeria → Port Harcourt</v>
      </c>
      <c r="Y469" t="str">
        <f t="shared" si="154"/>
        <v>Low</v>
      </c>
      <c r="Z469" s="20">
        <f t="shared" si="155"/>
        <v>45566</v>
      </c>
      <c r="AA469" s="4">
        <f t="array" ref="AA469">MIN(IF($F$2:$F$633=F469,$Z$2:$Z$633))</f>
        <v>44927</v>
      </c>
      <c r="AB469">
        <f t="shared" si="156"/>
        <v>21</v>
      </c>
      <c r="AC469">
        <f t="shared" si="157"/>
        <v>1</v>
      </c>
      <c r="AD469">
        <f t="shared" si="158"/>
        <v>1</v>
      </c>
      <c r="AE469" s="13">
        <f t="shared" si="159"/>
        <v>1</v>
      </c>
      <c r="AH469">
        <f t="shared" si="160"/>
        <v>37.199999999999996</v>
      </c>
      <c r="AI469">
        <f t="shared" si="161"/>
        <v>1247.0485000000001</v>
      </c>
      <c r="AJ469" s="11">
        <f t="shared" si="162"/>
        <v>0.23699999999999999</v>
      </c>
      <c r="AK469">
        <f t="shared" si="163"/>
        <v>21552.518988</v>
      </c>
      <c r="AL469">
        <f t="shared" si="164"/>
        <v>46390.2042</v>
      </c>
      <c r="AM469">
        <f t="shared" si="165"/>
        <v>-24837.685212</v>
      </c>
    </row>
    <row r="470" spans="1:39" x14ac:dyDescent="0.25">
      <c r="A470" t="s">
        <v>447</v>
      </c>
      <c r="B470" s="4">
        <v>45636</v>
      </c>
      <c r="C470" s="4">
        <v>45645</v>
      </c>
      <c r="D470" s="13">
        <f t="shared" si="146"/>
        <v>9</v>
      </c>
      <c r="E470" s="6" t="s">
        <v>646</v>
      </c>
      <c r="F470" t="s">
        <v>651</v>
      </c>
      <c r="G470" t="s">
        <v>665</v>
      </c>
      <c r="H470" t="s">
        <v>701</v>
      </c>
      <c r="I470" t="s">
        <v>707</v>
      </c>
      <c r="J470" t="s">
        <v>719</v>
      </c>
      <c r="K470" t="s">
        <v>732</v>
      </c>
      <c r="L470" t="s">
        <v>1166</v>
      </c>
      <c r="M470" s="8">
        <v>488.68</v>
      </c>
      <c r="N470" s="8">
        <v>984.36</v>
      </c>
      <c r="O470" s="8">
        <f t="shared" si="147"/>
        <v>984.36</v>
      </c>
      <c r="P470" s="11">
        <v>5.8999999999999997E-2</v>
      </c>
      <c r="Q470" s="13">
        <v>14</v>
      </c>
      <c r="R470" s="8">
        <f t="shared" si="148"/>
        <v>12967.958640000001</v>
      </c>
      <c r="S470" s="8">
        <f t="shared" si="149"/>
        <v>6841.52</v>
      </c>
      <c r="T470" s="8">
        <f t="shared" si="150"/>
        <v>6126.4386400000003</v>
      </c>
      <c r="U470" s="11">
        <f t="shared" si="151"/>
        <v>0.47242891576649876</v>
      </c>
      <c r="V470" s="17">
        <v>45224</v>
      </c>
      <c r="W470" s="4" t="str">
        <f t="shared" si="152"/>
        <v>Q4-2024</v>
      </c>
      <c r="X470" t="str">
        <f t="shared" si="153"/>
        <v>Africa → Nigeria → Lagos</v>
      </c>
      <c r="Y470" t="str">
        <f t="shared" si="154"/>
        <v>Medium</v>
      </c>
      <c r="Z470" s="20">
        <f t="shared" si="155"/>
        <v>45627</v>
      </c>
      <c r="AA470" s="4">
        <f t="array" ref="AA470">MIN(IF($F$2:$F$633=F470,$Z$2:$Z$633))</f>
        <v>44927</v>
      </c>
      <c r="AB470">
        <f t="shared" si="156"/>
        <v>23</v>
      </c>
      <c r="AC470">
        <f t="shared" si="157"/>
        <v>0</v>
      </c>
      <c r="AD470">
        <f t="shared" si="158"/>
        <v>0</v>
      </c>
      <c r="AE470" s="13">
        <f t="shared" si="159"/>
        <v>0</v>
      </c>
      <c r="AH470">
        <f t="shared" si="160"/>
        <v>16.8</v>
      </c>
      <c r="AI470">
        <f t="shared" si="161"/>
        <v>561.98199999999997</v>
      </c>
      <c r="AJ470" s="11">
        <f t="shared" si="162"/>
        <v>5.8999999999999997E-2</v>
      </c>
      <c r="AK470">
        <f t="shared" si="163"/>
        <v>15561.550368</v>
      </c>
      <c r="AL470">
        <f t="shared" si="164"/>
        <v>9441.2975999999999</v>
      </c>
      <c r="AM470">
        <f t="shared" si="165"/>
        <v>6120.2527680000003</v>
      </c>
    </row>
    <row r="471" spans="1:39" x14ac:dyDescent="0.25">
      <c r="A471" t="s">
        <v>540</v>
      </c>
      <c r="B471" s="4">
        <v>45695</v>
      </c>
      <c r="C471" s="4">
        <v>45704</v>
      </c>
      <c r="D471" s="13">
        <f t="shared" si="146"/>
        <v>9</v>
      </c>
      <c r="E471" s="6" t="s">
        <v>646</v>
      </c>
      <c r="F471" t="s">
        <v>651</v>
      </c>
      <c r="G471" t="s">
        <v>665</v>
      </c>
      <c r="H471" t="s">
        <v>705</v>
      </c>
      <c r="I471" t="s">
        <v>710</v>
      </c>
      <c r="J471" t="s">
        <v>712</v>
      </c>
      <c r="K471" t="s">
        <v>728</v>
      </c>
      <c r="L471" t="s">
        <v>1259</v>
      </c>
      <c r="M471" s="8">
        <v>90.68</v>
      </c>
      <c r="N471" s="8">
        <v>118.17</v>
      </c>
      <c r="O471" s="8">
        <f t="shared" si="147"/>
        <v>118.17</v>
      </c>
      <c r="P471" s="11">
        <v>0.13500000000000001</v>
      </c>
      <c r="Q471" s="13">
        <v>21</v>
      </c>
      <c r="R471" s="8">
        <f t="shared" si="148"/>
        <v>2146.5580500000001</v>
      </c>
      <c r="S471" s="8">
        <f t="shared" si="149"/>
        <v>1904.2800000000002</v>
      </c>
      <c r="T471" s="8">
        <f t="shared" si="150"/>
        <v>242.27804999999989</v>
      </c>
      <c r="U471" s="11">
        <f t="shared" si="151"/>
        <v>0.11286815653552899</v>
      </c>
      <c r="V471" s="17">
        <v>45133</v>
      </c>
      <c r="W471" s="4" t="str">
        <f t="shared" si="152"/>
        <v>Q1-2025</v>
      </c>
      <c r="X471" t="str">
        <f t="shared" si="153"/>
        <v>Africa → Nigeria → Lagos</v>
      </c>
      <c r="Y471" t="str">
        <f t="shared" si="154"/>
        <v>Low</v>
      </c>
      <c r="Z471" s="20">
        <f t="shared" si="155"/>
        <v>45689</v>
      </c>
      <c r="AA471" s="4">
        <f t="array" ref="AA471">MIN(IF($F$2:$F$633=F471,$Z$2:$Z$633))</f>
        <v>44927</v>
      </c>
      <c r="AB471">
        <f t="shared" si="156"/>
        <v>25</v>
      </c>
      <c r="AC471">
        <f t="shared" si="157"/>
        <v>0</v>
      </c>
      <c r="AD471">
        <f t="shared" si="158"/>
        <v>0</v>
      </c>
      <c r="AE471" s="13">
        <f t="shared" si="159"/>
        <v>0</v>
      </c>
      <c r="AH471">
        <f t="shared" si="160"/>
        <v>25.2</v>
      </c>
      <c r="AI471">
        <f t="shared" si="161"/>
        <v>104.282</v>
      </c>
      <c r="AJ471" s="11">
        <f t="shared" si="162"/>
        <v>0.13500000000000001</v>
      </c>
      <c r="AK471">
        <f t="shared" si="163"/>
        <v>2575.8696599999998</v>
      </c>
      <c r="AL471">
        <f t="shared" si="164"/>
        <v>2627.9063999999998</v>
      </c>
      <c r="AM471">
        <f t="shared" si="165"/>
        <v>-52.036740000000009</v>
      </c>
    </row>
    <row r="472" spans="1:39" x14ac:dyDescent="0.25">
      <c r="A472" t="s">
        <v>421</v>
      </c>
      <c r="B472" s="4">
        <v>45709</v>
      </c>
      <c r="C472" s="4">
        <v>45737</v>
      </c>
      <c r="D472" s="13">
        <f t="shared" si="146"/>
        <v>28</v>
      </c>
      <c r="E472" s="6" t="s">
        <v>646</v>
      </c>
      <c r="F472" t="s">
        <v>651</v>
      </c>
      <c r="G472" t="s">
        <v>669</v>
      </c>
      <c r="H472" t="s">
        <v>706</v>
      </c>
      <c r="I472" t="s">
        <v>709</v>
      </c>
      <c r="J472" t="s">
        <v>714</v>
      </c>
      <c r="K472" t="s">
        <v>730</v>
      </c>
      <c r="L472" t="s">
        <v>1140</v>
      </c>
      <c r="M472" s="8">
        <v>1437.39</v>
      </c>
      <c r="N472" s="8">
        <v>1388.31</v>
      </c>
      <c r="O472" s="8">
        <f t="shared" si="147"/>
        <v>1388.31</v>
      </c>
      <c r="P472" s="11">
        <v>0.13800000000000001</v>
      </c>
      <c r="Q472" s="13">
        <v>18</v>
      </c>
      <c r="R472" s="8">
        <f t="shared" si="148"/>
        <v>21541.017959999997</v>
      </c>
      <c r="S472" s="8">
        <f t="shared" si="149"/>
        <v>25873.02</v>
      </c>
      <c r="T472" s="8">
        <f t="shared" si="150"/>
        <v>-4332.002040000003</v>
      </c>
      <c r="U472" s="11">
        <f t="shared" si="151"/>
        <v>-0.20110479681341872</v>
      </c>
      <c r="V472" s="17">
        <v>45131</v>
      </c>
      <c r="W472" s="4" t="str">
        <f t="shared" si="152"/>
        <v>Q1-2025</v>
      </c>
      <c r="X472" t="str">
        <f t="shared" si="153"/>
        <v>Africa → Nigeria → Abuja</v>
      </c>
      <c r="Y472" t="str">
        <f t="shared" si="154"/>
        <v>Medium</v>
      </c>
      <c r="Z472" s="20">
        <f t="shared" si="155"/>
        <v>45689</v>
      </c>
      <c r="AA472" s="4">
        <f t="array" ref="AA472">MIN(IF($F$2:$F$633=F472,$Z$2:$Z$633))</f>
        <v>44927</v>
      </c>
      <c r="AB472">
        <f t="shared" si="156"/>
        <v>25</v>
      </c>
      <c r="AC472">
        <f t="shared" si="157"/>
        <v>0</v>
      </c>
      <c r="AD472">
        <f t="shared" si="158"/>
        <v>0</v>
      </c>
      <c r="AE472" s="13">
        <f t="shared" si="159"/>
        <v>0</v>
      </c>
      <c r="AH472">
        <f t="shared" si="160"/>
        <v>21.599999999999998</v>
      </c>
      <c r="AI472">
        <f t="shared" si="161"/>
        <v>1652.9984999999999</v>
      </c>
      <c r="AJ472" s="11">
        <f t="shared" si="162"/>
        <v>0.13800000000000001</v>
      </c>
      <c r="AK472">
        <f t="shared" si="163"/>
        <v>25849.221551999995</v>
      </c>
      <c r="AL472">
        <f t="shared" si="164"/>
        <v>35704.767599999992</v>
      </c>
      <c r="AM472">
        <f t="shared" si="165"/>
        <v>-9855.5460479999965</v>
      </c>
    </row>
    <row r="473" spans="1:39" x14ac:dyDescent="0.25">
      <c r="A473" t="s">
        <v>146</v>
      </c>
      <c r="B473" s="4">
        <v>45719</v>
      </c>
      <c r="C473" s="4">
        <v>45740</v>
      </c>
      <c r="D473" s="13">
        <f t="shared" si="146"/>
        <v>21</v>
      </c>
      <c r="E473" s="6" t="s">
        <v>646</v>
      </c>
      <c r="F473" t="s">
        <v>651</v>
      </c>
      <c r="G473" t="s">
        <v>669</v>
      </c>
      <c r="H473" t="s">
        <v>706</v>
      </c>
      <c r="I473" t="s">
        <v>711</v>
      </c>
      <c r="J473" t="s">
        <v>722</v>
      </c>
      <c r="K473" t="s">
        <v>733</v>
      </c>
      <c r="L473" t="s">
        <v>865</v>
      </c>
      <c r="M473" s="8">
        <v>555.95000000000005</v>
      </c>
      <c r="N473" s="8">
        <v>468.09</v>
      </c>
      <c r="O473" s="8">
        <f t="shared" si="147"/>
        <v>468.09</v>
      </c>
      <c r="P473" s="11">
        <v>0.14199999999999999</v>
      </c>
      <c r="Q473" s="13">
        <v>11</v>
      </c>
      <c r="R473" s="8">
        <f t="shared" si="148"/>
        <v>4417.8334199999999</v>
      </c>
      <c r="S473" s="8">
        <f t="shared" si="149"/>
        <v>6115.4500000000007</v>
      </c>
      <c r="T473" s="8">
        <f t="shared" si="150"/>
        <v>-1697.6165800000008</v>
      </c>
      <c r="U473" s="11">
        <f t="shared" si="151"/>
        <v>-0.38426450674095375</v>
      </c>
      <c r="V473" s="17">
        <v>45125</v>
      </c>
      <c r="W473" s="4" t="str">
        <f t="shared" si="152"/>
        <v>Q1-2025</v>
      </c>
      <c r="X473" t="str">
        <f t="shared" si="153"/>
        <v>Africa → Nigeria → Abuja</v>
      </c>
      <c r="Y473" t="str">
        <f t="shared" si="154"/>
        <v>Low</v>
      </c>
      <c r="Z473" s="20">
        <f t="shared" si="155"/>
        <v>45717</v>
      </c>
      <c r="AA473" s="4">
        <f t="array" ref="AA473">MIN(IF($F$2:$F$633=F473,$Z$2:$Z$633))</f>
        <v>44927</v>
      </c>
      <c r="AB473">
        <f t="shared" si="156"/>
        <v>26</v>
      </c>
      <c r="AC473">
        <f t="shared" si="157"/>
        <v>0</v>
      </c>
      <c r="AD473">
        <f t="shared" si="158"/>
        <v>0</v>
      </c>
      <c r="AE473" s="13">
        <f t="shared" si="159"/>
        <v>0</v>
      </c>
      <c r="AH473">
        <f t="shared" si="160"/>
        <v>13.2</v>
      </c>
      <c r="AI473">
        <f t="shared" si="161"/>
        <v>639.34249999999997</v>
      </c>
      <c r="AJ473" s="11">
        <f t="shared" si="162"/>
        <v>0.14199999999999999</v>
      </c>
      <c r="AK473">
        <f t="shared" si="163"/>
        <v>5301.4001039999994</v>
      </c>
      <c r="AL473">
        <f t="shared" si="164"/>
        <v>8439.3209999999999</v>
      </c>
      <c r="AM473">
        <f t="shared" si="165"/>
        <v>-3137.9208960000005</v>
      </c>
    </row>
    <row r="474" spans="1:39" x14ac:dyDescent="0.25">
      <c r="A474" t="s">
        <v>320</v>
      </c>
      <c r="B474" s="4">
        <v>45741</v>
      </c>
      <c r="C474" s="4">
        <v>45742</v>
      </c>
      <c r="D474" s="13">
        <f t="shared" si="146"/>
        <v>1</v>
      </c>
      <c r="E474" s="6" t="s">
        <v>646</v>
      </c>
      <c r="F474" t="s">
        <v>651</v>
      </c>
      <c r="G474" t="s">
        <v>665</v>
      </c>
      <c r="H474" t="s">
        <v>702</v>
      </c>
      <c r="I474" t="s">
        <v>710</v>
      </c>
      <c r="J474" t="s">
        <v>715</v>
      </c>
      <c r="K474" t="s">
        <v>733</v>
      </c>
      <c r="L474" t="s">
        <v>1040</v>
      </c>
      <c r="M474" s="8">
        <v>1450.43</v>
      </c>
      <c r="N474" s="8">
        <v>1994.67</v>
      </c>
      <c r="O474" s="8">
        <f t="shared" si="147"/>
        <v>1994.67</v>
      </c>
      <c r="P474" s="11">
        <v>0.1</v>
      </c>
      <c r="Q474" s="13">
        <v>24</v>
      </c>
      <c r="R474" s="8">
        <f t="shared" si="148"/>
        <v>43084.872000000003</v>
      </c>
      <c r="S474" s="8">
        <f t="shared" si="149"/>
        <v>34810.32</v>
      </c>
      <c r="T474" s="8">
        <f t="shared" si="150"/>
        <v>8274.5520000000033</v>
      </c>
      <c r="U474" s="11">
        <f t="shared" si="151"/>
        <v>0.19205237513529116</v>
      </c>
      <c r="V474" s="17">
        <v>45112</v>
      </c>
      <c r="W474" s="4" t="str">
        <f t="shared" si="152"/>
        <v>Q1-2025</v>
      </c>
      <c r="X474" t="str">
        <f t="shared" si="153"/>
        <v>Africa → Nigeria → Lagos</v>
      </c>
      <c r="Y474" t="str">
        <f t="shared" si="154"/>
        <v>High</v>
      </c>
      <c r="Z474" s="20">
        <f t="shared" si="155"/>
        <v>45717</v>
      </c>
      <c r="AA474" s="4">
        <f t="array" ref="AA474">MIN(IF($F$2:$F$633=F474,$Z$2:$Z$633))</f>
        <v>44927</v>
      </c>
      <c r="AB474">
        <f t="shared" si="156"/>
        <v>26</v>
      </c>
      <c r="AC474">
        <f t="shared" si="157"/>
        <v>1</v>
      </c>
      <c r="AD474">
        <f t="shared" si="158"/>
        <v>0</v>
      </c>
      <c r="AE474" s="13">
        <f t="shared" si="159"/>
        <v>1</v>
      </c>
      <c r="AH474">
        <f t="shared" si="160"/>
        <v>28.799999999999997</v>
      </c>
      <c r="AI474">
        <f t="shared" si="161"/>
        <v>1667.9945</v>
      </c>
      <c r="AJ474" s="11">
        <f t="shared" si="162"/>
        <v>0.1</v>
      </c>
      <c r="AK474">
        <f t="shared" si="163"/>
        <v>51701.846400000002</v>
      </c>
      <c r="AL474">
        <f t="shared" si="164"/>
        <v>48038.241599999994</v>
      </c>
      <c r="AM474">
        <f t="shared" si="165"/>
        <v>3663.6048000000083</v>
      </c>
    </row>
    <row r="475" spans="1:39" x14ac:dyDescent="0.25">
      <c r="A475" t="s">
        <v>18</v>
      </c>
      <c r="B475" s="4">
        <v>45745</v>
      </c>
      <c r="C475" s="4">
        <v>45749</v>
      </c>
      <c r="D475" s="13">
        <f t="shared" si="146"/>
        <v>4</v>
      </c>
      <c r="E475" s="6" t="s">
        <v>646</v>
      </c>
      <c r="F475" t="s">
        <v>651</v>
      </c>
      <c r="G475" t="s">
        <v>665</v>
      </c>
      <c r="H475" t="s">
        <v>703</v>
      </c>
      <c r="I475" t="s">
        <v>709</v>
      </c>
      <c r="J475" t="s">
        <v>715</v>
      </c>
      <c r="K475" t="s">
        <v>730</v>
      </c>
      <c r="L475" t="s">
        <v>737</v>
      </c>
      <c r="M475" s="8">
        <v>259.93</v>
      </c>
      <c r="N475" s="8">
        <v>255.94</v>
      </c>
      <c r="O475" s="8">
        <f t="shared" si="147"/>
        <v>255.94</v>
      </c>
      <c r="P475" s="11">
        <v>7.1999999999999995E-2</v>
      </c>
      <c r="Q475" s="13">
        <v>22</v>
      </c>
      <c r="R475" s="8">
        <f t="shared" si="148"/>
        <v>5225.2710400000005</v>
      </c>
      <c r="S475" s="8">
        <f t="shared" si="149"/>
        <v>5718.46</v>
      </c>
      <c r="T475" s="8">
        <f t="shared" si="150"/>
        <v>-493.1889599999995</v>
      </c>
      <c r="U475" s="11">
        <f t="shared" si="151"/>
        <v>-9.4385335463861311E-2</v>
      </c>
      <c r="V475" s="17">
        <v>45114</v>
      </c>
      <c r="W475" s="4" t="str">
        <f t="shared" si="152"/>
        <v>Q1-2025</v>
      </c>
      <c r="X475" t="str">
        <f t="shared" si="153"/>
        <v>Africa → Nigeria → Lagos</v>
      </c>
      <c r="Y475" t="str">
        <f t="shared" si="154"/>
        <v>Low</v>
      </c>
      <c r="Z475" s="20">
        <f t="shared" si="155"/>
        <v>45717</v>
      </c>
      <c r="AA475" s="4">
        <f t="array" ref="AA475">MIN(IF($F$2:$F$633=F475,$Z$2:$Z$633))</f>
        <v>44927</v>
      </c>
      <c r="AB475">
        <f t="shared" si="156"/>
        <v>26</v>
      </c>
      <c r="AC475">
        <f t="shared" si="157"/>
        <v>1</v>
      </c>
      <c r="AD475">
        <f t="shared" si="158"/>
        <v>0</v>
      </c>
      <c r="AE475" s="13">
        <f t="shared" si="159"/>
        <v>1</v>
      </c>
      <c r="AH475">
        <f t="shared" si="160"/>
        <v>26.4</v>
      </c>
      <c r="AI475">
        <f t="shared" si="161"/>
        <v>298.91949999999997</v>
      </c>
      <c r="AJ475" s="11">
        <f t="shared" si="162"/>
        <v>7.1999999999999995E-2</v>
      </c>
      <c r="AK475">
        <f t="shared" si="163"/>
        <v>6270.3252480000001</v>
      </c>
      <c r="AL475">
        <f t="shared" si="164"/>
        <v>7891.474799999999</v>
      </c>
      <c r="AM475">
        <f t="shared" si="165"/>
        <v>-1621.1495519999989</v>
      </c>
    </row>
    <row r="476" spans="1:39" x14ac:dyDescent="0.25">
      <c r="A476" t="s">
        <v>278</v>
      </c>
      <c r="B476" s="4">
        <v>45763</v>
      </c>
      <c r="C476" s="4">
        <v>45773</v>
      </c>
      <c r="D476" s="13">
        <f t="shared" si="146"/>
        <v>10</v>
      </c>
      <c r="E476" s="6" t="s">
        <v>646</v>
      </c>
      <c r="F476" t="s">
        <v>651</v>
      </c>
      <c r="G476" t="s">
        <v>663</v>
      </c>
      <c r="H476" t="s">
        <v>706</v>
      </c>
      <c r="I476" t="s">
        <v>709</v>
      </c>
      <c r="J476" t="s">
        <v>721</v>
      </c>
      <c r="K476" t="s">
        <v>731</v>
      </c>
      <c r="L476" t="s">
        <v>998</v>
      </c>
      <c r="M476" s="8">
        <v>1457.44</v>
      </c>
      <c r="N476" s="8">
        <v>1996.81</v>
      </c>
      <c r="O476" s="8">
        <f t="shared" si="147"/>
        <v>1996.81</v>
      </c>
      <c r="P476" s="11">
        <v>0.126</v>
      </c>
      <c r="Q476" s="13">
        <v>23</v>
      </c>
      <c r="R476" s="8">
        <f t="shared" si="148"/>
        <v>40139.874619999995</v>
      </c>
      <c r="S476" s="8">
        <f t="shared" si="149"/>
        <v>33521.120000000003</v>
      </c>
      <c r="T476" s="8">
        <f t="shared" si="150"/>
        <v>6618.7546199999924</v>
      </c>
      <c r="U476" s="11">
        <f t="shared" si="151"/>
        <v>0.16489225944672353</v>
      </c>
      <c r="V476" s="17">
        <v>45099</v>
      </c>
      <c r="W476" s="4" t="str">
        <f t="shared" si="152"/>
        <v>Q2-2025</v>
      </c>
      <c r="X476" t="str">
        <f t="shared" si="153"/>
        <v>Africa → Nigeria → Port Harcourt</v>
      </c>
      <c r="Y476" t="str">
        <f t="shared" si="154"/>
        <v>High</v>
      </c>
      <c r="Z476" s="20">
        <f t="shared" si="155"/>
        <v>45748</v>
      </c>
      <c r="AA476" s="4">
        <f t="array" ref="AA476">MIN(IF($F$2:$F$633=F476,$Z$2:$Z$633))</f>
        <v>44927</v>
      </c>
      <c r="AB476">
        <f t="shared" si="156"/>
        <v>27</v>
      </c>
      <c r="AC476">
        <f t="shared" si="157"/>
        <v>0</v>
      </c>
      <c r="AD476">
        <f t="shared" si="158"/>
        <v>0</v>
      </c>
      <c r="AE476" s="13">
        <f t="shared" si="159"/>
        <v>0</v>
      </c>
      <c r="AH476">
        <f t="shared" si="160"/>
        <v>27.599999999999998</v>
      </c>
      <c r="AI476">
        <f t="shared" si="161"/>
        <v>1676.056</v>
      </c>
      <c r="AJ476" s="11">
        <f t="shared" si="162"/>
        <v>0.126</v>
      </c>
      <c r="AK476">
        <f t="shared" si="163"/>
        <v>48167.84954399999</v>
      </c>
      <c r="AL476">
        <f t="shared" si="164"/>
        <v>46259.145599999996</v>
      </c>
      <c r="AM476">
        <f t="shared" si="165"/>
        <v>1908.7039439999935</v>
      </c>
    </row>
    <row r="477" spans="1:39" x14ac:dyDescent="0.25">
      <c r="A477" t="s">
        <v>531</v>
      </c>
      <c r="B477" s="4">
        <v>45794</v>
      </c>
      <c r="C477" s="4">
        <v>45807</v>
      </c>
      <c r="D477" s="13">
        <f t="shared" si="146"/>
        <v>13</v>
      </c>
      <c r="E477" s="6" t="s">
        <v>646</v>
      </c>
      <c r="F477" t="s">
        <v>651</v>
      </c>
      <c r="G477" t="s">
        <v>665</v>
      </c>
      <c r="H477" t="s">
        <v>704</v>
      </c>
      <c r="I477" t="s">
        <v>710</v>
      </c>
      <c r="J477" t="s">
        <v>721</v>
      </c>
      <c r="K477" t="s">
        <v>733</v>
      </c>
      <c r="L477" t="s">
        <v>1250</v>
      </c>
      <c r="M477" s="8">
        <v>66.400000000000006</v>
      </c>
      <c r="N477" s="8">
        <v>141.43</v>
      </c>
      <c r="O477" s="8">
        <f t="shared" si="147"/>
        <v>141.43</v>
      </c>
      <c r="P477" s="11">
        <v>0.107</v>
      </c>
      <c r="Q477" s="13">
        <v>8</v>
      </c>
      <c r="R477" s="8">
        <f t="shared" si="148"/>
        <v>1010.3759200000001</v>
      </c>
      <c r="S477" s="8">
        <f t="shared" si="149"/>
        <v>531.20000000000005</v>
      </c>
      <c r="T477" s="8">
        <f t="shared" si="150"/>
        <v>479.17592000000002</v>
      </c>
      <c r="U477" s="11">
        <f t="shared" si="151"/>
        <v>0.47425508715607551</v>
      </c>
      <c r="V477" s="17">
        <v>45053</v>
      </c>
      <c r="W477" s="4" t="str">
        <f t="shared" si="152"/>
        <v>Q2-2025</v>
      </c>
      <c r="X477" t="str">
        <f t="shared" si="153"/>
        <v>Africa → Nigeria → Lagos</v>
      </c>
      <c r="Y477" t="str">
        <f t="shared" si="154"/>
        <v>Low</v>
      </c>
      <c r="Z477" s="20">
        <f t="shared" si="155"/>
        <v>45778</v>
      </c>
      <c r="AA477" s="4">
        <f t="array" ref="AA477">MIN(IF($F$2:$F$633=F477,$Z$2:$Z$633))</f>
        <v>44927</v>
      </c>
      <c r="AB477">
        <f t="shared" si="156"/>
        <v>28</v>
      </c>
      <c r="AC477">
        <f t="shared" si="157"/>
        <v>0</v>
      </c>
      <c r="AD477">
        <f t="shared" si="158"/>
        <v>0</v>
      </c>
      <c r="AE477" s="13">
        <f t="shared" si="159"/>
        <v>0</v>
      </c>
      <c r="AH477">
        <f t="shared" si="160"/>
        <v>9.6</v>
      </c>
      <c r="AI477">
        <f t="shared" si="161"/>
        <v>76.36</v>
      </c>
      <c r="AJ477" s="11">
        <f t="shared" si="162"/>
        <v>0.107</v>
      </c>
      <c r="AK477">
        <f t="shared" si="163"/>
        <v>1212.451104</v>
      </c>
      <c r="AL477">
        <f t="shared" si="164"/>
        <v>733.05599999999993</v>
      </c>
      <c r="AM477">
        <f t="shared" si="165"/>
        <v>479.39510400000006</v>
      </c>
    </row>
    <row r="478" spans="1:39" x14ac:dyDescent="0.25">
      <c r="A478" t="s">
        <v>37</v>
      </c>
      <c r="B478" s="4">
        <v>45822</v>
      </c>
      <c r="C478" s="4">
        <v>45837</v>
      </c>
      <c r="D478" s="13">
        <f t="shared" si="146"/>
        <v>15</v>
      </c>
      <c r="E478" s="6" t="s">
        <v>646</v>
      </c>
      <c r="F478" t="s">
        <v>651</v>
      </c>
      <c r="G478" t="s">
        <v>663</v>
      </c>
      <c r="H478" t="s">
        <v>704</v>
      </c>
      <c r="I478" t="s">
        <v>709</v>
      </c>
      <c r="J478" t="s">
        <v>724</v>
      </c>
      <c r="K478" t="s">
        <v>733</v>
      </c>
      <c r="L478" t="s">
        <v>756</v>
      </c>
      <c r="M478" s="8">
        <v>730.99</v>
      </c>
      <c r="N478" s="8">
        <v>1242.8399999999999</v>
      </c>
      <c r="O478" s="8">
        <f t="shared" si="147"/>
        <v>1242.8399999999999</v>
      </c>
      <c r="P478" s="11">
        <v>0.12</v>
      </c>
      <c r="Q478" s="13">
        <v>10</v>
      </c>
      <c r="R478" s="8">
        <f t="shared" si="148"/>
        <v>10936.992</v>
      </c>
      <c r="S478" s="8">
        <f t="shared" si="149"/>
        <v>7309.9</v>
      </c>
      <c r="T478" s="8">
        <f t="shared" si="150"/>
        <v>3627.0920000000006</v>
      </c>
      <c r="U478" s="11">
        <f t="shared" si="151"/>
        <v>0.33163524303574515</v>
      </c>
      <c r="V478" s="17">
        <v>45051</v>
      </c>
      <c r="W478" s="4" t="str">
        <f t="shared" si="152"/>
        <v>Q2-2025</v>
      </c>
      <c r="X478" t="str">
        <f t="shared" si="153"/>
        <v>Africa → Nigeria → Port Harcourt</v>
      </c>
      <c r="Y478" t="str">
        <f t="shared" si="154"/>
        <v>Medium</v>
      </c>
      <c r="Z478" s="20">
        <f t="shared" si="155"/>
        <v>45809</v>
      </c>
      <c r="AA478" s="4">
        <f t="array" ref="AA478">MIN(IF($F$2:$F$633=F478,$Z$2:$Z$633))</f>
        <v>44927</v>
      </c>
      <c r="AB478">
        <f t="shared" si="156"/>
        <v>29</v>
      </c>
      <c r="AC478">
        <f t="shared" si="157"/>
        <v>0</v>
      </c>
      <c r="AD478">
        <f t="shared" si="158"/>
        <v>0</v>
      </c>
      <c r="AE478" s="13">
        <f t="shared" si="159"/>
        <v>0</v>
      </c>
      <c r="AH478">
        <f t="shared" si="160"/>
        <v>12</v>
      </c>
      <c r="AI478">
        <f t="shared" si="161"/>
        <v>840.63849999999991</v>
      </c>
      <c r="AJ478" s="11">
        <f t="shared" si="162"/>
        <v>0.12</v>
      </c>
      <c r="AK478">
        <f t="shared" si="163"/>
        <v>13124.390399999998</v>
      </c>
      <c r="AL478">
        <f t="shared" si="164"/>
        <v>10087.661999999998</v>
      </c>
      <c r="AM478">
        <f t="shared" si="165"/>
        <v>3036.7284</v>
      </c>
    </row>
    <row r="479" spans="1:39" x14ac:dyDescent="0.25">
      <c r="A479" t="s">
        <v>581</v>
      </c>
      <c r="B479" s="4">
        <v>45834</v>
      </c>
      <c r="C479" s="4">
        <v>45849</v>
      </c>
      <c r="D479" s="13">
        <f t="shared" si="146"/>
        <v>15</v>
      </c>
      <c r="E479" s="6" t="s">
        <v>646</v>
      </c>
      <c r="F479" t="s">
        <v>651</v>
      </c>
      <c r="G479" t="s">
        <v>663</v>
      </c>
      <c r="H479" t="s">
        <v>705</v>
      </c>
      <c r="I479" t="s">
        <v>708</v>
      </c>
      <c r="J479" t="s">
        <v>720</v>
      </c>
      <c r="K479" t="s">
        <v>731</v>
      </c>
      <c r="L479" t="s">
        <v>1299</v>
      </c>
      <c r="M479" s="8">
        <v>1170.1500000000001</v>
      </c>
      <c r="N479" s="8">
        <v>2115.19</v>
      </c>
      <c r="O479" s="8">
        <f t="shared" si="147"/>
        <v>2115.19</v>
      </c>
      <c r="P479" s="11">
        <v>9.1999999999999998E-2</v>
      </c>
      <c r="Q479" s="13">
        <v>23</v>
      </c>
      <c r="R479" s="8">
        <f t="shared" si="148"/>
        <v>44173.627960000005</v>
      </c>
      <c r="S479" s="8">
        <f t="shared" si="149"/>
        <v>26913.45</v>
      </c>
      <c r="T479" s="8">
        <f t="shared" si="150"/>
        <v>17260.177960000005</v>
      </c>
      <c r="U479" s="11">
        <f t="shared" si="151"/>
        <v>0.39073489674946776</v>
      </c>
      <c r="V479" s="17">
        <v>45032</v>
      </c>
      <c r="W479" s="4" t="str">
        <f t="shared" si="152"/>
        <v>Q2-2025</v>
      </c>
      <c r="X479" t="str">
        <f t="shared" si="153"/>
        <v>Africa → Nigeria → Port Harcourt</v>
      </c>
      <c r="Y479" t="str">
        <f t="shared" si="154"/>
        <v>High</v>
      </c>
      <c r="Z479" s="20">
        <f t="shared" si="155"/>
        <v>45809</v>
      </c>
      <c r="AA479" s="4">
        <f t="array" ref="AA479">MIN(IF($F$2:$F$633=F479,$Z$2:$Z$633))</f>
        <v>44927</v>
      </c>
      <c r="AB479">
        <f t="shared" si="156"/>
        <v>29</v>
      </c>
      <c r="AC479">
        <f t="shared" si="157"/>
        <v>0</v>
      </c>
      <c r="AD479">
        <f t="shared" si="158"/>
        <v>0</v>
      </c>
      <c r="AE479" s="13">
        <f t="shared" si="159"/>
        <v>0</v>
      </c>
      <c r="AH479">
        <f t="shared" si="160"/>
        <v>27.599999999999998</v>
      </c>
      <c r="AI479">
        <f t="shared" si="161"/>
        <v>1345.6724999999999</v>
      </c>
      <c r="AJ479" s="11">
        <f t="shared" si="162"/>
        <v>9.1999999999999998E-2</v>
      </c>
      <c r="AK479">
        <f t="shared" si="163"/>
        <v>53008.353552</v>
      </c>
      <c r="AL479">
        <f t="shared" si="164"/>
        <v>37140.560999999994</v>
      </c>
      <c r="AM479">
        <f t="shared" si="165"/>
        <v>15867.792552000006</v>
      </c>
    </row>
    <row r="480" spans="1:39" x14ac:dyDescent="0.25">
      <c r="A480" t="s">
        <v>436</v>
      </c>
      <c r="B480" s="4">
        <v>45841</v>
      </c>
      <c r="C480" s="4">
        <v>45844</v>
      </c>
      <c r="D480" s="13">
        <f t="shared" si="146"/>
        <v>3</v>
      </c>
      <c r="E480" s="6" t="s">
        <v>646</v>
      </c>
      <c r="F480" t="s">
        <v>651</v>
      </c>
      <c r="G480" t="s">
        <v>665</v>
      </c>
      <c r="H480" t="s">
        <v>704</v>
      </c>
      <c r="I480" t="s">
        <v>708</v>
      </c>
      <c r="J480" t="s">
        <v>1422</v>
      </c>
      <c r="K480" t="s">
        <v>731</v>
      </c>
      <c r="L480" t="s">
        <v>1155</v>
      </c>
      <c r="M480" s="8">
        <v>1313.3</v>
      </c>
      <c r="N480" s="8">
        <v>2884.34</v>
      </c>
      <c r="O480" s="8">
        <f t="shared" si="147"/>
        <v>2884.34</v>
      </c>
      <c r="P480" s="11">
        <v>0.157</v>
      </c>
      <c r="Q480" s="13">
        <v>42</v>
      </c>
      <c r="R480" s="8">
        <f t="shared" si="148"/>
        <v>102122.94203999999</v>
      </c>
      <c r="S480" s="8">
        <f t="shared" si="149"/>
        <v>55158.6</v>
      </c>
      <c r="T480" s="8">
        <f t="shared" si="150"/>
        <v>46964.342039999996</v>
      </c>
      <c r="U480" s="11">
        <f t="shared" si="151"/>
        <v>0.45988042551305253</v>
      </c>
      <c r="V480" s="17">
        <v>45008</v>
      </c>
      <c r="W480" s="4" t="str">
        <f t="shared" si="152"/>
        <v>Q3-2025</v>
      </c>
      <c r="X480" t="str">
        <f t="shared" si="153"/>
        <v>Africa → Nigeria → Lagos</v>
      </c>
      <c r="Y480" t="str">
        <f t="shared" si="154"/>
        <v>High</v>
      </c>
      <c r="Z480" s="20">
        <f t="shared" si="155"/>
        <v>45839</v>
      </c>
      <c r="AA480" s="4">
        <f t="array" ref="AA480">MIN(IF($F$2:$F$633=F480,$Z$2:$Z$633))</f>
        <v>44927</v>
      </c>
      <c r="AB480">
        <f t="shared" si="156"/>
        <v>30</v>
      </c>
      <c r="AC480">
        <f t="shared" si="157"/>
        <v>1</v>
      </c>
      <c r="AD480">
        <f t="shared" si="158"/>
        <v>0</v>
      </c>
      <c r="AE480" s="13">
        <f t="shared" si="159"/>
        <v>1</v>
      </c>
      <c r="AH480">
        <f t="shared" si="160"/>
        <v>50.4</v>
      </c>
      <c r="AI480">
        <f t="shared" si="161"/>
        <v>1510.2949999999998</v>
      </c>
      <c r="AJ480" s="11">
        <f t="shared" si="162"/>
        <v>0.157</v>
      </c>
      <c r="AK480">
        <f t="shared" si="163"/>
        <v>122547.530448</v>
      </c>
      <c r="AL480">
        <f t="shared" si="164"/>
        <v>76118.867999999988</v>
      </c>
      <c r="AM480">
        <f t="shared" si="165"/>
        <v>46428.662448000017</v>
      </c>
    </row>
    <row r="481" spans="1:39" x14ac:dyDescent="0.25">
      <c r="A481" t="s">
        <v>223</v>
      </c>
      <c r="B481" s="4">
        <v>45859</v>
      </c>
      <c r="C481" s="4">
        <v>45876</v>
      </c>
      <c r="D481" s="13">
        <f t="shared" si="146"/>
        <v>17</v>
      </c>
      <c r="E481" s="6" t="s">
        <v>646</v>
      </c>
      <c r="F481" t="s">
        <v>651</v>
      </c>
      <c r="G481" t="s">
        <v>665</v>
      </c>
      <c r="H481" t="s">
        <v>706</v>
      </c>
      <c r="I481" t="s">
        <v>711</v>
      </c>
      <c r="J481" t="s">
        <v>724</v>
      </c>
      <c r="K481" t="s">
        <v>733</v>
      </c>
      <c r="L481" t="s">
        <v>943</v>
      </c>
      <c r="M481" s="8">
        <v>1204.95</v>
      </c>
      <c r="N481" s="8">
        <v>2065.73</v>
      </c>
      <c r="O481" s="8">
        <f t="shared" si="147"/>
        <v>2065.73</v>
      </c>
      <c r="P481" s="11">
        <v>0.13600000000000001</v>
      </c>
      <c r="Q481" s="13">
        <v>10</v>
      </c>
      <c r="R481" s="8">
        <f t="shared" si="148"/>
        <v>17847.907199999998</v>
      </c>
      <c r="S481" s="8">
        <f t="shared" si="149"/>
        <v>12049.5</v>
      </c>
      <c r="T481" s="8">
        <f t="shared" si="150"/>
        <v>5798.4071999999978</v>
      </c>
      <c r="U481" s="11">
        <f t="shared" si="151"/>
        <v>0.32487882949100039</v>
      </c>
      <c r="V481" s="17">
        <v>44992</v>
      </c>
      <c r="W481" s="4" t="str">
        <f t="shared" si="152"/>
        <v>Q3-2025</v>
      </c>
      <c r="X481" t="str">
        <f t="shared" si="153"/>
        <v>Africa → Nigeria → Lagos</v>
      </c>
      <c r="Y481" t="str">
        <f t="shared" si="154"/>
        <v>High</v>
      </c>
      <c r="Z481" s="20">
        <f t="shared" si="155"/>
        <v>45839</v>
      </c>
      <c r="AA481" s="4">
        <f t="array" ref="AA481">MIN(IF($F$2:$F$633=F481,$Z$2:$Z$633))</f>
        <v>44927</v>
      </c>
      <c r="AB481">
        <f t="shared" si="156"/>
        <v>30</v>
      </c>
      <c r="AC481">
        <f t="shared" si="157"/>
        <v>0</v>
      </c>
      <c r="AD481">
        <f t="shared" si="158"/>
        <v>0</v>
      </c>
      <c r="AE481" s="13">
        <f t="shared" si="159"/>
        <v>0</v>
      </c>
      <c r="AH481">
        <f t="shared" si="160"/>
        <v>12</v>
      </c>
      <c r="AI481">
        <f t="shared" si="161"/>
        <v>1385.6924999999999</v>
      </c>
      <c r="AJ481" s="11">
        <f t="shared" si="162"/>
        <v>0.13600000000000001</v>
      </c>
      <c r="AK481">
        <f t="shared" si="163"/>
        <v>21417.488640000003</v>
      </c>
      <c r="AL481">
        <f t="shared" si="164"/>
        <v>16628.309999999998</v>
      </c>
      <c r="AM481">
        <f t="shared" si="165"/>
        <v>4789.1786400000055</v>
      </c>
    </row>
    <row r="482" spans="1:39" x14ac:dyDescent="0.25">
      <c r="A482" t="s">
        <v>304</v>
      </c>
      <c r="B482" s="4">
        <v>45895</v>
      </c>
      <c r="C482" s="4">
        <v>45897</v>
      </c>
      <c r="D482" s="13">
        <f t="shared" si="146"/>
        <v>2</v>
      </c>
      <c r="E482" s="6" t="s">
        <v>646</v>
      </c>
      <c r="F482" t="s">
        <v>651</v>
      </c>
      <c r="G482" t="s">
        <v>663</v>
      </c>
      <c r="H482" t="s">
        <v>705</v>
      </c>
      <c r="I482" t="s">
        <v>707</v>
      </c>
      <c r="J482" t="s">
        <v>720</v>
      </c>
      <c r="K482" t="s">
        <v>733</v>
      </c>
      <c r="L482" t="s">
        <v>1024</v>
      </c>
      <c r="M482" s="8">
        <v>521.05999999999995</v>
      </c>
      <c r="N482" s="8">
        <v>1240.31</v>
      </c>
      <c r="O482" s="8">
        <f t="shared" si="147"/>
        <v>1240.31</v>
      </c>
      <c r="P482" s="11">
        <v>0.14599999999999999</v>
      </c>
      <c r="Q482" s="13">
        <v>18</v>
      </c>
      <c r="R482" s="8">
        <f t="shared" si="148"/>
        <v>19066.045319999997</v>
      </c>
      <c r="S482" s="8">
        <f t="shared" si="149"/>
        <v>9379.0799999999981</v>
      </c>
      <c r="T482" s="8">
        <f t="shared" si="150"/>
        <v>9686.9653199999993</v>
      </c>
      <c r="U482" s="11">
        <f t="shared" si="151"/>
        <v>0.50807417885650974</v>
      </c>
      <c r="V482" s="17">
        <v>44952</v>
      </c>
      <c r="W482" s="4" t="str">
        <f t="shared" si="152"/>
        <v>Q3-2025</v>
      </c>
      <c r="X482" t="str">
        <f t="shared" si="153"/>
        <v>Africa → Nigeria → Port Harcourt</v>
      </c>
      <c r="Y482" t="str">
        <f t="shared" si="154"/>
        <v>Medium</v>
      </c>
      <c r="Z482" s="20">
        <f t="shared" si="155"/>
        <v>45870</v>
      </c>
      <c r="AA482" s="4">
        <f t="array" ref="AA482">MIN(IF($F$2:$F$633=F482,$Z$2:$Z$633))</f>
        <v>44927</v>
      </c>
      <c r="AB482">
        <f t="shared" si="156"/>
        <v>31</v>
      </c>
      <c r="AC482">
        <f t="shared" si="157"/>
        <v>1</v>
      </c>
      <c r="AD482">
        <f t="shared" si="158"/>
        <v>0</v>
      </c>
      <c r="AE482" s="13">
        <f t="shared" si="159"/>
        <v>1</v>
      </c>
      <c r="AH482">
        <f t="shared" si="160"/>
        <v>21.599999999999998</v>
      </c>
      <c r="AI482">
        <f t="shared" si="161"/>
        <v>599.21899999999994</v>
      </c>
      <c r="AJ482" s="11">
        <f t="shared" si="162"/>
        <v>0.14599999999999999</v>
      </c>
      <c r="AK482">
        <f t="shared" si="163"/>
        <v>22879.254383999996</v>
      </c>
      <c r="AL482">
        <f t="shared" si="164"/>
        <v>12943.130399999998</v>
      </c>
      <c r="AM482">
        <f t="shared" si="165"/>
        <v>9936.123983999998</v>
      </c>
    </row>
    <row r="483" spans="1:39" x14ac:dyDescent="0.25">
      <c r="A483" t="s">
        <v>440</v>
      </c>
      <c r="B483" s="4">
        <v>45897</v>
      </c>
      <c r="C483" s="4">
        <v>45905</v>
      </c>
      <c r="D483" s="13">
        <f t="shared" si="146"/>
        <v>8</v>
      </c>
      <c r="E483" s="6" t="s">
        <v>646</v>
      </c>
      <c r="F483" t="s">
        <v>651</v>
      </c>
      <c r="G483" t="s">
        <v>663</v>
      </c>
      <c r="H483" t="s">
        <v>705</v>
      </c>
      <c r="I483" t="s">
        <v>709</v>
      </c>
      <c r="J483" t="s">
        <v>718</v>
      </c>
      <c r="K483" t="s">
        <v>731</v>
      </c>
      <c r="L483" t="s">
        <v>1159</v>
      </c>
      <c r="M483" s="8">
        <v>1271.0999999999999</v>
      </c>
      <c r="N483" s="8">
        <v>1932.42</v>
      </c>
      <c r="O483" s="8">
        <f t="shared" si="147"/>
        <v>1932.42</v>
      </c>
      <c r="P483" s="11">
        <v>0.25</v>
      </c>
      <c r="Q483" s="13">
        <v>21</v>
      </c>
      <c r="R483" s="8">
        <f t="shared" si="148"/>
        <v>30435.614999999998</v>
      </c>
      <c r="S483" s="8">
        <f t="shared" si="149"/>
        <v>26693.1</v>
      </c>
      <c r="T483" s="8">
        <f t="shared" si="150"/>
        <v>3742.5149999999994</v>
      </c>
      <c r="U483" s="11">
        <f t="shared" si="151"/>
        <v>0.12296498690760807</v>
      </c>
      <c r="V483" s="17">
        <v>44968</v>
      </c>
      <c r="W483" s="4" t="str">
        <f t="shared" si="152"/>
        <v>Q3-2025</v>
      </c>
      <c r="X483" t="str">
        <f t="shared" si="153"/>
        <v>Africa → Nigeria → Port Harcourt</v>
      </c>
      <c r="Y483" t="str">
        <f t="shared" si="154"/>
        <v>High</v>
      </c>
      <c r="Z483" s="20">
        <f t="shared" si="155"/>
        <v>45870</v>
      </c>
      <c r="AA483" s="4">
        <f t="array" ref="AA483">MIN(IF($F$2:$F$633=F483,$Z$2:$Z$633))</f>
        <v>44927</v>
      </c>
      <c r="AB483">
        <f t="shared" si="156"/>
        <v>31</v>
      </c>
      <c r="AC483">
        <f t="shared" si="157"/>
        <v>0</v>
      </c>
      <c r="AD483">
        <f t="shared" si="158"/>
        <v>1</v>
      </c>
      <c r="AE483" s="13">
        <f t="shared" si="159"/>
        <v>0</v>
      </c>
      <c r="AH483">
        <f t="shared" si="160"/>
        <v>25.2</v>
      </c>
      <c r="AI483">
        <f t="shared" si="161"/>
        <v>1461.7649999999999</v>
      </c>
      <c r="AJ483" s="11">
        <f t="shared" si="162"/>
        <v>0.25</v>
      </c>
      <c r="AK483">
        <f t="shared" si="163"/>
        <v>36522.738000000005</v>
      </c>
      <c r="AL483">
        <f t="shared" si="164"/>
        <v>36836.477999999996</v>
      </c>
      <c r="AM483">
        <f t="shared" si="165"/>
        <v>-313.73999999999069</v>
      </c>
    </row>
    <row r="484" spans="1:39" x14ac:dyDescent="0.25">
      <c r="A484" t="s">
        <v>611</v>
      </c>
      <c r="B484" s="4">
        <v>44933</v>
      </c>
      <c r="C484" s="4">
        <v>44956</v>
      </c>
      <c r="D484" s="13">
        <f t="shared" si="146"/>
        <v>23</v>
      </c>
      <c r="E484" s="6" t="s">
        <v>646</v>
      </c>
      <c r="F484" t="s">
        <v>661</v>
      </c>
      <c r="G484" t="s">
        <v>695</v>
      </c>
      <c r="H484" t="s">
        <v>704</v>
      </c>
      <c r="I484" t="s">
        <v>708</v>
      </c>
      <c r="J484" t="s">
        <v>720</v>
      </c>
      <c r="K484" t="s">
        <v>728</v>
      </c>
      <c r="L484" t="s">
        <v>1329</v>
      </c>
      <c r="M484" s="8">
        <v>299.02</v>
      </c>
      <c r="N484" s="8">
        <v>724.7</v>
      </c>
      <c r="O484" s="8">
        <f t="shared" si="147"/>
        <v>724.7</v>
      </c>
      <c r="P484" s="11">
        <v>0.14000000000000001</v>
      </c>
      <c r="Q484" s="13">
        <v>5</v>
      </c>
      <c r="R484" s="8">
        <f t="shared" si="148"/>
        <v>3116.21</v>
      </c>
      <c r="S484" s="8">
        <f t="shared" si="149"/>
        <v>1495.1</v>
      </c>
      <c r="T484" s="8">
        <f t="shared" si="150"/>
        <v>1621.1100000000001</v>
      </c>
      <c r="U484" s="11">
        <f t="shared" si="151"/>
        <v>0.52021847051386139</v>
      </c>
      <c r="V484" s="17">
        <v>45912</v>
      </c>
      <c r="W484" s="4" t="str">
        <f t="shared" si="152"/>
        <v>Q1-2023</v>
      </c>
      <c r="X484" t="str">
        <f t="shared" si="153"/>
        <v>Africa → South Africa → Cape Town</v>
      </c>
      <c r="Y484" t="str">
        <f t="shared" si="154"/>
        <v>Low</v>
      </c>
      <c r="Z484" s="20">
        <f t="shared" si="155"/>
        <v>44927</v>
      </c>
      <c r="AA484" s="4">
        <f t="array" ref="AA484">MIN(IF($F$2:$F$633=F484,$Z$2:$Z$633))</f>
        <v>44927</v>
      </c>
      <c r="AB484">
        <f t="shared" si="156"/>
        <v>0</v>
      </c>
      <c r="AC484">
        <f t="shared" si="157"/>
        <v>0</v>
      </c>
      <c r="AD484">
        <f t="shared" si="158"/>
        <v>0</v>
      </c>
      <c r="AE484" s="13">
        <f t="shared" si="159"/>
        <v>0</v>
      </c>
      <c r="AH484">
        <f t="shared" si="160"/>
        <v>6</v>
      </c>
      <c r="AI484">
        <f t="shared" si="161"/>
        <v>343.87299999999993</v>
      </c>
      <c r="AJ484" s="11">
        <f t="shared" si="162"/>
        <v>0.14000000000000001</v>
      </c>
      <c r="AK484">
        <f t="shared" si="163"/>
        <v>3739.4520000000007</v>
      </c>
      <c r="AL484">
        <f t="shared" si="164"/>
        <v>2063.2379999999994</v>
      </c>
      <c r="AM484">
        <f t="shared" si="165"/>
        <v>1676.2140000000013</v>
      </c>
    </row>
    <row r="485" spans="1:39" x14ac:dyDescent="0.25">
      <c r="A485" t="s">
        <v>95</v>
      </c>
      <c r="B485" s="4">
        <v>44965</v>
      </c>
      <c r="C485" s="4">
        <v>44968</v>
      </c>
      <c r="D485" s="13">
        <f t="shared" si="146"/>
        <v>3</v>
      </c>
      <c r="E485" s="6" t="s">
        <v>646</v>
      </c>
      <c r="F485" t="s">
        <v>661</v>
      </c>
      <c r="G485" t="s">
        <v>695</v>
      </c>
      <c r="H485" t="s">
        <v>701</v>
      </c>
      <c r="I485" t="s">
        <v>711</v>
      </c>
      <c r="J485" t="s">
        <v>724</v>
      </c>
      <c r="K485" t="s">
        <v>729</v>
      </c>
      <c r="L485" t="s">
        <v>814</v>
      </c>
      <c r="M485" s="8">
        <v>1410.05</v>
      </c>
      <c r="N485" s="8">
        <v>2763.95</v>
      </c>
      <c r="O485" s="8">
        <f t="shared" si="147"/>
        <v>2763.95</v>
      </c>
      <c r="P485" s="11">
        <v>0.161</v>
      </c>
      <c r="Q485" s="13">
        <v>26</v>
      </c>
      <c r="R485" s="8">
        <f t="shared" si="148"/>
        <v>60292.805299999993</v>
      </c>
      <c r="S485" s="8">
        <f t="shared" si="149"/>
        <v>36661.299999999996</v>
      </c>
      <c r="T485" s="8">
        <f t="shared" si="150"/>
        <v>23631.505299999997</v>
      </c>
      <c r="U485" s="11">
        <f t="shared" si="151"/>
        <v>0.39194569206750779</v>
      </c>
      <c r="V485" s="17">
        <v>45876</v>
      </c>
      <c r="W485" s="4" t="str">
        <f t="shared" si="152"/>
        <v>Q1-2023</v>
      </c>
      <c r="X485" t="str">
        <f t="shared" si="153"/>
        <v>Africa → South Africa → Cape Town</v>
      </c>
      <c r="Y485" t="str">
        <f t="shared" si="154"/>
        <v>High</v>
      </c>
      <c r="Z485" s="20">
        <f t="shared" si="155"/>
        <v>44958</v>
      </c>
      <c r="AA485" s="4">
        <f t="array" ref="AA485">MIN(IF($F$2:$F$633=F485,$Z$2:$Z$633))</f>
        <v>44927</v>
      </c>
      <c r="AB485">
        <f t="shared" si="156"/>
        <v>1</v>
      </c>
      <c r="AC485">
        <f t="shared" si="157"/>
        <v>1</v>
      </c>
      <c r="AD485">
        <f t="shared" si="158"/>
        <v>0</v>
      </c>
      <c r="AE485" s="13">
        <f t="shared" si="159"/>
        <v>1</v>
      </c>
      <c r="AH485">
        <f t="shared" si="160"/>
        <v>31.2</v>
      </c>
      <c r="AI485">
        <f t="shared" si="161"/>
        <v>1621.5574999999999</v>
      </c>
      <c r="AJ485" s="11">
        <f t="shared" si="162"/>
        <v>0.161</v>
      </c>
      <c r="AK485">
        <f t="shared" si="163"/>
        <v>72351.366359999985</v>
      </c>
      <c r="AL485">
        <f t="shared" si="164"/>
        <v>50592.593999999997</v>
      </c>
      <c r="AM485">
        <f t="shared" si="165"/>
        <v>21758.772359999988</v>
      </c>
    </row>
    <row r="486" spans="1:39" x14ac:dyDescent="0.25">
      <c r="A486" t="s">
        <v>79</v>
      </c>
      <c r="B486" s="4">
        <v>44972</v>
      </c>
      <c r="C486" s="4">
        <v>44983</v>
      </c>
      <c r="D486" s="13">
        <f t="shared" si="146"/>
        <v>11</v>
      </c>
      <c r="E486" s="6" t="s">
        <v>646</v>
      </c>
      <c r="F486" t="s">
        <v>661</v>
      </c>
      <c r="G486" t="s">
        <v>682</v>
      </c>
      <c r="H486" t="s">
        <v>703</v>
      </c>
      <c r="I486" t="s">
        <v>707</v>
      </c>
      <c r="J486" t="s">
        <v>723</v>
      </c>
      <c r="K486" t="s">
        <v>731</v>
      </c>
      <c r="L486" t="s">
        <v>798</v>
      </c>
      <c r="M486" s="8">
        <v>498.5</v>
      </c>
      <c r="N486" s="8">
        <v>755.87</v>
      </c>
      <c r="O486" s="8">
        <f t="shared" si="147"/>
        <v>755.87</v>
      </c>
      <c r="P486" s="11">
        <v>0.13</v>
      </c>
      <c r="Q486" s="13">
        <v>40</v>
      </c>
      <c r="R486" s="8">
        <f t="shared" si="148"/>
        <v>26304.275999999998</v>
      </c>
      <c r="S486" s="8">
        <f t="shared" si="149"/>
        <v>19940</v>
      </c>
      <c r="T486" s="8">
        <f t="shared" si="150"/>
        <v>6364.275999999998</v>
      </c>
      <c r="U486" s="11">
        <f t="shared" si="151"/>
        <v>0.24194834330357537</v>
      </c>
      <c r="V486" s="17">
        <v>45899</v>
      </c>
      <c r="W486" s="4" t="str">
        <f t="shared" si="152"/>
        <v>Q1-2023</v>
      </c>
      <c r="X486" t="str">
        <f t="shared" si="153"/>
        <v>Africa → South Africa → Johannesburg</v>
      </c>
      <c r="Y486" t="str">
        <f t="shared" si="154"/>
        <v>Low</v>
      </c>
      <c r="Z486" s="20">
        <f t="shared" si="155"/>
        <v>44958</v>
      </c>
      <c r="AA486" s="4">
        <f t="array" ref="AA486">MIN(IF($F$2:$F$633=F486,$Z$2:$Z$633))</f>
        <v>44927</v>
      </c>
      <c r="AB486">
        <f t="shared" si="156"/>
        <v>1</v>
      </c>
      <c r="AC486">
        <f t="shared" si="157"/>
        <v>0</v>
      </c>
      <c r="AD486">
        <f t="shared" si="158"/>
        <v>0</v>
      </c>
      <c r="AE486" s="13">
        <f t="shared" si="159"/>
        <v>0</v>
      </c>
      <c r="AH486">
        <f t="shared" si="160"/>
        <v>48</v>
      </c>
      <c r="AI486">
        <f t="shared" si="161"/>
        <v>573.27499999999998</v>
      </c>
      <c r="AJ486" s="11">
        <f t="shared" si="162"/>
        <v>0.13</v>
      </c>
      <c r="AK486">
        <f t="shared" si="163"/>
        <v>31565.1312</v>
      </c>
      <c r="AL486">
        <f t="shared" si="164"/>
        <v>27517.199999999997</v>
      </c>
      <c r="AM486">
        <f t="shared" si="165"/>
        <v>4047.9312000000027</v>
      </c>
    </row>
    <row r="487" spans="1:39" x14ac:dyDescent="0.25">
      <c r="A487" t="s">
        <v>391</v>
      </c>
      <c r="B487" s="4">
        <v>44998</v>
      </c>
      <c r="C487" s="4">
        <v>45020</v>
      </c>
      <c r="D487" s="13">
        <f t="shared" si="146"/>
        <v>22</v>
      </c>
      <c r="E487" s="6" t="s">
        <v>646</v>
      </c>
      <c r="F487" t="s">
        <v>661</v>
      </c>
      <c r="G487" t="s">
        <v>687</v>
      </c>
      <c r="H487" t="s">
        <v>705</v>
      </c>
      <c r="I487" t="s">
        <v>707</v>
      </c>
      <c r="J487" t="s">
        <v>720</v>
      </c>
      <c r="K487" t="s">
        <v>727</v>
      </c>
      <c r="L487" t="s">
        <v>1111</v>
      </c>
      <c r="M487" s="8">
        <v>1113.7</v>
      </c>
      <c r="N487" s="8">
        <v>1620.6</v>
      </c>
      <c r="O487" s="8">
        <f t="shared" si="147"/>
        <v>1620.6</v>
      </c>
      <c r="P487" s="11">
        <v>0.13900000000000001</v>
      </c>
      <c r="Q487" s="13">
        <v>11</v>
      </c>
      <c r="R487" s="8">
        <f t="shared" si="148"/>
        <v>15348.702599999999</v>
      </c>
      <c r="S487" s="8">
        <f t="shared" si="149"/>
        <v>12250.7</v>
      </c>
      <c r="T487" s="8">
        <f t="shared" si="150"/>
        <v>3098.002599999998</v>
      </c>
      <c r="U487" s="11">
        <f t="shared" si="151"/>
        <v>0.20184133348182787</v>
      </c>
      <c r="V487" s="17">
        <v>45859</v>
      </c>
      <c r="W487" s="4" t="str">
        <f t="shared" si="152"/>
        <v>Q1-2023</v>
      </c>
      <c r="X487" t="str">
        <f t="shared" si="153"/>
        <v>Africa → South Africa → Durban</v>
      </c>
      <c r="Y487" t="str">
        <f t="shared" si="154"/>
        <v>Medium</v>
      </c>
      <c r="Z487" s="20">
        <f t="shared" si="155"/>
        <v>44986</v>
      </c>
      <c r="AA487" s="4">
        <f t="array" ref="AA487">MIN(IF($F$2:$F$633=F487,$Z$2:$Z$633))</f>
        <v>44927</v>
      </c>
      <c r="AB487">
        <f t="shared" si="156"/>
        <v>2</v>
      </c>
      <c r="AC487">
        <f t="shared" si="157"/>
        <v>0</v>
      </c>
      <c r="AD487">
        <f t="shared" si="158"/>
        <v>0</v>
      </c>
      <c r="AE487" s="13">
        <f t="shared" si="159"/>
        <v>0</v>
      </c>
      <c r="AH487">
        <f t="shared" si="160"/>
        <v>13.2</v>
      </c>
      <c r="AI487">
        <f t="shared" si="161"/>
        <v>1280.7549999999999</v>
      </c>
      <c r="AJ487" s="11">
        <f t="shared" si="162"/>
        <v>0.13900000000000001</v>
      </c>
      <c r="AK487">
        <f t="shared" si="163"/>
        <v>18418.44312</v>
      </c>
      <c r="AL487">
        <f t="shared" si="164"/>
        <v>16905.965999999997</v>
      </c>
      <c r="AM487">
        <f t="shared" si="165"/>
        <v>1512.4771200000032</v>
      </c>
    </row>
    <row r="488" spans="1:39" x14ac:dyDescent="0.25">
      <c r="A488" t="s">
        <v>248</v>
      </c>
      <c r="B488" s="4">
        <v>44999</v>
      </c>
      <c r="C488" s="4">
        <v>45015</v>
      </c>
      <c r="D488" s="13">
        <f t="shared" si="146"/>
        <v>16</v>
      </c>
      <c r="E488" s="6" t="s">
        <v>646</v>
      </c>
      <c r="F488" t="s">
        <v>661</v>
      </c>
      <c r="G488" t="s">
        <v>695</v>
      </c>
      <c r="H488" t="s">
        <v>704</v>
      </c>
      <c r="I488" t="s">
        <v>710</v>
      </c>
      <c r="J488" t="s">
        <v>723</v>
      </c>
      <c r="K488" t="s">
        <v>727</v>
      </c>
      <c r="L488" t="s">
        <v>968</v>
      </c>
      <c r="M488" s="8">
        <v>1309.77</v>
      </c>
      <c r="N488" s="8">
        <v>1589.07</v>
      </c>
      <c r="O488" s="8">
        <f t="shared" si="147"/>
        <v>1589.07</v>
      </c>
      <c r="P488" s="11">
        <v>0.10199999999999999</v>
      </c>
      <c r="Q488" s="13">
        <v>10</v>
      </c>
      <c r="R488" s="8">
        <f t="shared" si="148"/>
        <v>14269.848599999999</v>
      </c>
      <c r="S488" s="8">
        <f t="shared" si="149"/>
        <v>13097.7</v>
      </c>
      <c r="T488" s="8">
        <f t="shared" si="150"/>
        <v>1172.1485999999986</v>
      </c>
      <c r="U488" s="11">
        <f t="shared" si="151"/>
        <v>8.2141628328137886E-2</v>
      </c>
      <c r="V488" s="17">
        <v>45862</v>
      </c>
      <c r="W488" s="4" t="str">
        <f t="shared" si="152"/>
        <v>Q1-2023</v>
      </c>
      <c r="X488" t="str">
        <f t="shared" si="153"/>
        <v>Africa → South Africa → Cape Town</v>
      </c>
      <c r="Y488" t="str">
        <f t="shared" si="154"/>
        <v>Medium</v>
      </c>
      <c r="Z488" s="20">
        <f t="shared" si="155"/>
        <v>44986</v>
      </c>
      <c r="AA488" s="4">
        <f t="array" ref="AA488">MIN(IF($F$2:$F$633=F488,$Z$2:$Z$633))</f>
        <v>44927</v>
      </c>
      <c r="AB488">
        <f t="shared" si="156"/>
        <v>2</v>
      </c>
      <c r="AC488">
        <f t="shared" si="157"/>
        <v>0</v>
      </c>
      <c r="AD488">
        <f t="shared" si="158"/>
        <v>0</v>
      </c>
      <c r="AE488" s="13">
        <f t="shared" si="159"/>
        <v>0</v>
      </c>
      <c r="AH488">
        <f t="shared" si="160"/>
        <v>12</v>
      </c>
      <c r="AI488">
        <f t="shared" si="161"/>
        <v>1506.2354999999998</v>
      </c>
      <c r="AJ488" s="11">
        <f t="shared" si="162"/>
        <v>0.10199999999999999</v>
      </c>
      <c r="AK488">
        <f t="shared" si="163"/>
        <v>17123.818320000002</v>
      </c>
      <c r="AL488">
        <f t="shared" si="164"/>
        <v>18074.825999999997</v>
      </c>
      <c r="AM488">
        <f t="shared" si="165"/>
        <v>-951.00767999999516</v>
      </c>
    </row>
    <row r="489" spans="1:39" x14ac:dyDescent="0.25">
      <c r="A489" t="s">
        <v>339</v>
      </c>
      <c r="B489" s="4">
        <v>45053</v>
      </c>
      <c r="C489" s="4">
        <v>45075</v>
      </c>
      <c r="D489" s="13">
        <f t="shared" si="146"/>
        <v>22</v>
      </c>
      <c r="E489" s="6" t="s">
        <v>646</v>
      </c>
      <c r="F489" t="s">
        <v>661</v>
      </c>
      <c r="G489" t="s">
        <v>687</v>
      </c>
      <c r="H489" t="s">
        <v>702</v>
      </c>
      <c r="I489" t="s">
        <v>710</v>
      </c>
      <c r="J489" t="s">
        <v>723</v>
      </c>
      <c r="K489" t="s">
        <v>733</v>
      </c>
      <c r="L489" t="s">
        <v>1059</v>
      </c>
      <c r="M489" s="8">
        <v>653.86</v>
      </c>
      <c r="N489" s="8">
        <v>931.84</v>
      </c>
      <c r="O489" s="8">
        <f t="shared" si="147"/>
        <v>931.84</v>
      </c>
      <c r="P489" s="11">
        <v>0.121</v>
      </c>
      <c r="Q489" s="13">
        <v>12</v>
      </c>
      <c r="R489" s="8">
        <f t="shared" si="148"/>
        <v>9829.0483199999999</v>
      </c>
      <c r="S489" s="8">
        <f t="shared" si="149"/>
        <v>7846.32</v>
      </c>
      <c r="T489" s="8">
        <f t="shared" si="150"/>
        <v>1982.7283200000002</v>
      </c>
      <c r="U489" s="11">
        <f t="shared" si="151"/>
        <v>0.20172129136506273</v>
      </c>
      <c r="V489" s="17">
        <v>45793</v>
      </c>
      <c r="W489" s="4" t="str">
        <f t="shared" si="152"/>
        <v>Q2-2023</v>
      </c>
      <c r="X489" t="str">
        <f t="shared" si="153"/>
        <v>Africa → South Africa → Durban</v>
      </c>
      <c r="Y489" t="str">
        <f t="shared" si="154"/>
        <v>Medium</v>
      </c>
      <c r="Z489" s="20">
        <f t="shared" si="155"/>
        <v>45047</v>
      </c>
      <c r="AA489" s="4">
        <f t="array" ref="AA489">MIN(IF($F$2:$F$633=F489,$Z$2:$Z$633))</f>
        <v>44927</v>
      </c>
      <c r="AB489">
        <f t="shared" si="156"/>
        <v>4</v>
      </c>
      <c r="AC489">
        <f t="shared" si="157"/>
        <v>0</v>
      </c>
      <c r="AD489">
        <f t="shared" si="158"/>
        <v>0</v>
      </c>
      <c r="AE489" s="13">
        <f t="shared" si="159"/>
        <v>0</v>
      </c>
      <c r="AH489">
        <f t="shared" si="160"/>
        <v>14.399999999999999</v>
      </c>
      <c r="AI489">
        <f t="shared" si="161"/>
        <v>751.93899999999996</v>
      </c>
      <c r="AJ489" s="11">
        <f t="shared" si="162"/>
        <v>0.121</v>
      </c>
      <c r="AK489">
        <f t="shared" si="163"/>
        <v>11794.857984</v>
      </c>
      <c r="AL489">
        <f t="shared" si="164"/>
        <v>10827.921599999998</v>
      </c>
      <c r="AM489">
        <f t="shared" si="165"/>
        <v>966.93638400000236</v>
      </c>
    </row>
    <row r="490" spans="1:39" x14ac:dyDescent="0.25">
      <c r="A490" t="s">
        <v>475</v>
      </c>
      <c r="B490" s="4">
        <v>45063</v>
      </c>
      <c r="C490" s="4">
        <v>45092</v>
      </c>
      <c r="D490" s="13">
        <f t="shared" si="146"/>
        <v>29</v>
      </c>
      <c r="E490" s="6" t="s">
        <v>646</v>
      </c>
      <c r="F490" t="s">
        <v>661</v>
      </c>
      <c r="G490" t="s">
        <v>687</v>
      </c>
      <c r="H490" t="s">
        <v>706</v>
      </c>
      <c r="I490" t="s">
        <v>707</v>
      </c>
      <c r="J490" t="s">
        <v>723</v>
      </c>
      <c r="K490" t="s">
        <v>733</v>
      </c>
      <c r="L490" t="s">
        <v>1194</v>
      </c>
      <c r="M490" s="8">
        <v>40.89</v>
      </c>
      <c r="N490" s="8">
        <v>62.82</v>
      </c>
      <c r="O490" s="8">
        <f t="shared" si="147"/>
        <v>62.82</v>
      </c>
      <c r="P490" s="11">
        <v>0.129</v>
      </c>
      <c r="Q490" s="13">
        <v>17</v>
      </c>
      <c r="R490" s="8">
        <f t="shared" si="148"/>
        <v>930.17574000000002</v>
      </c>
      <c r="S490" s="8">
        <f t="shared" si="149"/>
        <v>695.13</v>
      </c>
      <c r="T490" s="8">
        <f t="shared" si="150"/>
        <v>235.04574000000002</v>
      </c>
      <c r="U490" s="11">
        <f t="shared" si="151"/>
        <v>0.25268960465470752</v>
      </c>
      <c r="V490" s="17">
        <v>45796</v>
      </c>
      <c r="W490" s="4" t="str">
        <f t="shared" si="152"/>
        <v>Q2-2023</v>
      </c>
      <c r="X490" t="str">
        <f t="shared" si="153"/>
        <v>Africa → South Africa → Durban</v>
      </c>
      <c r="Y490" t="str">
        <f t="shared" si="154"/>
        <v>Low</v>
      </c>
      <c r="Z490" s="20">
        <f t="shared" si="155"/>
        <v>45047</v>
      </c>
      <c r="AA490" s="4">
        <f t="array" ref="AA490">MIN(IF($F$2:$F$633=F490,$Z$2:$Z$633))</f>
        <v>44927</v>
      </c>
      <c r="AB490">
        <f t="shared" si="156"/>
        <v>4</v>
      </c>
      <c r="AC490">
        <f t="shared" si="157"/>
        <v>0</v>
      </c>
      <c r="AD490">
        <f t="shared" si="158"/>
        <v>0</v>
      </c>
      <c r="AE490" s="13">
        <f t="shared" si="159"/>
        <v>0</v>
      </c>
      <c r="AH490">
        <f t="shared" si="160"/>
        <v>20.399999999999999</v>
      </c>
      <c r="AI490">
        <f t="shared" si="161"/>
        <v>47.023499999999999</v>
      </c>
      <c r="AJ490" s="11">
        <f t="shared" si="162"/>
        <v>0.129</v>
      </c>
      <c r="AK490">
        <f t="shared" si="163"/>
        <v>1116.2108880000001</v>
      </c>
      <c r="AL490">
        <f t="shared" si="164"/>
        <v>959.2793999999999</v>
      </c>
      <c r="AM490">
        <f t="shared" si="165"/>
        <v>156.93148800000017</v>
      </c>
    </row>
    <row r="491" spans="1:39" x14ac:dyDescent="0.25">
      <c r="A491" t="s">
        <v>89</v>
      </c>
      <c r="B491" s="4">
        <v>45064</v>
      </c>
      <c r="C491" s="4">
        <v>45066</v>
      </c>
      <c r="D491" s="13">
        <f t="shared" si="146"/>
        <v>2</v>
      </c>
      <c r="E491" s="6" t="s">
        <v>646</v>
      </c>
      <c r="F491" t="s">
        <v>661</v>
      </c>
      <c r="G491" t="s">
        <v>687</v>
      </c>
      <c r="H491" t="s">
        <v>701</v>
      </c>
      <c r="I491" t="s">
        <v>710</v>
      </c>
      <c r="J491" t="s">
        <v>720</v>
      </c>
      <c r="K491" t="s">
        <v>727</v>
      </c>
      <c r="L491" t="s">
        <v>808</v>
      </c>
      <c r="M491" s="8">
        <v>917.88</v>
      </c>
      <c r="N491" s="8">
        <v>1347.92</v>
      </c>
      <c r="O491" s="8">
        <f t="shared" si="147"/>
        <v>1347.92</v>
      </c>
      <c r="P491" s="11">
        <v>0.34300000000000003</v>
      </c>
      <c r="Q491" s="13">
        <v>5</v>
      </c>
      <c r="R491" s="8">
        <f t="shared" si="148"/>
        <v>4427.9172000000008</v>
      </c>
      <c r="S491" s="8">
        <f t="shared" si="149"/>
        <v>4589.3999999999996</v>
      </c>
      <c r="T491" s="8">
        <f t="shared" si="150"/>
        <v>-161.48279999999886</v>
      </c>
      <c r="U491" s="11">
        <f t="shared" si="151"/>
        <v>-3.6469245630880096E-2</v>
      </c>
      <c r="V491" s="17">
        <v>45793</v>
      </c>
      <c r="W491" s="4" t="str">
        <f t="shared" si="152"/>
        <v>Q2-2023</v>
      </c>
      <c r="X491" t="str">
        <f t="shared" si="153"/>
        <v>Africa → South Africa → Durban</v>
      </c>
      <c r="Y491" t="str">
        <f t="shared" si="154"/>
        <v>Medium</v>
      </c>
      <c r="Z491" s="20">
        <f t="shared" si="155"/>
        <v>45047</v>
      </c>
      <c r="AA491" s="4">
        <f t="array" ref="AA491">MIN(IF($F$2:$F$633=F491,$Z$2:$Z$633))</f>
        <v>44927</v>
      </c>
      <c r="AB491">
        <f t="shared" si="156"/>
        <v>4</v>
      </c>
      <c r="AC491">
        <f t="shared" si="157"/>
        <v>1</v>
      </c>
      <c r="AD491">
        <f t="shared" si="158"/>
        <v>1</v>
      </c>
      <c r="AE491" s="13">
        <f t="shared" si="159"/>
        <v>1</v>
      </c>
      <c r="AH491">
        <f t="shared" si="160"/>
        <v>6</v>
      </c>
      <c r="AI491">
        <f t="shared" si="161"/>
        <v>1055.5619999999999</v>
      </c>
      <c r="AJ491" s="11">
        <f t="shared" si="162"/>
        <v>0.25</v>
      </c>
      <c r="AK491">
        <f t="shared" si="163"/>
        <v>6065.64</v>
      </c>
      <c r="AL491">
        <f t="shared" si="164"/>
        <v>6333.3719999999994</v>
      </c>
      <c r="AM491">
        <f t="shared" si="165"/>
        <v>-267.73199999999906</v>
      </c>
    </row>
    <row r="492" spans="1:39" x14ac:dyDescent="0.25">
      <c r="A492" t="s">
        <v>166</v>
      </c>
      <c r="B492" s="4">
        <v>45110</v>
      </c>
      <c r="C492" s="4">
        <v>45130</v>
      </c>
      <c r="D492" s="13">
        <f t="shared" si="146"/>
        <v>20</v>
      </c>
      <c r="E492" s="6" t="s">
        <v>646</v>
      </c>
      <c r="F492" t="s">
        <v>661</v>
      </c>
      <c r="G492" t="s">
        <v>682</v>
      </c>
      <c r="H492" t="s">
        <v>705</v>
      </c>
      <c r="I492" t="s">
        <v>710</v>
      </c>
      <c r="J492" t="s">
        <v>721</v>
      </c>
      <c r="K492" t="s">
        <v>731</v>
      </c>
      <c r="L492" t="s">
        <v>885</v>
      </c>
      <c r="M492" s="8">
        <v>1001.96</v>
      </c>
      <c r="N492" s="8">
        <v>1254.95</v>
      </c>
      <c r="O492" s="8">
        <f t="shared" si="147"/>
        <v>1254.95</v>
      </c>
      <c r="P492" s="11">
        <v>4.4999999999999998E-2</v>
      </c>
      <c r="Q492" s="13">
        <v>18</v>
      </c>
      <c r="R492" s="8">
        <f t="shared" si="148"/>
        <v>21572.590500000002</v>
      </c>
      <c r="S492" s="8">
        <f t="shared" si="149"/>
        <v>18035.28</v>
      </c>
      <c r="T492" s="8">
        <f t="shared" si="150"/>
        <v>3537.3105000000032</v>
      </c>
      <c r="U492" s="11">
        <f t="shared" si="151"/>
        <v>0.16397244920585699</v>
      </c>
      <c r="V492" s="17">
        <v>45740</v>
      </c>
      <c r="W492" s="4" t="str">
        <f t="shared" si="152"/>
        <v>Q3-2023</v>
      </c>
      <c r="X492" t="str">
        <f t="shared" si="153"/>
        <v>Africa → South Africa → Johannesburg</v>
      </c>
      <c r="Y492" t="str">
        <f t="shared" si="154"/>
        <v>Medium</v>
      </c>
      <c r="Z492" s="20">
        <f t="shared" si="155"/>
        <v>45108</v>
      </c>
      <c r="AA492" s="4">
        <f t="array" ref="AA492">MIN(IF($F$2:$F$633=F492,$Z$2:$Z$633))</f>
        <v>44927</v>
      </c>
      <c r="AB492">
        <f t="shared" si="156"/>
        <v>6</v>
      </c>
      <c r="AC492">
        <f t="shared" si="157"/>
        <v>0</v>
      </c>
      <c r="AD492">
        <f t="shared" si="158"/>
        <v>0</v>
      </c>
      <c r="AE492" s="13">
        <f t="shared" si="159"/>
        <v>0</v>
      </c>
      <c r="AH492">
        <f t="shared" si="160"/>
        <v>21.599999999999998</v>
      </c>
      <c r="AI492">
        <f t="shared" si="161"/>
        <v>1152.2539999999999</v>
      </c>
      <c r="AJ492" s="11">
        <f t="shared" si="162"/>
        <v>4.4999999999999998E-2</v>
      </c>
      <c r="AK492">
        <f t="shared" si="163"/>
        <v>25887.108599999996</v>
      </c>
      <c r="AL492">
        <f t="shared" si="164"/>
        <v>24888.686399999995</v>
      </c>
      <c r="AM492">
        <f t="shared" si="165"/>
        <v>998.42220000000088</v>
      </c>
    </row>
    <row r="493" spans="1:39" x14ac:dyDescent="0.25">
      <c r="A493" t="s">
        <v>552</v>
      </c>
      <c r="B493" s="4">
        <v>45114</v>
      </c>
      <c r="C493" s="4">
        <v>45120</v>
      </c>
      <c r="D493" s="13">
        <f t="shared" si="146"/>
        <v>6</v>
      </c>
      <c r="E493" s="6" t="s">
        <v>646</v>
      </c>
      <c r="F493" t="s">
        <v>661</v>
      </c>
      <c r="G493" t="s">
        <v>695</v>
      </c>
      <c r="H493" t="s">
        <v>705</v>
      </c>
      <c r="I493" t="s">
        <v>709</v>
      </c>
      <c r="J493" t="s">
        <v>717</v>
      </c>
      <c r="K493" t="s">
        <v>733</v>
      </c>
      <c r="L493" t="s">
        <v>1270</v>
      </c>
      <c r="M493" s="8">
        <v>612.59</v>
      </c>
      <c r="N493" s="8">
        <v>1424.74</v>
      </c>
      <c r="O493" s="8">
        <f t="shared" si="147"/>
        <v>1424.74</v>
      </c>
      <c r="P493" s="11">
        <v>4.3999999999999997E-2</v>
      </c>
      <c r="Q493" s="13">
        <v>15</v>
      </c>
      <c r="R493" s="8">
        <f t="shared" si="148"/>
        <v>20430.771599999996</v>
      </c>
      <c r="S493" s="8">
        <f t="shared" si="149"/>
        <v>9188.85</v>
      </c>
      <c r="T493" s="8">
        <f t="shared" si="150"/>
        <v>11241.921599999996</v>
      </c>
      <c r="U493" s="11">
        <f t="shared" si="151"/>
        <v>0.55024459281802152</v>
      </c>
      <c r="V493" s="17">
        <v>45745</v>
      </c>
      <c r="W493" s="4" t="str">
        <f t="shared" si="152"/>
        <v>Q3-2023</v>
      </c>
      <c r="X493" t="str">
        <f t="shared" si="153"/>
        <v>Africa → South Africa → Cape Town</v>
      </c>
      <c r="Y493" t="str">
        <f t="shared" si="154"/>
        <v>Medium</v>
      </c>
      <c r="Z493" s="20">
        <f t="shared" si="155"/>
        <v>45108</v>
      </c>
      <c r="AA493" s="4">
        <f t="array" ref="AA493">MIN(IF($F$2:$F$633=F493,$Z$2:$Z$633))</f>
        <v>44927</v>
      </c>
      <c r="AB493">
        <f t="shared" si="156"/>
        <v>6</v>
      </c>
      <c r="AC493">
        <f t="shared" si="157"/>
        <v>1</v>
      </c>
      <c r="AD493">
        <f t="shared" si="158"/>
        <v>0</v>
      </c>
      <c r="AE493" s="13">
        <f t="shared" si="159"/>
        <v>1</v>
      </c>
      <c r="AH493">
        <f t="shared" si="160"/>
        <v>18</v>
      </c>
      <c r="AI493">
        <f t="shared" si="161"/>
        <v>704.47849999999994</v>
      </c>
      <c r="AJ493" s="11">
        <f t="shared" si="162"/>
        <v>4.3999999999999997E-2</v>
      </c>
      <c r="AK493">
        <f t="shared" si="163"/>
        <v>24516.925919999998</v>
      </c>
      <c r="AL493">
        <f t="shared" si="164"/>
        <v>12680.612999999999</v>
      </c>
      <c r="AM493">
        <f t="shared" si="165"/>
        <v>11836.312919999998</v>
      </c>
    </row>
    <row r="494" spans="1:39" x14ac:dyDescent="0.25">
      <c r="A494" t="s">
        <v>353</v>
      </c>
      <c r="B494" s="4">
        <v>45121</v>
      </c>
      <c r="C494" s="4">
        <v>45128</v>
      </c>
      <c r="D494" s="13">
        <f t="shared" si="146"/>
        <v>7</v>
      </c>
      <c r="E494" s="6" t="s">
        <v>646</v>
      </c>
      <c r="F494" t="s">
        <v>661</v>
      </c>
      <c r="G494" t="s">
        <v>687</v>
      </c>
      <c r="H494" t="s">
        <v>706</v>
      </c>
      <c r="I494" t="s">
        <v>709</v>
      </c>
      <c r="J494" t="s">
        <v>1422</v>
      </c>
      <c r="K494" t="s">
        <v>732</v>
      </c>
      <c r="L494" t="s">
        <v>1073</v>
      </c>
      <c r="M494" s="8">
        <v>620.74</v>
      </c>
      <c r="N494" s="8">
        <v>1330.07</v>
      </c>
      <c r="O494" s="8">
        <f t="shared" si="147"/>
        <v>1330.07</v>
      </c>
      <c r="P494" s="11">
        <v>0.29899999999999999</v>
      </c>
      <c r="Q494" s="13">
        <v>28</v>
      </c>
      <c r="R494" s="8">
        <f t="shared" si="148"/>
        <v>26106.613960000002</v>
      </c>
      <c r="S494" s="8">
        <f t="shared" si="149"/>
        <v>17380.72</v>
      </c>
      <c r="T494" s="8">
        <f t="shared" si="150"/>
        <v>8725.8939600000012</v>
      </c>
      <c r="U494" s="11">
        <f t="shared" si="151"/>
        <v>0.33424073965967516</v>
      </c>
      <c r="V494" s="17">
        <v>45730</v>
      </c>
      <c r="W494" s="4" t="str">
        <f t="shared" si="152"/>
        <v>Q3-2023</v>
      </c>
      <c r="X494" t="str">
        <f t="shared" si="153"/>
        <v>Africa → South Africa → Durban</v>
      </c>
      <c r="Y494" t="str">
        <f t="shared" si="154"/>
        <v>Medium</v>
      </c>
      <c r="Z494" s="20">
        <f t="shared" si="155"/>
        <v>45108</v>
      </c>
      <c r="AA494" s="4">
        <f t="array" ref="AA494">MIN(IF($F$2:$F$633=F494,$Z$2:$Z$633))</f>
        <v>44927</v>
      </c>
      <c r="AB494">
        <f t="shared" si="156"/>
        <v>6</v>
      </c>
      <c r="AC494">
        <f t="shared" si="157"/>
        <v>1</v>
      </c>
      <c r="AD494">
        <f t="shared" si="158"/>
        <v>1</v>
      </c>
      <c r="AE494" s="13">
        <f t="shared" si="159"/>
        <v>1</v>
      </c>
      <c r="AH494">
        <f t="shared" si="160"/>
        <v>33.6</v>
      </c>
      <c r="AI494">
        <f t="shared" si="161"/>
        <v>713.851</v>
      </c>
      <c r="AJ494" s="11">
        <f t="shared" si="162"/>
        <v>0.25</v>
      </c>
      <c r="AK494">
        <f t="shared" si="163"/>
        <v>33517.763999999996</v>
      </c>
      <c r="AL494">
        <f t="shared" si="164"/>
        <v>23985.393599999999</v>
      </c>
      <c r="AM494">
        <f t="shared" si="165"/>
        <v>9532.3703999999962</v>
      </c>
    </row>
    <row r="495" spans="1:39" x14ac:dyDescent="0.25">
      <c r="A495" t="s">
        <v>303</v>
      </c>
      <c r="B495" s="4">
        <v>45125</v>
      </c>
      <c r="C495" s="4">
        <v>45148</v>
      </c>
      <c r="D495" s="13">
        <f t="shared" si="146"/>
        <v>23</v>
      </c>
      <c r="E495" s="6" t="s">
        <v>646</v>
      </c>
      <c r="F495" t="s">
        <v>661</v>
      </c>
      <c r="G495" t="s">
        <v>682</v>
      </c>
      <c r="H495" t="s">
        <v>705</v>
      </c>
      <c r="I495" t="s">
        <v>707</v>
      </c>
      <c r="J495" t="s">
        <v>716</v>
      </c>
      <c r="K495" t="s">
        <v>727</v>
      </c>
      <c r="L495" t="s">
        <v>1023</v>
      </c>
      <c r="M495" s="8">
        <v>1271.56</v>
      </c>
      <c r="N495" s="8">
        <v>995.47</v>
      </c>
      <c r="O495" s="8">
        <f t="shared" si="147"/>
        <v>995.47</v>
      </c>
      <c r="P495" s="11">
        <v>0.192</v>
      </c>
      <c r="Q495" s="13">
        <v>13</v>
      </c>
      <c r="R495" s="8">
        <f t="shared" si="148"/>
        <v>10456.416880000001</v>
      </c>
      <c r="S495" s="8">
        <f t="shared" si="149"/>
        <v>16530.28</v>
      </c>
      <c r="T495" s="8">
        <f t="shared" si="150"/>
        <v>-6073.8631199999982</v>
      </c>
      <c r="U495" s="11">
        <f t="shared" si="151"/>
        <v>-0.58087423155607754</v>
      </c>
      <c r="V495" s="17">
        <v>45727</v>
      </c>
      <c r="W495" s="4" t="str">
        <f t="shared" si="152"/>
        <v>Q3-2023</v>
      </c>
      <c r="X495" t="str">
        <f t="shared" si="153"/>
        <v>Africa → South Africa → Johannesburg</v>
      </c>
      <c r="Y495" t="str">
        <f t="shared" si="154"/>
        <v>Medium</v>
      </c>
      <c r="Z495" s="20">
        <f t="shared" si="155"/>
        <v>45108</v>
      </c>
      <c r="AA495" s="4">
        <f t="array" ref="AA495">MIN(IF($F$2:$F$633=F495,$Z$2:$Z$633))</f>
        <v>44927</v>
      </c>
      <c r="AB495">
        <f t="shared" si="156"/>
        <v>6</v>
      </c>
      <c r="AC495">
        <f t="shared" si="157"/>
        <v>0</v>
      </c>
      <c r="AD495">
        <f t="shared" si="158"/>
        <v>0</v>
      </c>
      <c r="AE495" s="13">
        <f t="shared" si="159"/>
        <v>0</v>
      </c>
      <c r="AH495">
        <f t="shared" si="160"/>
        <v>15.6</v>
      </c>
      <c r="AI495">
        <f t="shared" si="161"/>
        <v>1462.2939999999999</v>
      </c>
      <c r="AJ495" s="11">
        <f t="shared" si="162"/>
        <v>0.192</v>
      </c>
      <c r="AK495">
        <f t="shared" si="163"/>
        <v>12547.700256000002</v>
      </c>
      <c r="AL495">
        <f t="shared" si="164"/>
        <v>22811.786399999997</v>
      </c>
      <c r="AM495">
        <f t="shared" si="165"/>
        <v>-10264.086143999995</v>
      </c>
    </row>
    <row r="496" spans="1:39" x14ac:dyDescent="0.25">
      <c r="A496" t="s">
        <v>547</v>
      </c>
      <c r="B496" s="4">
        <v>45155</v>
      </c>
      <c r="C496" s="4">
        <v>45172</v>
      </c>
      <c r="D496" s="13">
        <f t="shared" si="146"/>
        <v>17</v>
      </c>
      <c r="E496" s="6" t="s">
        <v>646</v>
      </c>
      <c r="F496" t="s">
        <v>661</v>
      </c>
      <c r="G496" t="s">
        <v>687</v>
      </c>
      <c r="H496" t="s">
        <v>706</v>
      </c>
      <c r="I496" t="s">
        <v>707</v>
      </c>
      <c r="J496" t="s">
        <v>720</v>
      </c>
      <c r="K496" t="s">
        <v>730</v>
      </c>
      <c r="L496" t="s">
        <v>1266</v>
      </c>
      <c r="M496" s="8">
        <v>676.37</v>
      </c>
      <c r="N496" s="8">
        <v>1276.67</v>
      </c>
      <c r="O496" s="8">
        <f t="shared" si="147"/>
        <v>1276.67</v>
      </c>
      <c r="P496" s="11">
        <v>6.6000000000000003E-2</v>
      </c>
      <c r="Q496" s="13">
        <v>10</v>
      </c>
      <c r="R496" s="8">
        <f t="shared" si="148"/>
        <v>11924.0978</v>
      </c>
      <c r="S496" s="8">
        <f t="shared" si="149"/>
        <v>6763.7</v>
      </c>
      <c r="T496" s="8">
        <f t="shared" si="150"/>
        <v>5160.3977999999997</v>
      </c>
      <c r="U496" s="11">
        <f t="shared" si="151"/>
        <v>0.4327705027712872</v>
      </c>
      <c r="V496" s="17">
        <v>45703</v>
      </c>
      <c r="W496" s="4" t="str">
        <f t="shared" si="152"/>
        <v>Q3-2023</v>
      </c>
      <c r="X496" t="str">
        <f t="shared" si="153"/>
        <v>Africa → South Africa → Durban</v>
      </c>
      <c r="Y496" t="str">
        <f t="shared" si="154"/>
        <v>Medium</v>
      </c>
      <c r="Z496" s="20">
        <f t="shared" si="155"/>
        <v>45139</v>
      </c>
      <c r="AA496" s="4">
        <f t="array" ref="AA496">MIN(IF($F$2:$F$633=F496,$Z$2:$Z$633))</f>
        <v>44927</v>
      </c>
      <c r="AB496">
        <f t="shared" si="156"/>
        <v>7</v>
      </c>
      <c r="AC496">
        <f t="shared" si="157"/>
        <v>0</v>
      </c>
      <c r="AD496">
        <f t="shared" si="158"/>
        <v>0</v>
      </c>
      <c r="AE496" s="13">
        <f t="shared" si="159"/>
        <v>0</v>
      </c>
      <c r="AH496">
        <f t="shared" si="160"/>
        <v>12</v>
      </c>
      <c r="AI496">
        <f t="shared" si="161"/>
        <v>777.82549999999992</v>
      </c>
      <c r="AJ496" s="11">
        <f t="shared" si="162"/>
        <v>6.6000000000000003E-2</v>
      </c>
      <c r="AK496">
        <f t="shared" si="163"/>
        <v>14308.917359999999</v>
      </c>
      <c r="AL496">
        <f t="shared" si="164"/>
        <v>9333.905999999999</v>
      </c>
      <c r="AM496">
        <f t="shared" si="165"/>
        <v>4975.0113600000004</v>
      </c>
    </row>
    <row r="497" spans="1:39" x14ac:dyDescent="0.25">
      <c r="A497" t="s">
        <v>83</v>
      </c>
      <c r="B497" s="4">
        <v>45157</v>
      </c>
      <c r="C497" s="4">
        <v>45176</v>
      </c>
      <c r="D497" s="13">
        <f t="shared" si="146"/>
        <v>19</v>
      </c>
      <c r="E497" s="6" t="s">
        <v>646</v>
      </c>
      <c r="F497" t="s">
        <v>661</v>
      </c>
      <c r="G497" t="s">
        <v>682</v>
      </c>
      <c r="H497" t="s">
        <v>706</v>
      </c>
      <c r="I497" t="s">
        <v>707</v>
      </c>
      <c r="J497" t="s">
        <v>726</v>
      </c>
      <c r="K497" t="s">
        <v>732</v>
      </c>
      <c r="L497" t="s">
        <v>802</v>
      </c>
      <c r="M497" s="8">
        <v>494.61</v>
      </c>
      <c r="N497" s="8">
        <v>605.23</v>
      </c>
      <c r="O497" s="8">
        <f t="shared" si="147"/>
        <v>605.23</v>
      </c>
      <c r="P497" s="11">
        <v>0.20399999999999999</v>
      </c>
      <c r="Q497" s="13">
        <v>18</v>
      </c>
      <c r="R497" s="8">
        <f t="shared" si="148"/>
        <v>8671.7354400000004</v>
      </c>
      <c r="S497" s="8">
        <f t="shared" si="149"/>
        <v>8902.98</v>
      </c>
      <c r="T497" s="8">
        <f t="shared" si="150"/>
        <v>-231.24455999999918</v>
      </c>
      <c r="U497" s="11">
        <f t="shared" si="151"/>
        <v>-2.6666468505639647E-2</v>
      </c>
      <c r="V497" s="17">
        <v>45684</v>
      </c>
      <c r="W497" s="4" t="str">
        <f t="shared" si="152"/>
        <v>Q3-2023</v>
      </c>
      <c r="X497" t="str">
        <f t="shared" si="153"/>
        <v>Africa → South Africa → Johannesburg</v>
      </c>
      <c r="Y497" t="str">
        <f t="shared" si="154"/>
        <v>Low</v>
      </c>
      <c r="Z497" s="20">
        <f t="shared" si="155"/>
        <v>45139</v>
      </c>
      <c r="AA497" s="4">
        <f t="array" ref="AA497">MIN(IF($F$2:$F$633=F497,$Z$2:$Z$633))</f>
        <v>44927</v>
      </c>
      <c r="AB497">
        <f t="shared" si="156"/>
        <v>7</v>
      </c>
      <c r="AC497">
        <f t="shared" si="157"/>
        <v>0</v>
      </c>
      <c r="AD497">
        <f t="shared" si="158"/>
        <v>1</v>
      </c>
      <c r="AE497" s="13">
        <f t="shared" si="159"/>
        <v>0</v>
      </c>
      <c r="AH497">
        <f t="shared" si="160"/>
        <v>21.599999999999998</v>
      </c>
      <c r="AI497">
        <f t="shared" si="161"/>
        <v>568.80149999999992</v>
      </c>
      <c r="AJ497" s="11">
        <f t="shared" si="162"/>
        <v>0.20399999999999999</v>
      </c>
      <c r="AK497">
        <f t="shared" si="163"/>
        <v>10406.082527999999</v>
      </c>
      <c r="AL497">
        <f t="shared" si="164"/>
        <v>12286.112399999996</v>
      </c>
      <c r="AM497">
        <f t="shared" si="165"/>
        <v>-1880.0298719999973</v>
      </c>
    </row>
    <row r="498" spans="1:39" x14ac:dyDescent="0.25">
      <c r="A498" t="s">
        <v>543</v>
      </c>
      <c r="B498" s="4">
        <v>45162</v>
      </c>
      <c r="C498" s="4">
        <v>45189</v>
      </c>
      <c r="D498" s="13">
        <f t="shared" si="146"/>
        <v>27</v>
      </c>
      <c r="E498" s="6" t="s">
        <v>646</v>
      </c>
      <c r="F498" t="s">
        <v>661</v>
      </c>
      <c r="G498" t="s">
        <v>687</v>
      </c>
      <c r="H498" t="s">
        <v>705</v>
      </c>
      <c r="I498" t="s">
        <v>709</v>
      </c>
      <c r="J498" t="s">
        <v>724</v>
      </c>
      <c r="K498" t="s">
        <v>728</v>
      </c>
      <c r="L498" t="s">
        <v>1262</v>
      </c>
      <c r="M498" s="8">
        <v>1399.64</v>
      </c>
      <c r="N498" s="8">
        <v>3342.11</v>
      </c>
      <c r="O498" s="8">
        <f t="shared" si="147"/>
        <v>3342.11</v>
      </c>
      <c r="P498" s="11">
        <v>0</v>
      </c>
      <c r="Q498" s="13">
        <v>10</v>
      </c>
      <c r="R498" s="8">
        <f t="shared" si="148"/>
        <v>33421.1</v>
      </c>
      <c r="S498" s="8">
        <f t="shared" si="149"/>
        <v>13996.400000000001</v>
      </c>
      <c r="T498" s="8">
        <f t="shared" si="150"/>
        <v>19424.699999999997</v>
      </c>
      <c r="U498" s="11">
        <f t="shared" si="151"/>
        <v>0.58121067229983447</v>
      </c>
      <c r="V498" s="17">
        <v>45686</v>
      </c>
      <c r="W498" s="4" t="str">
        <f t="shared" si="152"/>
        <v>Q3-2023</v>
      </c>
      <c r="X498" t="str">
        <f t="shared" si="153"/>
        <v>Africa → South Africa → Durban</v>
      </c>
      <c r="Y498" t="str">
        <f t="shared" si="154"/>
        <v>High</v>
      </c>
      <c r="Z498" s="20">
        <f t="shared" si="155"/>
        <v>45139</v>
      </c>
      <c r="AA498" s="4">
        <f t="array" ref="AA498">MIN(IF($F$2:$F$633=F498,$Z$2:$Z$633))</f>
        <v>44927</v>
      </c>
      <c r="AB498">
        <f t="shared" si="156"/>
        <v>7</v>
      </c>
      <c r="AC498">
        <f t="shared" si="157"/>
        <v>0</v>
      </c>
      <c r="AD498">
        <f t="shared" si="158"/>
        <v>0</v>
      </c>
      <c r="AE498" s="13">
        <f t="shared" si="159"/>
        <v>0</v>
      </c>
      <c r="AH498">
        <f t="shared" si="160"/>
        <v>12</v>
      </c>
      <c r="AI498">
        <f t="shared" si="161"/>
        <v>1609.586</v>
      </c>
      <c r="AJ498" s="11">
        <f t="shared" si="162"/>
        <v>0</v>
      </c>
      <c r="AK498">
        <f t="shared" si="163"/>
        <v>40105.32</v>
      </c>
      <c r="AL498">
        <f t="shared" si="164"/>
        <v>19315.031999999999</v>
      </c>
      <c r="AM498">
        <f t="shared" si="165"/>
        <v>20790.288</v>
      </c>
    </row>
    <row r="499" spans="1:39" x14ac:dyDescent="0.25">
      <c r="A499" t="s">
        <v>236</v>
      </c>
      <c r="B499" s="4">
        <v>45164</v>
      </c>
      <c r="C499" s="4">
        <v>45179</v>
      </c>
      <c r="D499" s="13">
        <f t="shared" si="146"/>
        <v>15</v>
      </c>
      <c r="E499" s="6" t="s">
        <v>646</v>
      </c>
      <c r="F499" t="s">
        <v>661</v>
      </c>
      <c r="G499" t="s">
        <v>695</v>
      </c>
      <c r="H499" t="s">
        <v>703</v>
      </c>
      <c r="I499" t="s">
        <v>711</v>
      </c>
      <c r="J499" t="s">
        <v>725</v>
      </c>
      <c r="K499" t="s">
        <v>727</v>
      </c>
      <c r="L499" t="s">
        <v>956</v>
      </c>
      <c r="M499" s="8">
        <v>241.14</v>
      </c>
      <c r="N499" s="8">
        <v>496.52</v>
      </c>
      <c r="O499" s="8">
        <f t="shared" si="147"/>
        <v>496.52</v>
      </c>
      <c r="P499" s="11">
        <v>9.2999999999999999E-2</v>
      </c>
      <c r="Q499" s="13">
        <v>10</v>
      </c>
      <c r="R499" s="8">
        <f t="shared" si="148"/>
        <v>4503.4363999999996</v>
      </c>
      <c r="S499" s="8">
        <f t="shared" si="149"/>
        <v>2411.3999999999996</v>
      </c>
      <c r="T499" s="8">
        <f t="shared" si="150"/>
        <v>2092.0364</v>
      </c>
      <c r="U499" s="11">
        <f t="shared" si="151"/>
        <v>0.46454223268257994</v>
      </c>
      <c r="V499" s="17">
        <v>45679</v>
      </c>
      <c r="W499" s="4" t="str">
        <f t="shared" si="152"/>
        <v>Q3-2023</v>
      </c>
      <c r="X499" t="str">
        <f t="shared" si="153"/>
        <v>Africa → South Africa → Cape Town</v>
      </c>
      <c r="Y499" t="str">
        <f t="shared" si="154"/>
        <v>Low</v>
      </c>
      <c r="Z499" s="20">
        <f t="shared" si="155"/>
        <v>45139</v>
      </c>
      <c r="AA499" s="4">
        <f t="array" ref="AA499">MIN(IF($F$2:$F$633=F499,$Z$2:$Z$633))</f>
        <v>44927</v>
      </c>
      <c r="AB499">
        <f t="shared" si="156"/>
        <v>7</v>
      </c>
      <c r="AC499">
        <f t="shared" si="157"/>
        <v>0</v>
      </c>
      <c r="AD499">
        <f t="shared" si="158"/>
        <v>0</v>
      </c>
      <c r="AE499" s="13">
        <f t="shared" si="159"/>
        <v>0</v>
      </c>
      <c r="AH499">
        <f t="shared" si="160"/>
        <v>12</v>
      </c>
      <c r="AI499">
        <f t="shared" si="161"/>
        <v>277.31099999999998</v>
      </c>
      <c r="AJ499" s="11">
        <f t="shared" si="162"/>
        <v>9.2999999999999999E-2</v>
      </c>
      <c r="AK499">
        <f t="shared" si="163"/>
        <v>5404.1236799999997</v>
      </c>
      <c r="AL499">
        <f t="shared" si="164"/>
        <v>3327.732</v>
      </c>
      <c r="AM499">
        <f t="shared" si="165"/>
        <v>2076.3916799999997</v>
      </c>
    </row>
    <row r="500" spans="1:39" x14ac:dyDescent="0.25">
      <c r="A500" t="s">
        <v>403</v>
      </c>
      <c r="B500" s="4">
        <v>45225</v>
      </c>
      <c r="C500" s="4">
        <v>45235</v>
      </c>
      <c r="D500" s="13">
        <f t="shared" si="146"/>
        <v>10</v>
      </c>
      <c r="E500" s="6" t="s">
        <v>646</v>
      </c>
      <c r="F500" t="s">
        <v>661</v>
      </c>
      <c r="G500" t="s">
        <v>695</v>
      </c>
      <c r="H500" t="s">
        <v>703</v>
      </c>
      <c r="I500" t="s">
        <v>708</v>
      </c>
      <c r="J500" t="s">
        <v>714</v>
      </c>
      <c r="K500" t="s">
        <v>731</v>
      </c>
      <c r="L500" t="s">
        <v>1122</v>
      </c>
      <c r="M500" s="8">
        <v>20.38</v>
      </c>
      <c r="N500" s="8">
        <v>42.56</v>
      </c>
      <c r="O500" s="8">
        <f t="shared" si="147"/>
        <v>42.56</v>
      </c>
      <c r="P500" s="11">
        <v>7.1999999999999995E-2</v>
      </c>
      <c r="Q500" s="13">
        <v>11</v>
      </c>
      <c r="R500" s="8">
        <f t="shared" si="148"/>
        <v>434.45248000000004</v>
      </c>
      <c r="S500" s="8">
        <f t="shared" si="149"/>
        <v>224.17999999999998</v>
      </c>
      <c r="T500" s="8">
        <f t="shared" si="150"/>
        <v>210.27248000000006</v>
      </c>
      <c r="U500" s="11">
        <f t="shared" si="151"/>
        <v>0.48399419885921713</v>
      </c>
      <c r="V500" s="17">
        <v>45616</v>
      </c>
      <c r="W500" s="4" t="str">
        <f t="shared" si="152"/>
        <v>Q4-2023</v>
      </c>
      <c r="X500" t="str">
        <f t="shared" si="153"/>
        <v>Africa → South Africa → Cape Town</v>
      </c>
      <c r="Y500" t="str">
        <f t="shared" si="154"/>
        <v>Low</v>
      </c>
      <c r="Z500" s="20">
        <f t="shared" si="155"/>
        <v>45200</v>
      </c>
      <c r="AA500" s="4">
        <f t="array" ref="AA500">MIN(IF($F$2:$F$633=F500,$Z$2:$Z$633))</f>
        <v>44927</v>
      </c>
      <c r="AB500">
        <f t="shared" si="156"/>
        <v>9</v>
      </c>
      <c r="AC500">
        <f t="shared" si="157"/>
        <v>0</v>
      </c>
      <c r="AD500">
        <f t="shared" si="158"/>
        <v>0</v>
      </c>
      <c r="AE500" s="13">
        <f t="shared" si="159"/>
        <v>0</v>
      </c>
      <c r="AH500">
        <f t="shared" si="160"/>
        <v>13.2</v>
      </c>
      <c r="AI500">
        <f t="shared" si="161"/>
        <v>23.436999999999998</v>
      </c>
      <c r="AJ500" s="11">
        <f t="shared" si="162"/>
        <v>7.1999999999999995E-2</v>
      </c>
      <c r="AK500">
        <f t="shared" si="163"/>
        <v>521.34297600000002</v>
      </c>
      <c r="AL500">
        <f t="shared" si="164"/>
        <v>309.36839999999995</v>
      </c>
      <c r="AM500">
        <f t="shared" si="165"/>
        <v>211.97457600000007</v>
      </c>
    </row>
    <row r="501" spans="1:39" x14ac:dyDescent="0.25">
      <c r="A501" t="s">
        <v>160</v>
      </c>
      <c r="B501" s="4">
        <v>45259</v>
      </c>
      <c r="C501" s="4">
        <v>45260</v>
      </c>
      <c r="D501" s="13">
        <f t="shared" si="146"/>
        <v>1</v>
      </c>
      <c r="E501" s="6" t="s">
        <v>646</v>
      </c>
      <c r="F501" t="s">
        <v>661</v>
      </c>
      <c r="G501" t="s">
        <v>687</v>
      </c>
      <c r="H501" t="s">
        <v>705</v>
      </c>
      <c r="I501" t="s">
        <v>709</v>
      </c>
      <c r="J501" t="s">
        <v>718</v>
      </c>
      <c r="K501" t="s">
        <v>731</v>
      </c>
      <c r="L501" t="s">
        <v>879</v>
      </c>
      <c r="M501" s="8">
        <v>275.56</v>
      </c>
      <c r="N501" s="8">
        <v>630.72</v>
      </c>
      <c r="O501" s="8">
        <f t="shared" si="147"/>
        <v>630.72</v>
      </c>
      <c r="P501" s="11">
        <v>0.107</v>
      </c>
      <c r="Q501" s="13">
        <v>23</v>
      </c>
      <c r="R501" s="8">
        <f t="shared" si="148"/>
        <v>12954.358080000002</v>
      </c>
      <c r="S501" s="8">
        <f t="shared" si="149"/>
        <v>6337.88</v>
      </c>
      <c r="T501" s="8">
        <f t="shared" si="150"/>
        <v>6616.4780800000017</v>
      </c>
      <c r="U501" s="11">
        <f t="shared" si="151"/>
        <v>0.5107530638831933</v>
      </c>
      <c r="V501" s="17">
        <v>45608</v>
      </c>
      <c r="W501" s="4" t="str">
        <f t="shared" si="152"/>
        <v>Q4-2023</v>
      </c>
      <c r="X501" t="str">
        <f t="shared" si="153"/>
        <v>Africa → South Africa → Durban</v>
      </c>
      <c r="Y501" t="str">
        <f t="shared" si="154"/>
        <v>Low</v>
      </c>
      <c r="Z501" s="20">
        <f t="shared" si="155"/>
        <v>45231</v>
      </c>
      <c r="AA501" s="4">
        <f t="array" ref="AA501">MIN(IF($F$2:$F$633=F501,$Z$2:$Z$633))</f>
        <v>44927</v>
      </c>
      <c r="AB501">
        <f t="shared" si="156"/>
        <v>10</v>
      </c>
      <c r="AC501">
        <f t="shared" si="157"/>
        <v>1</v>
      </c>
      <c r="AD501">
        <f t="shared" si="158"/>
        <v>0</v>
      </c>
      <c r="AE501" s="13">
        <f t="shared" si="159"/>
        <v>1</v>
      </c>
      <c r="AH501">
        <f t="shared" si="160"/>
        <v>27.599999999999998</v>
      </c>
      <c r="AI501">
        <f t="shared" si="161"/>
        <v>316.89400000000001</v>
      </c>
      <c r="AJ501" s="11">
        <f t="shared" si="162"/>
        <v>0.107</v>
      </c>
      <c r="AK501">
        <f t="shared" si="163"/>
        <v>15545.229696</v>
      </c>
      <c r="AL501">
        <f t="shared" si="164"/>
        <v>8746.2744000000002</v>
      </c>
      <c r="AM501">
        <f t="shared" si="165"/>
        <v>6798.9552960000001</v>
      </c>
    </row>
    <row r="502" spans="1:39" x14ac:dyDescent="0.25">
      <c r="A502" t="s">
        <v>100</v>
      </c>
      <c r="B502" s="4">
        <v>45282</v>
      </c>
      <c r="C502" s="4">
        <v>45283</v>
      </c>
      <c r="D502" s="13">
        <f t="shared" si="146"/>
        <v>1</v>
      </c>
      <c r="E502" s="6" t="s">
        <v>646</v>
      </c>
      <c r="F502" t="s">
        <v>661</v>
      </c>
      <c r="G502" t="s">
        <v>695</v>
      </c>
      <c r="H502" t="s">
        <v>703</v>
      </c>
      <c r="I502" t="s">
        <v>709</v>
      </c>
      <c r="J502" t="s">
        <v>726</v>
      </c>
      <c r="K502" t="s">
        <v>727</v>
      </c>
      <c r="L502" t="s">
        <v>819</v>
      </c>
      <c r="M502" s="8">
        <v>1186.18</v>
      </c>
      <c r="N502" s="8">
        <v>1285.0899999999999</v>
      </c>
      <c r="O502" s="8">
        <f t="shared" si="147"/>
        <v>1285.0899999999999</v>
      </c>
      <c r="P502" s="11">
        <v>7.0000000000000007E-2</v>
      </c>
      <c r="Q502" s="13">
        <v>11</v>
      </c>
      <c r="R502" s="8">
        <f t="shared" si="148"/>
        <v>13146.470699999998</v>
      </c>
      <c r="S502" s="8">
        <f t="shared" si="149"/>
        <v>13047.980000000001</v>
      </c>
      <c r="T502" s="8">
        <f t="shared" si="150"/>
        <v>98.49069999999665</v>
      </c>
      <c r="U502" s="11">
        <f t="shared" si="151"/>
        <v>7.4917977796121861E-3</v>
      </c>
      <c r="V502" s="17">
        <v>45590</v>
      </c>
      <c r="W502" s="4" t="str">
        <f t="shared" si="152"/>
        <v>Q4-2023</v>
      </c>
      <c r="X502" t="str">
        <f t="shared" si="153"/>
        <v>Africa → South Africa → Cape Town</v>
      </c>
      <c r="Y502" t="str">
        <f t="shared" si="154"/>
        <v>Medium</v>
      </c>
      <c r="Z502" s="20">
        <f t="shared" si="155"/>
        <v>45261</v>
      </c>
      <c r="AA502" s="4">
        <f t="array" ref="AA502">MIN(IF($F$2:$F$633=F502,$Z$2:$Z$633))</f>
        <v>44927</v>
      </c>
      <c r="AB502">
        <f t="shared" si="156"/>
        <v>11</v>
      </c>
      <c r="AC502">
        <f t="shared" si="157"/>
        <v>1</v>
      </c>
      <c r="AD502">
        <f t="shared" si="158"/>
        <v>0</v>
      </c>
      <c r="AE502" s="13">
        <f t="shared" si="159"/>
        <v>1</v>
      </c>
      <c r="AH502">
        <f t="shared" si="160"/>
        <v>13.2</v>
      </c>
      <c r="AI502">
        <f t="shared" si="161"/>
        <v>1364.107</v>
      </c>
      <c r="AJ502" s="11">
        <f t="shared" si="162"/>
        <v>7.0000000000000007E-2</v>
      </c>
      <c r="AK502">
        <f t="shared" si="163"/>
        <v>15775.764839999998</v>
      </c>
      <c r="AL502">
        <f t="shared" si="164"/>
        <v>18006.2124</v>
      </c>
      <c r="AM502">
        <f t="shared" si="165"/>
        <v>-2230.4475600000023</v>
      </c>
    </row>
    <row r="503" spans="1:39" x14ac:dyDescent="0.25">
      <c r="A503" t="s">
        <v>553</v>
      </c>
      <c r="B503" s="4">
        <v>45288</v>
      </c>
      <c r="C503" s="4">
        <v>45292</v>
      </c>
      <c r="D503" s="13">
        <f t="shared" si="146"/>
        <v>4</v>
      </c>
      <c r="E503" s="6" t="s">
        <v>646</v>
      </c>
      <c r="F503" t="s">
        <v>661</v>
      </c>
      <c r="G503" t="s">
        <v>695</v>
      </c>
      <c r="H503" t="s">
        <v>702</v>
      </c>
      <c r="I503" t="s">
        <v>710</v>
      </c>
      <c r="J503" t="s">
        <v>720</v>
      </c>
      <c r="K503" t="s">
        <v>728</v>
      </c>
      <c r="L503" t="s">
        <v>1271</v>
      </c>
      <c r="M503" s="8">
        <v>1141.8</v>
      </c>
      <c r="N503" s="8">
        <v>2318.7399999999998</v>
      </c>
      <c r="O503" s="8">
        <f t="shared" si="147"/>
        <v>2318.7399999999998</v>
      </c>
      <c r="P503" s="11">
        <v>0.107</v>
      </c>
      <c r="Q503" s="13">
        <v>32</v>
      </c>
      <c r="R503" s="8">
        <f t="shared" si="148"/>
        <v>66260.314239999992</v>
      </c>
      <c r="S503" s="8">
        <f t="shared" si="149"/>
        <v>36537.599999999999</v>
      </c>
      <c r="T503" s="8">
        <f t="shared" si="150"/>
        <v>29722.714239999994</v>
      </c>
      <c r="U503" s="11">
        <f t="shared" si="151"/>
        <v>0.44857490612468304</v>
      </c>
      <c r="V503" s="17">
        <v>45589</v>
      </c>
      <c r="W503" s="4" t="str">
        <f t="shared" si="152"/>
        <v>Q4-2023</v>
      </c>
      <c r="X503" t="str">
        <f t="shared" si="153"/>
        <v>Africa → South Africa → Cape Town</v>
      </c>
      <c r="Y503" t="str">
        <f t="shared" si="154"/>
        <v>High</v>
      </c>
      <c r="Z503" s="20">
        <f t="shared" si="155"/>
        <v>45261</v>
      </c>
      <c r="AA503" s="4">
        <f t="array" ref="AA503">MIN(IF($F$2:$F$633=F503,$Z$2:$Z$633))</f>
        <v>44927</v>
      </c>
      <c r="AB503">
        <f t="shared" si="156"/>
        <v>11</v>
      </c>
      <c r="AC503">
        <f t="shared" si="157"/>
        <v>1</v>
      </c>
      <c r="AD503">
        <f t="shared" si="158"/>
        <v>0</v>
      </c>
      <c r="AE503" s="13">
        <f t="shared" si="159"/>
        <v>1</v>
      </c>
      <c r="AH503">
        <f t="shared" si="160"/>
        <v>38.4</v>
      </c>
      <c r="AI503">
        <f t="shared" si="161"/>
        <v>1313.07</v>
      </c>
      <c r="AJ503" s="11">
        <f t="shared" si="162"/>
        <v>0.107</v>
      </c>
      <c r="AK503">
        <f t="shared" si="163"/>
        <v>79512.377087999994</v>
      </c>
      <c r="AL503">
        <f t="shared" si="164"/>
        <v>50421.887999999999</v>
      </c>
      <c r="AM503">
        <f t="shared" si="165"/>
        <v>29090.489087999995</v>
      </c>
    </row>
    <row r="504" spans="1:39" x14ac:dyDescent="0.25">
      <c r="A504" t="s">
        <v>56</v>
      </c>
      <c r="B504" s="4">
        <v>45302</v>
      </c>
      <c r="C504" s="4">
        <v>45324</v>
      </c>
      <c r="D504" s="13">
        <f t="shared" si="146"/>
        <v>22</v>
      </c>
      <c r="E504" s="6" t="s">
        <v>646</v>
      </c>
      <c r="F504" t="s">
        <v>661</v>
      </c>
      <c r="G504" t="s">
        <v>687</v>
      </c>
      <c r="H504" t="s">
        <v>704</v>
      </c>
      <c r="I504" t="s">
        <v>708</v>
      </c>
      <c r="J504" t="s">
        <v>723</v>
      </c>
      <c r="K504" t="s">
        <v>729</v>
      </c>
      <c r="L504" t="s">
        <v>775</v>
      </c>
      <c r="M504" s="8">
        <v>1206.2</v>
      </c>
      <c r="N504" s="8">
        <v>1759.79</v>
      </c>
      <c r="O504" s="8">
        <f t="shared" si="147"/>
        <v>1759.79</v>
      </c>
      <c r="P504" s="11">
        <v>0</v>
      </c>
      <c r="Q504" s="13">
        <v>6</v>
      </c>
      <c r="R504" s="8">
        <f t="shared" si="148"/>
        <v>10558.74</v>
      </c>
      <c r="S504" s="8">
        <f t="shared" si="149"/>
        <v>7237.2000000000007</v>
      </c>
      <c r="T504" s="8">
        <f t="shared" si="150"/>
        <v>3321.5399999999991</v>
      </c>
      <c r="U504" s="11">
        <f t="shared" si="151"/>
        <v>0.31457730751964713</v>
      </c>
      <c r="V504" s="17">
        <v>45545</v>
      </c>
      <c r="W504" s="4" t="str">
        <f t="shared" si="152"/>
        <v>Q1-2024</v>
      </c>
      <c r="X504" t="str">
        <f t="shared" si="153"/>
        <v>Africa → South Africa → Durban</v>
      </c>
      <c r="Y504" t="str">
        <f t="shared" si="154"/>
        <v>High</v>
      </c>
      <c r="Z504" s="20">
        <f t="shared" si="155"/>
        <v>45292</v>
      </c>
      <c r="AA504" s="4">
        <f t="array" ref="AA504">MIN(IF($F$2:$F$633=F504,$Z$2:$Z$633))</f>
        <v>44927</v>
      </c>
      <c r="AB504">
        <f t="shared" si="156"/>
        <v>12</v>
      </c>
      <c r="AC504">
        <f t="shared" si="157"/>
        <v>0</v>
      </c>
      <c r="AD504">
        <f t="shared" si="158"/>
        <v>0</v>
      </c>
      <c r="AE504" s="13">
        <f t="shared" si="159"/>
        <v>0</v>
      </c>
      <c r="AH504">
        <f t="shared" si="160"/>
        <v>7.1999999999999993</v>
      </c>
      <c r="AI504">
        <f t="shared" si="161"/>
        <v>1387.1299999999999</v>
      </c>
      <c r="AJ504" s="11">
        <f t="shared" si="162"/>
        <v>0</v>
      </c>
      <c r="AK504">
        <f t="shared" si="163"/>
        <v>12670.487999999999</v>
      </c>
      <c r="AL504">
        <f t="shared" si="164"/>
        <v>9987.3359999999975</v>
      </c>
      <c r="AM504">
        <f t="shared" si="165"/>
        <v>2683.1520000000019</v>
      </c>
    </row>
    <row r="505" spans="1:39" x14ac:dyDescent="0.25">
      <c r="A505" t="s">
        <v>373</v>
      </c>
      <c r="B505" s="4">
        <v>45309</v>
      </c>
      <c r="C505" s="4">
        <v>45325</v>
      </c>
      <c r="D505" s="13">
        <f t="shared" si="146"/>
        <v>16</v>
      </c>
      <c r="E505" s="6" t="s">
        <v>646</v>
      </c>
      <c r="F505" t="s">
        <v>661</v>
      </c>
      <c r="G505" t="s">
        <v>695</v>
      </c>
      <c r="H505" t="s">
        <v>703</v>
      </c>
      <c r="I505" t="s">
        <v>710</v>
      </c>
      <c r="J505" t="s">
        <v>716</v>
      </c>
      <c r="K505" t="s">
        <v>728</v>
      </c>
      <c r="L505" t="s">
        <v>1093</v>
      </c>
      <c r="M505" s="8">
        <v>666.23</v>
      </c>
      <c r="N505" s="8">
        <v>1382.91</v>
      </c>
      <c r="O505" s="8">
        <f t="shared" si="147"/>
        <v>1382.91</v>
      </c>
      <c r="P505" s="11">
        <v>0.17599999999999999</v>
      </c>
      <c r="Q505" s="13">
        <v>13</v>
      </c>
      <c r="R505" s="8">
        <f t="shared" si="148"/>
        <v>14813.731920000002</v>
      </c>
      <c r="S505" s="8">
        <f t="shared" si="149"/>
        <v>8660.99</v>
      </c>
      <c r="T505" s="8">
        <f t="shared" si="150"/>
        <v>6152.7419200000022</v>
      </c>
      <c r="U505" s="11">
        <f t="shared" si="151"/>
        <v>0.41534043907553048</v>
      </c>
      <c r="V505" s="17">
        <v>45535</v>
      </c>
      <c r="W505" s="4" t="str">
        <f t="shared" si="152"/>
        <v>Q1-2024</v>
      </c>
      <c r="X505" t="str">
        <f t="shared" si="153"/>
        <v>Africa → South Africa → Cape Town</v>
      </c>
      <c r="Y505" t="str">
        <f t="shared" si="154"/>
        <v>Medium</v>
      </c>
      <c r="Z505" s="20">
        <f t="shared" si="155"/>
        <v>45292</v>
      </c>
      <c r="AA505" s="4">
        <f t="array" ref="AA505">MIN(IF($F$2:$F$633=F505,$Z$2:$Z$633))</f>
        <v>44927</v>
      </c>
      <c r="AB505">
        <f t="shared" si="156"/>
        <v>12</v>
      </c>
      <c r="AC505">
        <f t="shared" si="157"/>
        <v>0</v>
      </c>
      <c r="AD505">
        <f t="shared" si="158"/>
        <v>0</v>
      </c>
      <c r="AE505" s="13">
        <f t="shared" si="159"/>
        <v>0</v>
      </c>
      <c r="AH505">
        <f t="shared" si="160"/>
        <v>15.6</v>
      </c>
      <c r="AI505">
        <f t="shared" si="161"/>
        <v>766.16449999999998</v>
      </c>
      <c r="AJ505" s="11">
        <f t="shared" si="162"/>
        <v>0.17599999999999999</v>
      </c>
      <c r="AK505">
        <f t="shared" si="163"/>
        <v>17776.478304</v>
      </c>
      <c r="AL505">
        <f t="shared" si="164"/>
        <v>11952.1662</v>
      </c>
      <c r="AM505">
        <f t="shared" si="165"/>
        <v>5824.3121040000005</v>
      </c>
    </row>
    <row r="506" spans="1:39" x14ac:dyDescent="0.25">
      <c r="A506" t="s">
        <v>623</v>
      </c>
      <c r="B506" s="4">
        <v>45318</v>
      </c>
      <c r="C506" s="4">
        <v>45319</v>
      </c>
      <c r="D506" s="13">
        <f t="shared" si="146"/>
        <v>1</v>
      </c>
      <c r="E506" s="6" t="s">
        <v>646</v>
      </c>
      <c r="F506" t="s">
        <v>661</v>
      </c>
      <c r="G506" t="s">
        <v>695</v>
      </c>
      <c r="H506" t="s">
        <v>706</v>
      </c>
      <c r="I506" t="s">
        <v>711</v>
      </c>
      <c r="J506" t="s">
        <v>719</v>
      </c>
      <c r="K506" t="s">
        <v>727</v>
      </c>
      <c r="L506" t="s">
        <v>1341</v>
      </c>
      <c r="M506" s="8">
        <v>109.75</v>
      </c>
      <c r="N506" s="8">
        <v>124.25</v>
      </c>
      <c r="O506" s="8">
        <f t="shared" si="147"/>
        <v>124.25</v>
      </c>
      <c r="P506" s="11">
        <v>0.12</v>
      </c>
      <c r="Q506" s="13">
        <v>19</v>
      </c>
      <c r="R506" s="8">
        <f t="shared" si="148"/>
        <v>2077.46</v>
      </c>
      <c r="S506" s="8">
        <f t="shared" si="149"/>
        <v>2085.25</v>
      </c>
      <c r="T506" s="8">
        <f t="shared" si="150"/>
        <v>-7.7899999999999636</v>
      </c>
      <c r="U506" s="11">
        <f t="shared" si="151"/>
        <v>-3.7497713554051405E-3</v>
      </c>
      <c r="V506" s="17">
        <v>45544</v>
      </c>
      <c r="W506" s="4" t="str">
        <f t="shared" si="152"/>
        <v>Q1-2024</v>
      </c>
      <c r="X506" t="str">
        <f t="shared" si="153"/>
        <v>Africa → South Africa → Cape Town</v>
      </c>
      <c r="Y506" t="str">
        <f t="shared" si="154"/>
        <v>Low</v>
      </c>
      <c r="Z506" s="20">
        <f t="shared" si="155"/>
        <v>45292</v>
      </c>
      <c r="AA506" s="4">
        <f t="array" ref="AA506">MIN(IF($F$2:$F$633=F506,$Z$2:$Z$633))</f>
        <v>44927</v>
      </c>
      <c r="AB506">
        <f t="shared" si="156"/>
        <v>12</v>
      </c>
      <c r="AC506">
        <f t="shared" si="157"/>
        <v>1</v>
      </c>
      <c r="AD506">
        <f t="shared" si="158"/>
        <v>0</v>
      </c>
      <c r="AE506" s="13">
        <f t="shared" si="159"/>
        <v>1</v>
      </c>
      <c r="AH506">
        <f t="shared" si="160"/>
        <v>22.8</v>
      </c>
      <c r="AI506">
        <f t="shared" si="161"/>
        <v>126.21249999999999</v>
      </c>
      <c r="AJ506" s="11">
        <f t="shared" si="162"/>
        <v>0.12</v>
      </c>
      <c r="AK506">
        <f t="shared" si="163"/>
        <v>2492.9520000000002</v>
      </c>
      <c r="AL506">
        <f t="shared" si="164"/>
        <v>2877.645</v>
      </c>
      <c r="AM506">
        <f t="shared" si="165"/>
        <v>-384.69299999999976</v>
      </c>
    </row>
    <row r="507" spans="1:39" x14ac:dyDescent="0.25">
      <c r="A507" t="s">
        <v>302</v>
      </c>
      <c r="B507" s="4">
        <v>45319</v>
      </c>
      <c r="C507" s="4">
        <v>45321</v>
      </c>
      <c r="D507" s="13">
        <f t="shared" si="146"/>
        <v>2</v>
      </c>
      <c r="E507" s="6" t="s">
        <v>646</v>
      </c>
      <c r="F507" t="s">
        <v>661</v>
      </c>
      <c r="G507" t="s">
        <v>695</v>
      </c>
      <c r="H507" t="s">
        <v>704</v>
      </c>
      <c r="I507" t="s">
        <v>711</v>
      </c>
      <c r="J507" t="s">
        <v>721</v>
      </c>
      <c r="K507" t="s">
        <v>733</v>
      </c>
      <c r="L507" t="s">
        <v>1022</v>
      </c>
      <c r="M507" s="8">
        <v>798.45</v>
      </c>
      <c r="N507" s="8">
        <v>1592.02</v>
      </c>
      <c r="O507" s="8">
        <f t="shared" si="147"/>
        <v>1592.02</v>
      </c>
      <c r="P507" s="11">
        <v>6.6000000000000003E-2</v>
      </c>
      <c r="Q507" s="13">
        <v>18</v>
      </c>
      <c r="R507" s="8">
        <f t="shared" si="148"/>
        <v>26765.040239999998</v>
      </c>
      <c r="S507" s="8">
        <f t="shared" si="149"/>
        <v>14372.1</v>
      </c>
      <c r="T507" s="8">
        <f t="shared" si="150"/>
        <v>12392.940239999998</v>
      </c>
      <c r="U507" s="11">
        <f t="shared" si="151"/>
        <v>0.46302714768494585</v>
      </c>
      <c r="V507" s="17">
        <v>45538</v>
      </c>
      <c r="W507" s="4" t="str">
        <f t="shared" si="152"/>
        <v>Q1-2024</v>
      </c>
      <c r="X507" t="str">
        <f t="shared" si="153"/>
        <v>Africa → South Africa → Cape Town</v>
      </c>
      <c r="Y507" t="str">
        <f t="shared" si="154"/>
        <v>Medium</v>
      </c>
      <c r="Z507" s="20">
        <f t="shared" si="155"/>
        <v>45292</v>
      </c>
      <c r="AA507" s="4">
        <f t="array" ref="AA507">MIN(IF($F$2:$F$633=F507,$Z$2:$Z$633))</f>
        <v>44927</v>
      </c>
      <c r="AB507">
        <f t="shared" si="156"/>
        <v>12</v>
      </c>
      <c r="AC507">
        <f t="shared" si="157"/>
        <v>1</v>
      </c>
      <c r="AD507">
        <f t="shared" si="158"/>
        <v>0</v>
      </c>
      <c r="AE507" s="13">
        <f t="shared" si="159"/>
        <v>1</v>
      </c>
      <c r="AH507">
        <f t="shared" si="160"/>
        <v>21.599999999999998</v>
      </c>
      <c r="AI507">
        <f t="shared" si="161"/>
        <v>918.21749999999997</v>
      </c>
      <c r="AJ507" s="11">
        <f t="shared" si="162"/>
        <v>6.6000000000000003E-2</v>
      </c>
      <c r="AK507">
        <f t="shared" si="163"/>
        <v>32118.048287999994</v>
      </c>
      <c r="AL507">
        <f t="shared" si="164"/>
        <v>19833.497999999996</v>
      </c>
      <c r="AM507">
        <f t="shared" si="165"/>
        <v>12284.550287999999</v>
      </c>
    </row>
    <row r="508" spans="1:39" x14ac:dyDescent="0.25">
      <c r="A508" t="s">
        <v>560</v>
      </c>
      <c r="B508" s="4">
        <v>45355</v>
      </c>
      <c r="C508" s="4">
        <v>45367</v>
      </c>
      <c r="D508" s="13">
        <f t="shared" si="146"/>
        <v>12</v>
      </c>
      <c r="E508" s="6" t="s">
        <v>646</v>
      </c>
      <c r="F508" t="s">
        <v>661</v>
      </c>
      <c r="G508" t="s">
        <v>682</v>
      </c>
      <c r="H508" t="s">
        <v>706</v>
      </c>
      <c r="I508" t="s">
        <v>710</v>
      </c>
      <c r="J508" t="s">
        <v>724</v>
      </c>
      <c r="K508" t="s">
        <v>732</v>
      </c>
      <c r="L508" t="s">
        <v>1278</v>
      </c>
      <c r="M508" s="8">
        <v>441.08</v>
      </c>
      <c r="N508" s="8">
        <v>1054.29</v>
      </c>
      <c r="O508" s="8">
        <f t="shared" si="147"/>
        <v>1054.29</v>
      </c>
      <c r="P508" s="11">
        <v>0.23699999999999999</v>
      </c>
      <c r="Q508" s="13">
        <v>6</v>
      </c>
      <c r="R508" s="8">
        <f t="shared" si="148"/>
        <v>4826.5396199999996</v>
      </c>
      <c r="S508" s="8">
        <f t="shared" si="149"/>
        <v>2646.48</v>
      </c>
      <c r="T508" s="8">
        <f t="shared" si="150"/>
        <v>2180.0596199999995</v>
      </c>
      <c r="U508" s="11">
        <f t="shared" si="151"/>
        <v>0.45168169985932899</v>
      </c>
      <c r="V508" s="17">
        <v>45482</v>
      </c>
      <c r="W508" s="4" t="str">
        <f t="shared" si="152"/>
        <v>Q1-2024</v>
      </c>
      <c r="X508" t="str">
        <f t="shared" si="153"/>
        <v>Africa → South Africa → Johannesburg</v>
      </c>
      <c r="Y508" t="str">
        <f t="shared" si="154"/>
        <v>Medium</v>
      </c>
      <c r="Z508" s="20">
        <f t="shared" si="155"/>
        <v>45352</v>
      </c>
      <c r="AA508" s="4">
        <f t="array" ref="AA508">MIN(IF($F$2:$F$633=F508,$Z$2:$Z$633))</f>
        <v>44927</v>
      </c>
      <c r="AB508">
        <f t="shared" si="156"/>
        <v>14</v>
      </c>
      <c r="AC508">
        <f t="shared" si="157"/>
        <v>0</v>
      </c>
      <c r="AD508">
        <f t="shared" si="158"/>
        <v>1</v>
      </c>
      <c r="AE508" s="13">
        <f t="shared" si="159"/>
        <v>0</v>
      </c>
      <c r="AH508">
        <f t="shared" si="160"/>
        <v>7.1999999999999993</v>
      </c>
      <c r="AI508">
        <f t="shared" si="161"/>
        <v>507.24199999999996</v>
      </c>
      <c r="AJ508" s="11">
        <f t="shared" si="162"/>
        <v>0.23699999999999999</v>
      </c>
      <c r="AK508">
        <f t="shared" si="163"/>
        <v>5791.8475439999993</v>
      </c>
      <c r="AL508">
        <f t="shared" si="164"/>
        <v>3652.1423999999993</v>
      </c>
      <c r="AM508">
        <f t="shared" si="165"/>
        <v>2139.705144</v>
      </c>
    </row>
    <row r="509" spans="1:39" x14ac:dyDescent="0.25">
      <c r="A509" t="s">
        <v>87</v>
      </c>
      <c r="B509" s="4">
        <v>45394</v>
      </c>
      <c r="C509" s="4">
        <v>45419</v>
      </c>
      <c r="D509" s="13">
        <f t="shared" si="146"/>
        <v>25</v>
      </c>
      <c r="E509" s="6" t="s">
        <v>646</v>
      </c>
      <c r="F509" t="s">
        <v>661</v>
      </c>
      <c r="G509" t="s">
        <v>682</v>
      </c>
      <c r="H509" t="s">
        <v>702</v>
      </c>
      <c r="I509" t="s">
        <v>710</v>
      </c>
      <c r="J509" t="s">
        <v>720</v>
      </c>
      <c r="K509" t="s">
        <v>731</v>
      </c>
      <c r="L509" t="s">
        <v>806</v>
      </c>
      <c r="M509" s="8">
        <v>1376.51</v>
      </c>
      <c r="N509" s="8">
        <v>1455.91</v>
      </c>
      <c r="O509" s="8">
        <f t="shared" si="147"/>
        <v>1455.91</v>
      </c>
      <c r="P509" s="11">
        <v>0.185</v>
      </c>
      <c r="Q509" s="13">
        <v>17</v>
      </c>
      <c r="R509" s="8">
        <f t="shared" si="148"/>
        <v>20171.63305</v>
      </c>
      <c r="S509" s="8">
        <f t="shared" si="149"/>
        <v>23400.67</v>
      </c>
      <c r="T509" s="8">
        <f t="shared" si="150"/>
        <v>-3229.0369499999979</v>
      </c>
      <c r="U509" s="11">
        <f t="shared" si="151"/>
        <v>-0.1600781127634085</v>
      </c>
      <c r="V509" s="17">
        <v>45446</v>
      </c>
      <c r="W509" s="4" t="str">
        <f t="shared" si="152"/>
        <v>Q2-2024</v>
      </c>
      <c r="X509" t="str">
        <f t="shared" si="153"/>
        <v>Africa → South Africa → Johannesburg</v>
      </c>
      <c r="Y509" t="str">
        <f t="shared" si="154"/>
        <v>Medium</v>
      </c>
      <c r="Z509" s="20">
        <f t="shared" si="155"/>
        <v>45383</v>
      </c>
      <c r="AA509" s="4">
        <f t="array" ref="AA509">MIN(IF($F$2:$F$633=F509,$Z$2:$Z$633))</f>
        <v>44927</v>
      </c>
      <c r="AB509">
        <f t="shared" si="156"/>
        <v>15</v>
      </c>
      <c r="AC509">
        <f t="shared" si="157"/>
        <v>0</v>
      </c>
      <c r="AD509">
        <f t="shared" si="158"/>
        <v>0</v>
      </c>
      <c r="AE509" s="13">
        <f t="shared" si="159"/>
        <v>0</v>
      </c>
      <c r="AH509">
        <f t="shared" si="160"/>
        <v>20.399999999999999</v>
      </c>
      <c r="AI509">
        <f t="shared" si="161"/>
        <v>1582.9865</v>
      </c>
      <c r="AJ509" s="11">
        <f t="shared" si="162"/>
        <v>0.185</v>
      </c>
      <c r="AK509">
        <f t="shared" si="163"/>
        <v>24205.959659999997</v>
      </c>
      <c r="AL509">
        <f t="shared" si="164"/>
        <v>32292.924599999998</v>
      </c>
      <c r="AM509">
        <f t="shared" si="165"/>
        <v>-8086.9649400000017</v>
      </c>
    </row>
    <row r="510" spans="1:39" x14ac:dyDescent="0.25">
      <c r="A510" t="s">
        <v>120</v>
      </c>
      <c r="B510" s="4">
        <v>45433</v>
      </c>
      <c r="C510" s="4">
        <v>45439</v>
      </c>
      <c r="D510" s="13">
        <f t="shared" si="146"/>
        <v>6</v>
      </c>
      <c r="E510" s="6" t="s">
        <v>646</v>
      </c>
      <c r="F510" t="s">
        <v>661</v>
      </c>
      <c r="G510" t="s">
        <v>682</v>
      </c>
      <c r="H510" t="s">
        <v>703</v>
      </c>
      <c r="I510" t="s">
        <v>708</v>
      </c>
      <c r="J510" t="s">
        <v>724</v>
      </c>
      <c r="K510" t="s">
        <v>727</v>
      </c>
      <c r="L510" t="s">
        <v>839</v>
      </c>
      <c r="M510" s="8">
        <v>1157.51</v>
      </c>
      <c r="N510" s="8">
        <v>1394.3</v>
      </c>
      <c r="O510" s="8">
        <f t="shared" si="147"/>
        <v>1394.3</v>
      </c>
      <c r="P510" s="11">
        <v>0.27800000000000002</v>
      </c>
      <c r="Q510" s="13">
        <v>12</v>
      </c>
      <c r="R510" s="8">
        <f t="shared" si="148"/>
        <v>12080.215199999999</v>
      </c>
      <c r="S510" s="8">
        <f t="shared" si="149"/>
        <v>13890.119999999999</v>
      </c>
      <c r="T510" s="8">
        <f t="shared" si="150"/>
        <v>-1809.9048000000003</v>
      </c>
      <c r="U510" s="11">
        <f t="shared" si="151"/>
        <v>-0.14982388724333326</v>
      </c>
      <c r="V510" s="17">
        <v>45438</v>
      </c>
      <c r="W510" s="4" t="str">
        <f t="shared" si="152"/>
        <v>Q2-2024</v>
      </c>
      <c r="X510" t="str">
        <f t="shared" si="153"/>
        <v>Africa → South Africa → Johannesburg</v>
      </c>
      <c r="Y510" t="str">
        <f t="shared" si="154"/>
        <v>Medium</v>
      </c>
      <c r="Z510" s="20">
        <f t="shared" si="155"/>
        <v>45413</v>
      </c>
      <c r="AA510" s="4">
        <f t="array" ref="AA510">MIN(IF($F$2:$F$633=F510,$Z$2:$Z$633))</f>
        <v>44927</v>
      </c>
      <c r="AB510">
        <f t="shared" si="156"/>
        <v>16</v>
      </c>
      <c r="AC510">
        <f t="shared" si="157"/>
        <v>1</v>
      </c>
      <c r="AD510">
        <f t="shared" si="158"/>
        <v>1</v>
      </c>
      <c r="AE510" s="13">
        <f t="shared" si="159"/>
        <v>1</v>
      </c>
      <c r="AH510">
        <f t="shared" si="160"/>
        <v>14.399999999999999</v>
      </c>
      <c r="AI510">
        <f t="shared" si="161"/>
        <v>1331.1364999999998</v>
      </c>
      <c r="AJ510" s="11">
        <f t="shared" si="162"/>
        <v>0.25</v>
      </c>
      <c r="AK510">
        <f t="shared" si="163"/>
        <v>15058.439999999999</v>
      </c>
      <c r="AL510">
        <f t="shared" si="164"/>
        <v>19168.365599999997</v>
      </c>
      <c r="AM510">
        <f t="shared" si="165"/>
        <v>-4109.9255999999987</v>
      </c>
    </row>
    <row r="511" spans="1:39" x14ac:dyDescent="0.25">
      <c r="A511" t="s">
        <v>189</v>
      </c>
      <c r="B511" s="4">
        <v>45435</v>
      </c>
      <c r="C511" s="4">
        <v>45446</v>
      </c>
      <c r="D511" s="13">
        <f t="shared" si="146"/>
        <v>11</v>
      </c>
      <c r="E511" s="6" t="s">
        <v>646</v>
      </c>
      <c r="F511" t="s">
        <v>661</v>
      </c>
      <c r="G511" t="s">
        <v>682</v>
      </c>
      <c r="H511" t="s">
        <v>705</v>
      </c>
      <c r="I511" t="s">
        <v>710</v>
      </c>
      <c r="J511" t="s">
        <v>721</v>
      </c>
      <c r="K511" t="s">
        <v>728</v>
      </c>
      <c r="L511" t="s">
        <v>908</v>
      </c>
      <c r="M511" s="8">
        <v>180.89</v>
      </c>
      <c r="N511" s="8">
        <v>249.57</v>
      </c>
      <c r="O511" s="8">
        <f t="shared" si="147"/>
        <v>249.57</v>
      </c>
      <c r="P511" s="11">
        <v>2.1999999999999999E-2</v>
      </c>
      <c r="Q511" s="13">
        <v>8</v>
      </c>
      <c r="R511" s="8">
        <f t="shared" si="148"/>
        <v>1952.6356799999999</v>
      </c>
      <c r="S511" s="8">
        <f t="shared" si="149"/>
        <v>1447.12</v>
      </c>
      <c r="T511" s="8">
        <f t="shared" si="150"/>
        <v>505.51567999999997</v>
      </c>
      <c r="U511" s="11">
        <f t="shared" si="151"/>
        <v>0.25888888806948362</v>
      </c>
      <c r="V511" s="17">
        <v>45430</v>
      </c>
      <c r="W511" s="4" t="str">
        <f t="shared" si="152"/>
        <v>Q2-2024</v>
      </c>
      <c r="X511" t="str">
        <f t="shared" si="153"/>
        <v>Africa → South Africa → Johannesburg</v>
      </c>
      <c r="Y511" t="str">
        <f t="shared" si="154"/>
        <v>Low</v>
      </c>
      <c r="Z511" s="20">
        <f t="shared" si="155"/>
        <v>45413</v>
      </c>
      <c r="AA511" s="4">
        <f t="array" ref="AA511">MIN(IF($F$2:$F$633=F511,$Z$2:$Z$633))</f>
        <v>44927</v>
      </c>
      <c r="AB511">
        <f t="shared" si="156"/>
        <v>16</v>
      </c>
      <c r="AC511">
        <f t="shared" si="157"/>
        <v>0</v>
      </c>
      <c r="AD511">
        <f t="shared" si="158"/>
        <v>0</v>
      </c>
      <c r="AE511" s="13">
        <f t="shared" si="159"/>
        <v>0</v>
      </c>
      <c r="AH511">
        <f t="shared" si="160"/>
        <v>9.6</v>
      </c>
      <c r="AI511">
        <f t="shared" si="161"/>
        <v>208.02349999999996</v>
      </c>
      <c r="AJ511" s="11">
        <f t="shared" si="162"/>
        <v>2.1999999999999999E-2</v>
      </c>
      <c r="AK511">
        <f t="shared" si="163"/>
        <v>2343.162816</v>
      </c>
      <c r="AL511">
        <f t="shared" si="164"/>
        <v>1997.0255999999995</v>
      </c>
      <c r="AM511">
        <f t="shared" si="165"/>
        <v>346.13721600000054</v>
      </c>
    </row>
    <row r="512" spans="1:39" x14ac:dyDescent="0.25">
      <c r="A512" t="s">
        <v>328</v>
      </c>
      <c r="B512" s="4">
        <v>45451</v>
      </c>
      <c r="C512" s="4">
        <v>45467</v>
      </c>
      <c r="D512" s="13">
        <f t="shared" si="146"/>
        <v>16</v>
      </c>
      <c r="E512" s="6" t="s">
        <v>646</v>
      </c>
      <c r="F512" t="s">
        <v>661</v>
      </c>
      <c r="G512" t="s">
        <v>687</v>
      </c>
      <c r="H512" t="s">
        <v>702</v>
      </c>
      <c r="I512" t="s">
        <v>710</v>
      </c>
      <c r="J512" t="s">
        <v>722</v>
      </c>
      <c r="K512" t="s">
        <v>732</v>
      </c>
      <c r="L512" t="s">
        <v>1048</v>
      </c>
      <c r="M512" s="8">
        <v>597.85</v>
      </c>
      <c r="N512" s="8">
        <v>741.92</v>
      </c>
      <c r="O512" s="8">
        <f t="shared" si="147"/>
        <v>741.92</v>
      </c>
      <c r="P512" s="11">
        <v>3.1E-2</v>
      </c>
      <c r="Q512" s="13">
        <v>7</v>
      </c>
      <c r="R512" s="8">
        <f t="shared" si="148"/>
        <v>5032.4433599999993</v>
      </c>
      <c r="S512" s="8">
        <f t="shared" si="149"/>
        <v>4184.95</v>
      </c>
      <c r="T512" s="8">
        <f t="shared" si="150"/>
        <v>847.49335999999948</v>
      </c>
      <c r="U512" s="11">
        <f t="shared" si="151"/>
        <v>0.16840594108544515</v>
      </c>
      <c r="V512" s="17">
        <v>45388</v>
      </c>
      <c r="W512" s="4" t="str">
        <f t="shared" si="152"/>
        <v>Q2-2024</v>
      </c>
      <c r="X512" t="str">
        <f t="shared" si="153"/>
        <v>Africa → South Africa → Durban</v>
      </c>
      <c r="Y512" t="str">
        <f t="shared" si="154"/>
        <v>Low</v>
      </c>
      <c r="Z512" s="20">
        <f t="shared" si="155"/>
        <v>45444</v>
      </c>
      <c r="AA512" s="4">
        <f t="array" ref="AA512">MIN(IF($F$2:$F$633=F512,$Z$2:$Z$633))</f>
        <v>44927</v>
      </c>
      <c r="AB512">
        <f t="shared" si="156"/>
        <v>17</v>
      </c>
      <c r="AC512">
        <f t="shared" si="157"/>
        <v>0</v>
      </c>
      <c r="AD512">
        <f t="shared" si="158"/>
        <v>0</v>
      </c>
      <c r="AE512" s="13">
        <f t="shared" si="159"/>
        <v>0</v>
      </c>
      <c r="AH512">
        <f t="shared" si="160"/>
        <v>8.4</v>
      </c>
      <c r="AI512">
        <f t="shared" si="161"/>
        <v>687.52749999999992</v>
      </c>
      <c r="AJ512" s="11">
        <f t="shared" si="162"/>
        <v>3.1E-2</v>
      </c>
      <c r="AK512">
        <f t="shared" si="163"/>
        <v>6038.9320319999997</v>
      </c>
      <c r="AL512">
        <f t="shared" si="164"/>
        <v>5775.2309999999998</v>
      </c>
      <c r="AM512">
        <f t="shared" si="165"/>
        <v>263.70103199999994</v>
      </c>
    </row>
    <row r="513" spans="1:39" x14ac:dyDescent="0.25">
      <c r="A513" t="s">
        <v>292</v>
      </c>
      <c r="B513" s="4">
        <v>45459</v>
      </c>
      <c r="C513" s="4">
        <v>45476</v>
      </c>
      <c r="D513" s="13">
        <f t="shared" si="146"/>
        <v>17</v>
      </c>
      <c r="E513" s="6" t="s">
        <v>646</v>
      </c>
      <c r="F513" t="s">
        <v>661</v>
      </c>
      <c r="G513" t="s">
        <v>682</v>
      </c>
      <c r="H513" t="s">
        <v>706</v>
      </c>
      <c r="I513" t="s">
        <v>709</v>
      </c>
      <c r="J513" t="s">
        <v>721</v>
      </c>
      <c r="K513" t="s">
        <v>730</v>
      </c>
      <c r="L513" t="s">
        <v>1012</v>
      </c>
      <c r="M513" s="8">
        <v>1173.83</v>
      </c>
      <c r="N513" s="8">
        <v>2328.9</v>
      </c>
      <c r="O513" s="8">
        <f t="shared" si="147"/>
        <v>2328.9</v>
      </c>
      <c r="P513" s="11">
        <v>0.12</v>
      </c>
      <c r="Q513" s="13">
        <v>17</v>
      </c>
      <c r="R513" s="8">
        <f t="shared" si="148"/>
        <v>34840.344000000005</v>
      </c>
      <c r="S513" s="8">
        <f t="shared" si="149"/>
        <v>19955.11</v>
      </c>
      <c r="T513" s="8">
        <f t="shared" si="150"/>
        <v>14885.234000000004</v>
      </c>
      <c r="U513" s="11">
        <f t="shared" si="151"/>
        <v>0.42724130393201637</v>
      </c>
      <c r="V513" s="17">
        <v>45391</v>
      </c>
      <c r="W513" s="4" t="str">
        <f t="shared" si="152"/>
        <v>Q2-2024</v>
      </c>
      <c r="X513" t="str">
        <f t="shared" si="153"/>
        <v>Africa → South Africa → Johannesburg</v>
      </c>
      <c r="Y513" t="str">
        <f t="shared" si="154"/>
        <v>High</v>
      </c>
      <c r="Z513" s="20">
        <f t="shared" si="155"/>
        <v>45444</v>
      </c>
      <c r="AA513" s="4">
        <f t="array" ref="AA513">MIN(IF($F$2:$F$633=F513,$Z$2:$Z$633))</f>
        <v>44927</v>
      </c>
      <c r="AB513">
        <f t="shared" si="156"/>
        <v>17</v>
      </c>
      <c r="AC513">
        <f t="shared" si="157"/>
        <v>0</v>
      </c>
      <c r="AD513">
        <f t="shared" si="158"/>
        <v>0</v>
      </c>
      <c r="AE513" s="13">
        <f t="shared" si="159"/>
        <v>0</v>
      </c>
      <c r="AH513">
        <f t="shared" si="160"/>
        <v>20.399999999999999</v>
      </c>
      <c r="AI513">
        <f t="shared" si="161"/>
        <v>1349.9044999999999</v>
      </c>
      <c r="AJ513" s="11">
        <f t="shared" si="162"/>
        <v>0.12</v>
      </c>
      <c r="AK513">
        <f t="shared" si="163"/>
        <v>41808.412799999998</v>
      </c>
      <c r="AL513">
        <f t="shared" si="164"/>
        <v>27538.051799999994</v>
      </c>
      <c r="AM513">
        <f t="shared" si="165"/>
        <v>14270.361000000004</v>
      </c>
    </row>
    <row r="514" spans="1:39" x14ac:dyDescent="0.25">
      <c r="A514" t="s">
        <v>127</v>
      </c>
      <c r="B514" s="4">
        <v>45472</v>
      </c>
      <c r="C514" s="4">
        <v>45499</v>
      </c>
      <c r="D514" s="13">
        <f t="shared" ref="D514:D577" si="166">C514-B514</f>
        <v>27</v>
      </c>
      <c r="E514" s="6" t="s">
        <v>646</v>
      </c>
      <c r="F514" t="s">
        <v>661</v>
      </c>
      <c r="G514" t="s">
        <v>687</v>
      </c>
      <c r="H514" t="s">
        <v>706</v>
      </c>
      <c r="I514" t="s">
        <v>710</v>
      </c>
      <c r="J514" t="s">
        <v>717</v>
      </c>
      <c r="K514" t="s">
        <v>729</v>
      </c>
      <c r="L514" t="s">
        <v>846</v>
      </c>
      <c r="M514" s="8">
        <v>5.36</v>
      </c>
      <c r="N514" s="8">
        <v>4.37</v>
      </c>
      <c r="O514" s="8">
        <f t="shared" ref="O514:O577" si="167">ABS(N:N)</f>
        <v>4.37</v>
      </c>
      <c r="P514" s="11">
        <v>0.11799999999999999</v>
      </c>
      <c r="Q514" s="13">
        <v>9</v>
      </c>
      <c r="R514" s="8">
        <f t="shared" ref="R514:R577" si="168">O514*Q514*(1-P514)</f>
        <v>34.689059999999998</v>
      </c>
      <c r="S514" s="8">
        <f t="shared" ref="S514:S577" si="169">PRODUCT(M514*Q514)</f>
        <v>48.24</v>
      </c>
      <c r="T514" s="8">
        <f t="shared" ref="T514:T577" si="170">R514-S514</f>
        <v>-13.550940000000004</v>
      </c>
      <c r="U514" s="11">
        <f t="shared" ref="U514:U577" si="171">IF(T514=0, "0", T514/R514)</f>
        <v>-0.39064016148030545</v>
      </c>
      <c r="V514" s="17">
        <v>45385</v>
      </c>
      <c r="W514" s="4" t="str">
        <f t="shared" ref="W514:W577" si="172">"Q"&amp;ROUNDUP(MONTH(B514)/3,0)&amp;"-"&amp;YEAR(B514)</f>
        <v>Q2-2024</v>
      </c>
      <c r="X514" t="str">
        <f t="shared" ref="X514:X577" si="173">E514 &amp; " → " &amp; F514 &amp; " → " &amp; G514</f>
        <v>Africa → South Africa → Durban</v>
      </c>
      <c r="Y514" t="str">
        <f t="shared" ref="Y514:Y577" si="174">IF(O514&lt;=_xlfn.PERCENTILE.INC($O:$O,0.33),"Low",
IF(O514&lt;=_xlfn.PERCENTILE.INC($O:$O,0.67),"Medium","High"))</f>
        <v>Low</v>
      </c>
      <c r="Z514" s="20">
        <f t="shared" ref="Z514:Z577" si="175">DATE(YEAR(B514),MONTH(B514),1)</f>
        <v>45444</v>
      </c>
      <c r="AA514" s="4">
        <f t="array" ref="AA514">MIN(IF($F$2:$F$633=F514,$Z$2:$Z$633))</f>
        <v>44927</v>
      </c>
      <c r="AB514">
        <f t="shared" si="156"/>
        <v>17</v>
      </c>
      <c r="AC514">
        <f t="shared" si="157"/>
        <v>0</v>
      </c>
      <c r="AD514">
        <f t="shared" si="158"/>
        <v>0</v>
      </c>
      <c r="AE514" s="13">
        <f t="shared" si="159"/>
        <v>0</v>
      </c>
      <c r="AH514">
        <f t="shared" si="160"/>
        <v>10.799999999999999</v>
      </c>
      <c r="AI514">
        <f t="shared" si="161"/>
        <v>6.1639999999999997</v>
      </c>
      <c r="AJ514" s="11">
        <f t="shared" si="162"/>
        <v>0.11799999999999999</v>
      </c>
      <c r="AK514">
        <f t="shared" si="163"/>
        <v>41.626871999999999</v>
      </c>
      <c r="AL514">
        <f t="shared" si="164"/>
        <v>66.57119999999999</v>
      </c>
      <c r="AM514">
        <f t="shared" si="165"/>
        <v>-24.944327999999992</v>
      </c>
    </row>
    <row r="515" spans="1:39" x14ac:dyDescent="0.25">
      <c r="A515" t="s">
        <v>49</v>
      </c>
      <c r="B515" s="4">
        <v>45525</v>
      </c>
      <c r="C515" s="4">
        <v>45527</v>
      </c>
      <c r="D515" s="13">
        <f t="shared" si="166"/>
        <v>2</v>
      </c>
      <c r="E515" s="6" t="s">
        <v>646</v>
      </c>
      <c r="F515" t="s">
        <v>661</v>
      </c>
      <c r="G515" t="s">
        <v>682</v>
      </c>
      <c r="H515" t="s">
        <v>702</v>
      </c>
      <c r="I515" t="s">
        <v>707</v>
      </c>
      <c r="J515" t="s">
        <v>718</v>
      </c>
      <c r="K515" t="s">
        <v>727</v>
      </c>
      <c r="L515" t="s">
        <v>768</v>
      </c>
      <c r="M515" s="8">
        <v>1432.52</v>
      </c>
      <c r="N515" s="8">
        <v>3036.87</v>
      </c>
      <c r="O515" s="8">
        <f t="shared" si="167"/>
        <v>3036.87</v>
      </c>
      <c r="P515" s="11">
        <v>0</v>
      </c>
      <c r="Q515" s="13">
        <v>9</v>
      </c>
      <c r="R515" s="8">
        <f t="shared" si="168"/>
        <v>27331.829999999998</v>
      </c>
      <c r="S515" s="8">
        <f t="shared" si="169"/>
        <v>12892.68</v>
      </c>
      <c r="T515" s="8">
        <f t="shared" si="170"/>
        <v>14439.149999999998</v>
      </c>
      <c r="U515" s="11">
        <f t="shared" si="171"/>
        <v>0.52829064135112791</v>
      </c>
      <c r="V515" s="17">
        <v>45323</v>
      </c>
      <c r="W515" s="4" t="str">
        <f t="shared" si="172"/>
        <v>Q3-2024</v>
      </c>
      <c r="X515" t="str">
        <f t="shared" si="173"/>
        <v>Africa → South Africa → Johannesburg</v>
      </c>
      <c r="Y515" t="str">
        <f t="shared" si="174"/>
        <v>High</v>
      </c>
      <c r="Z515" s="20">
        <f t="shared" si="175"/>
        <v>45505</v>
      </c>
      <c r="AA515" s="4">
        <f t="array" ref="AA515">MIN(IF($F$2:$F$633=F515,$Z$2:$Z$633))</f>
        <v>44927</v>
      </c>
      <c r="AB515">
        <f t="shared" ref="AB515:AB578" si="176">DATEDIF(AA515,Z515,"m")</f>
        <v>19</v>
      </c>
      <c r="AC515">
        <f t="shared" ref="AC515:AC578" si="177">IF(D515&lt;=7,1,0)</f>
        <v>1</v>
      </c>
      <c r="AD515">
        <f t="shared" ref="AD515:AD578" si="178">IF(P515&gt;20%,1,0)</f>
        <v>0</v>
      </c>
      <c r="AE515" s="13">
        <f t="shared" ref="AE515:AE578" si="179">IF(D515&lt;=7, 1,0)</f>
        <v>1</v>
      </c>
      <c r="AH515">
        <f t="shared" ref="AH515:AH578" si="180" xml:space="preserve"> Q515 * (1 + $AG$5)</f>
        <v>10.799999999999999</v>
      </c>
      <c r="AI515">
        <f t="shared" ref="AI515:AI578" si="181">M515*(1+$AG$4)</f>
        <v>1647.3979999999999</v>
      </c>
      <c r="AJ515" s="11">
        <f t="shared" ref="AJ515:AJ578" si="182" xml:space="preserve"> MIN(P515, $AG$3)</f>
        <v>0</v>
      </c>
      <c r="AK515">
        <f t="shared" ref="AK515:AK578" si="183">AH515 * O515 * (1-AJ515)</f>
        <v>32798.195999999996</v>
      </c>
      <c r="AL515">
        <f t="shared" ref="AL515:AL578" si="184">AH515 * AI515</f>
        <v>17791.898399999998</v>
      </c>
      <c r="AM515">
        <f t="shared" ref="AM515:AM578" si="185" xml:space="preserve"> AK515 - AL515</f>
        <v>15006.297599999998</v>
      </c>
    </row>
    <row r="516" spans="1:39" x14ac:dyDescent="0.25">
      <c r="A516" t="s">
        <v>413</v>
      </c>
      <c r="B516" s="4">
        <v>45541</v>
      </c>
      <c r="C516" s="4">
        <v>45569</v>
      </c>
      <c r="D516" s="13">
        <f t="shared" si="166"/>
        <v>28</v>
      </c>
      <c r="E516" s="6" t="s">
        <v>646</v>
      </c>
      <c r="F516" t="s">
        <v>661</v>
      </c>
      <c r="G516" t="s">
        <v>695</v>
      </c>
      <c r="H516" t="s">
        <v>701</v>
      </c>
      <c r="I516" t="s">
        <v>709</v>
      </c>
      <c r="J516" t="s">
        <v>726</v>
      </c>
      <c r="K516" t="s">
        <v>732</v>
      </c>
      <c r="L516" t="s">
        <v>1132</v>
      </c>
      <c r="M516" s="8">
        <v>1174.17</v>
      </c>
      <c r="N516" s="8">
        <v>1641.61</v>
      </c>
      <c r="O516" s="8">
        <f t="shared" si="167"/>
        <v>1641.61</v>
      </c>
      <c r="P516" s="11">
        <v>0.122</v>
      </c>
      <c r="Q516" s="13">
        <v>9</v>
      </c>
      <c r="R516" s="8">
        <f t="shared" si="168"/>
        <v>12972.00222</v>
      </c>
      <c r="S516" s="8">
        <f t="shared" si="169"/>
        <v>10567.53</v>
      </c>
      <c r="T516" s="8">
        <f t="shared" si="170"/>
        <v>2404.4722199999997</v>
      </c>
      <c r="U516" s="11">
        <f t="shared" si="171"/>
        <v>0.18535860380079394</v>
      </c>
      <c r="V516" s="17">
        <v>45302</v>
      </c>
      <c r="W516" s="4" t="str">
        <f t="shared" si="172"/>
        <v>Q3-2024</v>
      </c>
      <c r="X516" t="str">
        <f t="shared" si="173"/>
        <v>Africa → South Africa → Cape Town</v>
      </c>
      <c r="Y516" t="str">
        <f t="shared" si="174"/>
        <v>High</v>
      </c>
      <c r="Z516" s="20">
        <f t="shared" si="175"/>
        <v>45536</v>
      </c>
      <c r="AA516" s="4">
        <f t="array" ref="AA516">MIN(IF($F$2:$F$633=F516,$Z$2:$Z$633))</f>
        <v>44927</v>
      </c>
      <c r="AB516">
        <f t="shared" si="176"/>
        <v>20</v>
      </c>
      <c r="AC516">
        <f t="shared" si="177"/>
        <v>0</v>
      </c>
      <c r="AD516">
        <f t="shared" si="178"/>
        <v>0</v>
      </c>
      <c r="AE516" s="13">
        <f t="shared" si="179"/>
        <v>0</v>
      </c>
      <c r="AH516">
        <f t="shared" si="180"/>
        <v>10.799999999999999</v>
      </c>
      <c r="AI516">
        <f t="shared" si="181"/>
        <v>1350.2954999999999</v>
      </c>
      <c r="AJ516" s="11">
        <f t="shared" si="182"/>
        <v>0.122</v>
      </c>
      <c r="AK516">
        <f t="shared" si="183"/>
        <v>15566.402663999996</v>
      </c>
      <c r="AL516">
        <f t="shared" si="184"/>
        <v>14583.191399999998</v>
      </c>
      <c r="AM516">
        <f t="shared" si="185"/>
        <v>983.21126399999775</v>
      </c>
    </row>
    <row r="517" spans="1:39" x14ac:dyDescent="0.25">
      <c r="A517" t="s">
        <v>224</v>
      </c>
      <c r="B517" s="4">
        <v>45567</v>
      </c>
      <c r="C517" s="4">
        <v>45588</v>
      </c>
      <c r="D517" s="13">
        <f t="shared" si="166"/>
        <v>21</v>
      </c>
      <c r="E517" s="6" t="s">
        <v>646</v>
      </c>
      <c r="F517" t="s">
        <v>661</v>
      </c>
      <c r="G517" t="s">
        <v>687</v>
      </c>
      <c r="H517" t="s">
        <v>701</v>
      </c>
      <c r="I517" t="s">
        <v>709</v>
      </c>
      <c r="J517" t="s">
        <v>720</v>
      </c>
      <c r="K517" t="s">
        <v>727</v>
      </c>
      <c r="L517" t="s">
        <v>944</v>
      </c>
      <c r="M517" s="8">
        <v>1095.6099999999999</v>
      </c>
      <c r="N517" s="8">
        <v>2366.5100000000002</v>
      </c>
      <c r="O517" s="8">
        <f t="shared" si="167"/>
        <v>2366.5100000000002</v>
      </c>
      <c r="P517" s="11">
        <v>0.152</v>
      </c>
      <c r="Q517" s="13">
        <v>9</v>
      </c>
      <c r="R517" s="8">
        <f t="shared" si="168"/>
        <v>18061.204320000004</v>
      </c>
      <c r="S517" s="8">
        <f t="shared" si="169"/>
        <v>9860.49</v>
      </c>
      <c r="T517" s="8">
        <f t="shared" si="170"/>
        <v>8200.7143200000046</v>
      </c>
      <c r="U517" s="11">
        <f t="shared" si="171"/>
        <v>0.4540513564158607</v>
      </c>
      <c r="V517" s="17">
        <v>45282</v>
      </c>
      <c r="W517" s="4" t="str">
        <f t="shared" si="172"/>
        <v>Q4-2024</v>
      </c>
      <c r="X517" t="str">
        <f t="shared" si="173"/>
        <v>Africa → South Africa → Durban</v>
      </c>
      <c r="Y517" t="str">
        <f t="shared" si="174"/>
        <v>High</v>
      </c>
      <c r="Z517" s="20">
        <f t="shared" si="175"/>
        <v>45566</v>
      </c>
      <c r="AA517" s="4">
        <f t="array" ref="AA517">MIN(IF($F$2:$F$633=F517,$Z$2:$Z$633))</f>
        <v>44927</v>
      </c>
      <c r="AB517">
        <f t="shared" si="176"/>
        <v>21</v>
      </c>
      <c r="AC517">
        <f t="shared" si="177"/>
        <v>0</v>
      </c>
      <c r="AD517">
        <f t="shared" si="178"/>
        <v>0</v>
      </c>
      <c r="AE517" s="13">
        <f t="shared" si="179"/>
        <v>0</v>
      </c>
      <c r="AH517">
        <f t="shared" si="180"/>
        <v>10.799999999999999</v>
      </c>
      <c r="AI517">
        <f t="shared" si="181"/>
        <v>1259.9514999999999</v>
      </c>
      <c r="AJ517" s="11">
        <f t="shared" si="182"/>
        <v>0.152</v>
      </c>
      <c r="AK517">
        <f t="shared" si="183"/>
        <v>21673.445184</v>
      </c>
      <c r="AL517">
        <f t="shared" si="184"/>
        <v>13607.476199999997</v>
      </c>
      <c r="AM517">
        <f t="shared" si="185"/>
        <v>8065.9689840000028</v>
      </c>
    </row>
    <row r="518" spans="1:39" x14ac:dyDescent="0.25">
      <c r="A518" t="s">
        <v>392</v>
      </c>
      <c r="B518" s="4">
        <v>45664</v>
      </c>
      <c r="C518" s="4">
        <v>45677</v>
      </c>
      <c r="D518" s="13">
        <f t="shared" si="166"/>
        <v>13</v>
      </c>
      <c r="E518" s="6" t="s">
        <v>646</v>
      </c>
      <c r="F518" t="s">
        <v>661</v>
      </c>
      <c r="G518" t="s">
        <v>695</v>
      </c>
      <c r="H518" t="s">
        <v>701</v>
      </c>
      <c r="I518" t="s">
        <v>711</v>
      </c>
      <c r="J518" t="s">
        <v>723</v>
      </c>
      <c r="K518" t="s">
        <v>729</v>
      </c>
      <c r="L518" t="s">
        <v>1112</v>
      </c>
      <c r="M518" s="8">
        <v>432.13</v>
      </c>
      <c r="N518" s="8">
        <v>1034.6600000000001</v>
      </c>
      <c r="O518" s="8">
        <f t="shared" si="167"/>
        <v>1034.6600000000001</v>
      </c>
      <c r="P518" s="11">
        <v>9.1999999999999998E-2</v>
      </c>
      <c r="Q518" s="13">
        <v>7</v>
      </c>
      <c r="R518" s="8">
        <f t="shared" si="168"/>
        <v>6576.298960000001</v>
      </c>
      <c r="S518" s="8">
        <f t="shared" si="169"/>
        <v>3024.91</v>
      </c>
      <c r="T518" s="8">
        <f t="shared" si="170"/>
        <v>3551.3889600000011</v>
      </c>
      <c r="U518" s="11">
        <f t="shared" si="171"/>
        <v>0.54002851476204794</v>
      </c>
      <c r="V518" s="17">
        <v>45162</v>
      </c>
      <c r="W518" s="4" t="str">
        <f t="shared" si="172"/>
        <v>Q1-2025</v>
      </c>
      <c r="X518" t="str">
        <f t="shared" si="173"/>
        <v>Africa → South Africa → Cape Town</v>
      </c>
      <c r="Y518" t="str">
        <f t="shared" si="174"/>
        <v>Medium</v>
      </c>
      <c r="Z518" s="20">
        <f t="shared" si="175"/>
        <v>45658</v>
      </c>
      <c r="AA518" s="4">
        <f t="array" ref="AA518">MIN(IF($F$2:$F$633=F518,$Z$2:$Z$633))</f>
        <v>44927</v>
      </c>
      <c r="AB518">
        <f t="shared" si="176"/>
        <v>24</v>
      </c>
      <c r="AC518">
        <f t="shared" si="177"/>
        <v>0</v>
      </c>
      <c r="AD518">
        <f t="shared" si="178"/>
        <v>0</v>
      </c>
      <c r="AE518" s="13">
        <f t="shared" si="179"/>
        <v>0</v>
      </c>
      <c r="AH518">
        <f t="shared" si="180"/>
        <v>8.4</v>
      </c>
      <c r="AI518">
        <f t="shared" si="181"/>
        <v>496.94949999999994</v>
      </c>
      <c r="AJ518" s="11">
        <f t="shared" si="182"/>
        <v>9.1999999999999998E-2</v>
      </c>
      <c r="AK518">
        <f t="shared" si="183"/>
        <v>7891.5587520000008</v>
      </c>
      <c r="AL518">
        <f t="shared" si="184"/>
        <v>4174.3757999999998</v>
      </c>
      <c r="AM518">
        <f t="shared" si="185"/>
        <v>3717.182952000001</v>
      </c>
    </row>
    <row r="519" spans="1:39" x14ac:dyDescent="0.25">
      <c r="A519" t="s">
        <v>461</v>
      </c>
      <c r="B519" s="4">
        <v>45746</v>
      </c>
      <c r="C519" s="4">
        <v>45776</v>
      </c>
      <c r="D519" s="13">
        <f t="shared" si="166"/>
        <v>30</v>
      </c>
      <c r="E519" s="6" t="s">
        <v>646</v>
      </c>
      <c r="F519" t="s">
        <v>661</v>
      </c>
      <c r="G519" t="s">
        <v>687</v>
      </c>
      <c r="H519" t="s">
        <v>704</v>
      </c>
      <c r="I519" t="s">
        <v>709</v>
      </c>
      <c r="J519" t="s">
        <v>713</v>
      </c>
      <c r="K519" t="s">
        <v>732</v>
      </c>
      <c r="L519" t="s">
        <v>1180</v>
      </c>
      <c r="M519" s="8">
        <v>194.6</v>
      </c>
      <c r="N519" s="8">
        <v>314.87</v>
      </c>
      <c r="O519" s="8">
        <f t="shared" si="167"/>
        <v>314.87</v>
      </c>
      <c r="P519" s="11">
        <v>0.29299999999999998</v>
      </c>
      <c r="Q519" s="13">
        <v>25</v>
      </c>
      <c r="R519" s="8">
        <f t="shared" si="168"/>
        <v>5565.3272500000003</v>
      </c>
      <c r="S519" s="8">
        <f t="shared" si="169"/>
        <v>4865</v>
      </c>
      <c r="T519" s="8">
        <f t="shared" si="170"/>
        <v>700.32725000000028</v>
      </c>
      <c r="U519" s="11">
        <f t="shared" si="171"/>
        <v>0.1258375686712763</v>
      </c>
      <c r="V519" s="17">
        <v>45092</v>
      </c>
      <c r="W519" s="4" t="str">
        <f t="shared" si="172"/>
        <v>Q1-2025</v>
      </c>
      <c r="X519" t="str">
        <f t="shared" si="173"/>
        <v>Africa → South Africa → Durban</v>
      </c>
      <c r="Y519" t="str">
        <f t="shared" si="174"/>
        <v>Low</v>
      </c>
      <c r="Z519" s="20">
        <f t="shared" si="175"/>
        <v>45717</v>
      </c>
      <c r="AA519" s="4">
        <f t="array" ref="AA519">MIN(IF($F$2:$F$633=F519,$Z$2:$Z$633))</f>
        <v>44927</v>
      </c>
      <c r="AB519">
        <f t="shared" si="176"/>
        <v>26</v>
      </c>
      <c r="AC519">
        <f t="shared" si="177"/>
        <v>0</v>
      </c>
      <c r="AD519">
        <f t="shared" si="178"/>
        <v>1</v>
      </c>
      <c r="AE519" s="13">
        <f t="shared" si="179"/>
        <v>0</v>
      </c>
      <c r="AH519">
        <f t="shared" si="180"/>
        <v>30</v>
      </c>
      <c r="AI519">
        <f t="shared" si="181"/>
        <v>223.78999999999996</v>
      </c>
      <c r="AJ519" s="11">
        <f t="shared" si="182"/>
        <v>0.25</v>
      </c>
      <c r="AK519">
        <f t="shared" si="183"/>
        <v>7084.5750000000007</v>
      </c>
      <c r="AL519">
        <f t="shared" si="184"/>
        <v>6713.6999999999989</v>
      </c>
      <c r="AM519">
        <f t="shared" si="185"/>
        <v>370.87500000000182</v>
      </c>
    </row>
    <row r="520" spans="1:39" x14ac:dyDescent="0.25">
      <c r="A520" t="s">
        <v>477</v>
      </c>
      <c r="B520" s="4">
        <v>45757</v>
      </c>
      <c r="C520" s="4">
        <v>45766</v>
      </c>
      <c r="D520" s="13">
        <f t="shared" si="166"/>
        <v>9</v>
      </c>
      <c r="E520" s="6" t="s">
        <v>646</v>
      </c>
      <c r="F520" t="s">
        <v>661</v>
      </c>
      <c r="G520" t="s">
        <v>687</v>
      </c>
      <c r="H520" t="s">
        <v>706</v>
      </c>
      <c r="J520" t="s">
        <v>715</v>
      </c>
      <c r="K520" t="s">
        <v>729</v>
      </c>
      <c r="L520" t="s">
        <v>1196</v>
      </c>
      <c r="M520" s="8">
        <v>113.74</v>
      </c>
      <c r="N520" s="8">
        <v>165.7</v>
      </c>
      <c r="O520" s="8">
        <f t="shared" si="167"/>
        <v>165.7</v>
      </c>
      <c r="P520" s="11">
        <v>0.124</v>
      </c>
      <c r="Q520" s="13">
        <v>13</v>
      </c>
      <c r="R520" s="8">
        <f t="shared" si="168"/>
        <v>1886.9915999999998</v>
      </c>
      <c r="S520" s="8">
        <f t="shared" si="169"/>
        <v>1478.62</v>
      </c>
      <c r="T520" s="8">
        <f t="shared" si="170"/>
        <v>408.37159999999994</v>
      </c>
      <c r="U520" s="11">
        <f t="shared" si="171"/>
        <v>0.21641410592394794</v>
      </c>
      <c r="V520" s="17">
        <v>45080</v>
      </c>
      <c r="W520" s="4" t="str">
        <f t="shared" si="172"/>
        <v>Q2-2025</v>
      </c>
      <c r="X520" t="str">
        <f t="shared" si="173"/>
        <v>Africa → South Africa → Durban</v>
      </c>
      <c r="Y520" t="str">
        <f t="shared" si="174"/>
        <v>Low</v>
      </c>
      <c r="Z520" s="20">
        <f t="shared" si="175"/>
        <v>45748</v>
      </c>
      <c r="AA520" s="4">
        <f t="array" ref="AA520">MIN(IF($F$2:$F$633=F520,$Z$2:$Z$633))</f>
        <v>44927</v>
      </c>
      <c r="AB520">
        <f t="shared" si="176"/>
        <v>27</v>
      </c>
      <c r="AC520">
        <f t="shared" si="177"/>
        <v>0</v>
      </c>
      <c r="AD520">
        <f t="shared" si="178"/>
        <v>0</v>
      </c>
      <c r="AE520" s="13">
        <f t="shared" si="179"/>
        <v>0</v>
      </c>
      <c r="AH520">
        <f t="shared" si="180"/>
        <v>15.6</v>
      </c>
      <c r="AI520">
        <f t="shared" si="181"/>
        <v>130.80099999999999</v>
      </c>
      <c r="AJ520" s="11">
        <f t="shared" si="182"/>
        <v>0.124</v>
      </c>
      <c r="AK520">
        <f t="shared" si="183"/>
        <v>2264.3899199999996</v>
      </c>
      <c r="AL520">
        <f t="shared" si="184"/>
        <v>2040.4955999999997</v>
      </c>
      <c r="AM520">
        <f t="shared" si="185"/>
        <v>223.89431999999988</v>
      </c>
    </row>
    <row r="521" spans="1:39" x14ac:dyDescent="0.25">
      <c r="A521" t="s">
        <v>188</v>
      </c>
      <c r="B521" s="4">
        <v>45796</v>
      </c>
      <c r="C521" s="4">
        <v>45798</v>
      </c>
      <c r="D521" s="13">
        <f t="shared" si="166"/>
        <v>2</v>
      </c>
      <c r="E521" s="6" t="s">
        <v>646</v>
      </c>
      <c r="F521" t="s">
        <v>661</v>
      </c>
      <c r="G521" t="s">
        <v>682</v>
      </c>
      <c r="H521" t="s">
        <v>703</v>
      </c>
      <c r="I521" t="s">
        <v>710</v>
      </c>
      <c r="J521" t="s">
        <v>719</v>
      </c>
      <c r="K521" t="s">
        <v>731</v>
      </c>
      <c r="L521" t="s">
        <v>907</v>
      </c>
      <c r="M521" s="8">
        <v>1263.8399999999999</v>
      </c>
      <c r="N521" s="8">
        <v>2281.7199999999998</v>
      </c>
      <c r="O521" s="8">
        <f t="shared" si="167"/>
        <v>2281.7199999999998</v>
      </c>
      <c r="P521" s="11">
        <v>7.8E-2</v>
      </c>
      <c r="Q521" s="13">
        <v>15</v>
      </c>
      <c r="R521" s="8">
        <f t="shared" si="168"/>
        <v>31556.187599999997</v>
      </c>
      <c r="S521" s="8">
        <f t="shared" si="169"/>
        <v>18957.599999999999</v>
      </c>
      <c r="T521" s="8">
        <f t="shared" si="170"/>
        <v>12598.587599999999</v>
      </c>
      <c r="U521" s="11">
        <f t="shared" si="171"/>
        <v>0.39924301882398494</v>
      </c>
      <c r="V521" s="17">
        <v>45034</v>
      </c>
      <c r="W521" s="4" t="str">
        <f t="shared" si="172"/>
        <v>Q2-2025</v>
      </c>
      <c r="X521" t="str">
        <f t="shared" si="173"/>
        <v>Africa → South Africa → Johannesburg</v>
      </c>
      <c r="Y521" t="str">
        <f t="shared" si="174"/>
        <v>High</v>
      </c>
      <c r="Z521" s="20">
        <f t="shared" si="175"/>
        <v>45778</v>
      </c>
      <c r="AA521" s="4">
        <f t="array" ref="AA521">MIN(IF($F$2:$F$633=F521,$Z$2:$Z$633))</f>
        <v>44927</v>
      </c>
      <c r="AB521">
        <f t="shared" si="176"/>
        <v>28</v>
      </c>
      <c r="AC521">
        <f t="shared" si="177"/>
        <v>1</v>
      </c>
      <c r="AD521">
        <f t="shared" si="178"/>
        <v>0</v>
      </c>
      <c r="AE521" s="13">
        <f t="shared" si="179"/>
        <v>1</v>
      </c>
      <c r="AH521">
        <f t="shared" si="180"/>
        <v>18</v>
      </c>
      <c r="AI521">
        <f t="shared" si="181"/>
        <v>1453.4159999999997</v>
      </c>
      <c r="AJ521" s="11">
        <f t="shared" si="182"/>
        <v>7.8E-2</v>
      </c>
      <c r="AK521">
        <f t="shared" si="183"/>
        <v>37867.42512</v>
      </c>
      <c r="AL521">
        <f t="shared" si="184"/>
        <v>26161.487999999994</v>
      </c>
      <c r="AM521">
        <f t="shared" si="185"/>
        <v>11705.937120000006</v>
      </c>
    </row>
    <row r="522" spans="1:39" x14ac:dyDescent="0.25">
      <c r="A522" t="s">
        <v>404</v>
      </c>
      <c r="B522" s="4">
        <v>45823</v>
      </c>
      <c r="C522" s="4">
        <v>45838</v>
      </c>
      <c r="D522" s="13">
        <f t="shared" si="166"/>
        <v>15</v>
      </c>
      <c r="E522" s="6" t="s">
        <v>646</v>
      </c>
      <c r="F522" t="s">
        <v>661</v>
      </c>
      <c r="G522" t="s">
        <v>682</v>
      </c>
      <c r="H522" t="s">
        <v>705</v>
      </c>
      <c r="I522" t="s">
        <v>711</v>
      </c>
      <c r="J522" t="s">
        <v>712</v>
      </c>
      <c r="K522" t="s">
        <v>732</v>
      </c>
      <c r="L522" t="s">
        <v>1123</v>
      </c>
      <c r="M522" s="8">
        <v>1487.59</v>
      </c>
      <c r="N522" s="8">
        <v>1480.83</v>
      </c>
      <c r="O522" s="8">
        <f t="shared" si="167"/>
        <v>1480.83</v>
      </c>
      <c r="P522" s="11">
        <v>8.9999999999999993E-3</v>
      </c>
      <c r="Q522" s="13">
        <v>11</v>
      </c>
      <c r="R522" s="8">
        <f t="shared" si="168"/>
        <v>16142.527829999999</v>
      </c>
      <c r="S522" s="8">
        <f t="shared" si="169"/>
        <v>16363.49</v>
      </c>
      <c r="T522" s="8">
        <f t="shared" si="170"/>
        <v>-220.9621700000007</v>
      </c>
      <c r="U522" s="11">
        <f t="shared" si="171"/>
        <v>-1.3688201273492908E-2</v>
      </c>
      <c r="V522" s="17">
        <v>45035</v>
      </c>
      <c r="W522" s="4" t="str">
        <f t="shared" si="172"/>
        <v>Q2-2025</v>
      </c>
      <c r="X522" t="str">
        <f t="shared" si="173"/>
        <v>Africa → South Africa → Johannesburg</v>
      </c>
      <c r="Y522" t="str">
        <f t="shared" si="174"/>
        <v>Medium</v>
      </c>
      <c r="Z522" s="20">
        <f t="shared" si="175"/>
        <v>45809</v>
      </c>
      <c r="AA522" s="4">
        <f t="array" ref="AA522">MIN(IF($F$2:$F$633=F522,$Z$2:$Z$633))</f>
        <v>44927</v>
      </c>
      <c r="AB522">
        <f t="shared" si="176"/>
        <v>29</v>
      </c>
      <c r="AC522">
        <f t="shared" si="177"/>
        <v>0</v>
      </c>
      <c r="AD522">
        <f t="shared" si="178"/>
        <v>0</v>
      </c>
      <c r="AE522" s="13">
        <f t="shared" si="179"/>
        <v>0</v>
      </c>
      <c r="AH522">
        <f t="shared" si="180"/>
        <v>13.2</v>
      </c>
      <c r="AI522">
        <f t="shared" si="181"/>
        <v>1710.7284999999997</v>
      </c>
      <c r="AJ522" s="11">
        <f t="shared" si="182"/>
        <v>8.9999999999999993E-3</v>
      </c>
      <c r="AK522">
        <f t="shared" si="183"/>
        <v>19371.033395999999</v>
      </c>
      <c r="AL522">
        <f t="shared" si="184"/>
        <v>22581.616199999997</v>
      </c>
      <c r="AM522">
        <f t="shared" si="185"/>
        <v>-3210.5828039999979</v>
      </c>
    </row>
    <row r="523" spans="1:39" x14ac:dyDescent="0.25">
      <c r="A523" t="s">
        <v>621</v>
      </c>
      <c r="B523" s="4">
        <v>45827</v>
      </c>
      <c r="C523" s="4">
        <v>45829</v>
      </c>
      <c r="D523" s="13">
        <f t="shared" si="166"/>
        <v>2</v>
      </c>
      <c r="E523" s="6" t="s">
        <v>646</v>
      </c>
      <c r="F523" t="s">
        <v>661</v>
      </c>
      <c r="G523" t="s">
        <v>682</v>
      </c>
      <c r="H523" t="s">
        <v>705</v>
      </c>
      <c r="J523" t="s">
        <v>722</v>
      </c>
      <c r="K523" t="s">
        <v>730</v>
      </c>
      <c r="L523" t="s">
        <v>1339</v>
      </c>
      <c r="M523" s="8">
        <v>1466.27</v>
      </c>
      <c r="N523" s="8">
        <v>3589.89</v>
      </c>
      <c r="O523" s="8">
        <f t="shared" si="167"/>
        <v>3589.89</v>
      </c>
      <c r="P523" s="11">
        <v>9.7000000000000003E-2</v>
      </c>
      <c r="Q523" s="13">
        <v>9</v>
      </c>
      <c r="R523" s="8">
        <f t="shared" si="168"/>
        <v>29175.036029999999</v>
      </c>
      <c r="S523" s="8">
        <f t="shared" si="169"/>
        <v>13196.43</v>
      </c>
      <c r="T523" s="8">
        <f t="shared" si="170"/>
        <v>15978.606029999999</v>
      </c>
      <c r="U523" s="11">
        <f t="shared" si="171"/>
        <v>0.54768076425234147</v>
      </c>
      <c r="V523" s="17">
        <v>45022</v>
      </c>
      <c r="W523" s="4" t="str">
        <f t="shared" si="172"/>
        <v>Q2-2025</v>
      </c>
      <c r="X523" t="str">
        <f t="shared" si="173"/>
        <v>Africa → South Africa → Johannesburg</v>
      </c>
      <c r="Y523" t="str">
        <f t="shared" si="174"/>
        <v>High</v>
      </c>
      <c r="Z523" s="20">
        <f t="shared" si="175"/>
        <v>45809</v>
      </c>
      <c r="AA523" s="4">
        <f t="array" ref="AA523">MIN(IF($F$2:$F$633=F523,$Z$2:$Z$633))</f>
        <v>44927</v>
      </c>
      <c r="AB523">
        <f t="shared" si="176"/>
        <v>29</v>
      </c>
      <c r="AC523">
        <f t="shared" si="177"/>
        <v>1</v>
      </c>
      <c r="AD523">
        <f t="shared" si="178"/>
        <v>0</v>
      </c>
      <c r="AE523" s="13">
        <f t="shared" si="179"/>
        <v>1</v>
      </c>
      <c r="AH523">
        <f t="shared" si="180"/>
        <v>10.799999999999999</v>
      </c>
      <c r="AI523">
        <f t="shared" si="181"/>
        <v>1686.2104999999999</v>
      </c>
      <c r="AJ523" s="11">
        <f t="shared" si="182"/>
        <v>9.7000000000000003E-2</v>
      </c>
      <c r="AK523">
        <f t="shared" si="183"/>
        <v>35010.043235999998</v>
      </c>
      <c r="AL523">
        <f t="shared" si="184"/>
        <v>18211.073399999997</v>
      </c>
      <c r="AM523">
        <f t="shared" si="185"/>
        <v>16798.969836</v>
      </c>
    </row>
    <row r="524" spans="1:39" x14ac:dyDescent="0.25">
      <c r="A524" t="s">
        <v>277</v>
      </c>
      <c r="B524" s="4">
        <v>45829</v>
      </c>
      <c r="C524" s="4">
        <v>45835</v>
      </c>
      <c r="D524" s="13">
        <f t="shared" si="166"/>
        <v>6</v>
      </c>
      <c r="E524" s="6" t="s">
        <v>646</v>
      </c>
      <c r="F524" t="s">
        <v>661</v>
      </c>
      <c r="G524" t="s">
        <v>687</v>
      </c>
      <c r="H524" t="s">
        <v>706</v>
      </c>
      <c r="I524" t="s">
        <v>710</v>
      </c>
      <c r="J524" t="s">
        <v>725</v>
      </c>
      <c r="K524" t="s">
        <v>730</v>
      </c>
      <c r="L524" t="s">
        <v>997</v>
      </c>
      <c r="M524" s="8">
        <v>93.91</v>
      </c>
      <c r="N524" s="8">
        <v>99.04</v>
      </c>
      <c r="O524" s="8">
        <f t="shared" si="167"/>
        <v>99.04</v>
      </c>
      <c r="P524" s="11">
        <v>5.7000000000000002E-2</v>
      </c>
      <c r="Q524" s="13">
        <v>6</v>
      </c>
      <c r="R524" s="8">
        <f t="shared" si="168"/>
        <v>560.36831999999993</v>
      </c>
      <c r="S524" s="8">
        <f t="shared" si="169"/>
        <v>563.46</v>
      </c>
      <c r="T524" s="8">
        <f t="shared" si="170"/>
        <v>-3.0916800000001103</v>
      </c>
      <c r="U524" s="11">
        <f t="shared" si="171"/>
        <v>-5.5172283829323376E-3</v>
      </c>
      <c r="V524" s="17">
        <v>45042</v>
      </c>
      <c r="W524" s="4" t="str">
        <f t="shared" si="172"/>
        <v>Q2-2025</v>
      </c>
      <c r="X524" t="str">
        <f t="shared" si="173"/>
        <v>Africa → South Africa → Durban</v>
      </c>
      <c r="Y524" t="str">
        <f t="shared" si="174"/>
        <v>Low</v>
      </c>
      <c r="Z524" s="20">
        <f t="shared" si="175"/>
        <v>45809</v>
      </c>
      <c r="AA524" s="4">
        <f t="array" ref="AA524">MIN(IF($F$2:$F$633=F524,$Z$2:$Z$633))</f>
        <v>44927</v>
      </c>
      <c r="AB524">
        <f t="shared" si="176"/>
        <v>29</v>
      </c>
      <c r="AC524">
        <f t="shared" si="177"/>
        <v>1</v>
      </c>
      <c r="AD524">
        <f t="shared" si="178"/>
        <v>0</v>
      </c>
      <c r="AE524" s="13">
        <f t="shared" si="179"/>
        <v>1</v>
      </c>
      <c r="AH524">
        <f t="shared" si="180"/>
        <v>7.1999999999999993</v>
      </c>
      <c r="AI524">
        <f t="shared" si="181"/>
        <v>107.99649999999998</v>
      </c>
      <c r="AJ524" s="11">
        <f t="shared" si="182"/>
        <v>5.7000000000000002E-2</v>
      </c>
      <c r="AK524">
        <f t="shared" si="183"/>
        <v>672.44198399999993</v>
      </c>
      <c r="AL524">
        <f t="shared" si="184"/>
        <v>777.57479999999975</v>
      </c>
      <c r="AM524">
        <f t="shared" si="185"/>
        <v>-105.13281599999982</v>
      </c>
    </row>
    <row r="525" spans="1:39" x14ac:dyDescent="0.25">
      <c r="A525" t="s">
        <v>548</v>
      </c>
      <c r="B525" s="4">
        <v>45832</v>
      </c>
      <c r="C525" s="4">
        <v>45852</v>
      </c>
      <c r="D525" s="13">
        <f t="shared" si="166"/>
        <v>20</v>
      </c>
      <c r="E525" s="6" t="s">
        <v>646</v>
      </c>
      <c r="F525" t="s">
        <v>661</v>
      </c>
      <c r="G525" t="s">
        <v>682</v>
      </c>
      <c r="H525" t="s">
        <v>706</v>
      </c>
      <c r="I525" t="s">
        <v>709</v>
      </c>
      <c r="J525" t="s">
        <v>713</v>
      </c>
      <c r="K525" t="s">
        <v>731</v>
      </c>
      <c r="L525" t="s">
        <v>1267</v>
      </c>
      <c r="M525" s="8">
        <v>1151.06</v>
      </c>
      <c r="N525" s="8">
        <v>2821.36</v>
      </c>
      <c r="O525" s="8">
        <f t="shared" si="167"/>
        <v>2821.36</v>
      </c>
      <c r="P525" s="11">
        <v>0.248</v>
      </c>
      <c r="Q525" s="13">
        <v>20</v>
      </c>
      <c r="R525" s="8">
        <f t="shared" si="168"/>
        <v>42433.254400000005</v>
      </c>
      <c r="S525" s="8">
        <f t="shared" si="169"/>
        <v>23021.199999999997</v>
      </c>
      <c r="T525" s="8">
        <f t="shared" si="170"/>
        <v>19412.054400000008</v>
      </c>
      <c r="U525" s="11">
        <f t="shared" si="171"/>
        <v>0.45747267501594235</v>
      </c>
      <c r="V525" s="17">
        <v>45012</v>
      </c>
      <c r="W525" s="4" t="str">
        <f t="shared" si="172"/>
        <v>Q2-2025</v>
      </c>
      <c r="X525" t="str">
        <f t="shared" si="173"/>
        <v>Africa → South Africa → Johannesburg</v>
      </c>
      <c r="Y525" t="str">
        <f t="shared" si="174"/>
        <v>High</v>
      </c>
      <c r="Z525" s="20">
        <f t="shared" si="175"/>
        <v>45809</v>
      </c>
      <c r="AA525" s="4">
        <f t="array" ref="AA525">MIN(IF($F$2:$F$633=F525,$Z$2:$Z$633))</f>
        <v>44927</v>
      </c>
      <c r="AB525">
        <f t="shared" si="176"/>
        <v>29</v>
      </c>
      <c r="AC525">
        <f t="shared" si="177"/>
        <v>0</v>
      </c>
      <c r="AD525">
        <f t="shared" si="178"/>
        <v>1</v>
      </c>
      <c r="AE525" s="13">
        <f t="shared" si="179"/>
        <v>0</v>
      </c>
      <c r="AH525">
        <f t="shared" si="180"/>
        <v>24</v>
      </c>
      <c r="AI525">
        <f t="shared" si="181"/>
        <v>1323.7189999999998</v>
      </c>
      <c r="AJ525" s="11">
        <f t="shared" si="182"/>
        <v>0.248</v>
      </c>
      <c r="AK525">
        <f t="shared" si="183"/>
        <v>50919.905279999999</v>
      </c>
      <c r="AL525">
        <f t="shared" si="184"/>
        <v>31769.255999999994</v>
      </c>
      <c r="AM525">
        <f t="shared" si="185"/>
        <v>19150.649280000005</v>
      </c>
    </row>
    <row r="526" spans="1:39" x14ac:dyDescent="0.25">
      <c r="A526" t="s">
        <v>237</v>
      </c>
      <c r="B526" s="4">
        <v>45854</v>
      </c>
      <c r="C526" s="4">
        <v>45855</v>
      </c>
      <c r="D526" s="13">
        <f t="shared" si="166"/>
        <v>1</v>
      </c>
      <c r="E526" s="6" t="s">
        <v>646</v>
      </c>
      <c r="F526" t="s">
        <v>661</v>
      </c>
      <c r="G526" t="s">
        <v>687</v>
      </c>
      <c r="H526" t="s">
        <v>705</v>
      </c>
      <c r="I526" t="s">
        <v>710</v>
      </c>
      <c r="J526" t="s">
        <v>717</v>
      </c>
      <c r="K526" t="s">
        <v>729</v>
      </c>
      <c r="L526" t="s">
        <v>957</v>
      </c>
      <c r="M526" s="8">
        <v>1198.9000000000001</v>
      </c>
      <c r="N526" s="8">
        <v>2941.2</v>
      </c>
      <c r="O526" s="8">
        <f t="shared" si="167"/>
        <v>2941.2</v>
      </c>
      <c r="P526" s="11">
        <v>5.0999999999999997E-2</v>
      </c>
      <c r="Q526" s="13">
        <v>24</v>
      </c>
      <c r="R526" s="8">
        <f t="shared" si="168"/>
        <v>66988.771199999988</v>
      </c>
      <c r="S526" s="8">
        <f t="shared" si="169"/>
        <v>28773.600000000002</v>
      </c>
      <c r="T526" s="8">
        <f t="shared" si="170"/>
        <v>38215.171199999982</v>
      </c>
      <c r="U526" s="11">
        <f t="shared" si="171"/>
        <v>0.57047129713583977</v>
      </c>
      <c r="V526" s="17">
        <v>45002</v>
      </c>
      <c r="W526" s="4" t="str">
        <f t="shared" si="172"/>
        <v>Q3-2025</v>
      </c>
      <c r="X526" t="str">
        <f t="shared" si="173"/>
        <v>Africa → South Africa → Durban</v>
      </c>
      <c r="Y526" t="str">
        <f t="shared" si="174"/>
        <v>High</v>
      </c>
      <c r="Z526" s="20">
        <f t="shared" si="175"/>
        <v>45839</v>
      </c>
      <c r="AA526" s="4">
        <f t="array" ref="AA526">MIN(IF($F$2:$F$633=F526,$Z$2:$Z$633))</f>
        <v>44927</v>
      </c>
      <c r="AB526">
        <f t="shared" si="176"/>
        <v>30</v>
      </c>
      <c r="AC526">
        <f t="shared" si="177"/>
        <v>1</v>
      </c>
      <c r="AD526">
        <f t="shared" si="178"/>
        <v>0</v>
      </c>
      <c r="AE526" s="13">
        <f t="shared" si="179"/>
        <v>1</v>
      </c>
      <c r="AH526">
        <f t="shared" si="180"/>
        <v>28.799999999999997</v>
      </c>
      <c r="AI526">
        <f t="shared" si="181"/>
        <v>1378.7349999999999</v>
      </c>
      <c r="AJ526" s="11">
        <f t="shared" si="182"/>
        <v>5.0999999999999997E-2</v>
      </c>
      <c r="AK526">
        <f t="shared" si="183"/>
        <v>80386.525439999983</v>
      </c>
      <c r="AL526">
        <f t="shared" si="184"/>
        <v>39707.567999999992</v>
      </c>
      <c r="AM526">
        <f t="shared" si="185"/>
        <v>40678.957439999991</v>
      </c>
    </row>
    <row r="527" spans="1:39" x14ac:dyDescent="0.25">
      <c r="A527" t="s">
        <v>47</v>
      </c>
      <c r="B527" s="4">
        <v>45862</v>
      </c>
      <c r="C527" s="4">
        <v>45875</v>
      </c>
      <c r="D527" s="13">
        <f t="shared" si="166"/>
        <v>13</v>
      </c>
      <c r="E527" s="6" t="s">
        <v>646</v>
      </c>
      <c r="F527" t="s">
        <v>661</v>
      </c>
      <c r="G527" t="s">
        <v>682</v>
      </c>
      <c r="H527" t="s">
        <v>702</v>
      </c>
      <c r="I527" t="s">
        <v>709</v>
      </c>
      <c r="J527" t="s">
        <v>726</v>
      </c>
      <c r="K527" t="s">
        <v>729</v>
      </c>
      <c r="L527" t="s">
        <v>766</v>
      </c>
      <c r="M527" s="8">
        <v>1463.9</v>
      </c>
      <c r="N527" s="8">
        <v>2633.02</v>
      </c>
      <c r="O527" s="8">
        <f t="shared" si="167"/>
        <v>2633.02</v>
      </c>
      <c r="P527" s="11">
        <v>8.4000000000000005E-2</v>
      </c>
      <c r="Q527" s="13">
        <v>4</v>
      </c>
      <c r="R527" s="8">
        <f t="shared" si="168"/>
        <v>9647.3852800000004</v>
      </c>
      <c r="S527" s="8">
        <f t="shared" si="169"/>
        <v>5855.6</v>
      </c>
      <c r="T527" s="8">
        <f t="shared" si="170"/>
        <v>3791.7852800000001</v>
      </c>
      <c r="U527" s="11">
        <f t="shared" si="171"/>
        <v>0.39303761277791527</v>
      </c>
      <c r="V527" s="17">
        <v>44980</v>
      </c>
      <c r="W527" s="4" t="str">
        <f t="shared" si="172"/>
        <v>Q3-2025</v>
      </c>
      <c r="X527" t="str">
        <f t="shared" si="173"/>
        <v>Africa → South Africa → Johannesburg</v>
      </c>
      <c r="Y527" t="str">
        <f t="shared" si="174"/>
        <v>High</v>
      </c>
      <c r="Z527" s="20">
        <f t="shared" si="175"/>
        <v>45839</v>
      </c>
      <c r="AA527" s="4">
        <f t="array" ref="AA527">MIN(IF($F$2:$F$633=F527,$Z$2:$Z$633))</f>
        <v>44927</v>
      </c>
      <c r="AB527">
        <f t="shared" si="176"/>
        <v>30</v>
      </c>
      <c r="AC527">
        <f t="shared" si="177"/>
        <v>0</v>
      </c>
      <c r="AD527">
        <f t="shared" si="178"/>
        <v>0</v>
      </c>
      <c r="AE527" s="13">
        <f t="shared" si="179"/>
        <v>0</v>
      </c>
      <c r="AH527">
        <f t="shared" si="180"/>
        <v>4.8</v>
      </c>
      <c r="AI527">
        <f t="shared" si="181"/>
        <v>1683.4849999999999</v>
      </c>
      <c r="AJ527" s="11">
        <f t="shared" si="182"/>
        <v>8.4000000000000005E-2</v>
      </c>
      <c r="AK527">
        <f t="shared" si="183"/>
        <v>11576.862336</v>
      </c>
      <c r="AL527">
        <f t="shared" si="184"/>
        <v>8080.7279999999992</v>
      </c>
      <c r="AM527">
        <f t="shared" si="185"/>
        <v>3496.134336000001</v>
      </c>
    </row>
    <row r="528" spans="1:39" x14ac:dyDescent="0.25">
      <c r="A528" t="s">
        <v>412</v>
      </c>
      <c r="B528" s="4">
        <v>45914</v>
      </c>
      <c r="C528" s="4">
        <v>45923</v>
      </c>
      <c r="D528" s="13">
        <f t="shared" si="166"/>
        <v>9</v>
      </c>
      <c r="E528" s="6" t="s">
        <v>646</v>
      </c>
      <c r="F528" t="s">
        <v>661</v>
      </c>
      <c r="G528" t="s">
        <v>687</v>
      </c>
      <c r="H528" t="s">
        <v>703</v>
      </c>
      <c r="I528" t="s">
        <v>708</v>
      </c>
      <c r="J528" t="s">
        <v>726</v>
      </c>
      <c r="K528" t="s">
        <v>727</v>
      </c>
      <c r="L528" t="s">
        <v>1131</v>
      </c>
      <c r="M528" s="8">
        <v>1310.3</v>
      </c>
      <c r="N528" s="8">
        <v>2875.8</v>
      </c>
      <c r="O528" s="8">
        <f t="shared" si="167"/>
        <v>2875.8</v>
      </c>
      <c r="P528" s="11">
        <v>8.3000000000000004E-2</v>
      </c>
      <c r="Q528" s="13">
        <v>5</v>
      </c>
      <c r="R528" s="8">
        <f t="shared" si="168"/>
        <v>13185.543</v>
      </c>
      <c r="S528" s="8">
        <f t="shared" si="169"/>
        <v>6551.5</v>
      </c>
      <c r="T528" s="8">
        <f t="shared" si="170"/>
        <v>6634.0429999999997</v>
      </c>
      <c r="U528" s="11">
        <f t="shared" si="171"/>
        <v>0.50313005691157353</v>
      </c>
      <c r="V528" s="17">
        <v>44939</v>
      </c>
      <c r="W528" s="4" t="str">
        <f t="shared" si="172"/>
        <v>Q3-2025</v>
      </c>
      <c r="X528" t="str">
        <f t="shared" si="173"/>
        <v>Africa → South Africa → Durban</v>
      </c>
      <c r="Y528" t="str">
        <f t="shared" si="174"/>
        <v>High</v>
      </c>
      <c r="Z528" s="20">
        <f t="shared" si="175"/>
        <v>45901</v>
      </c>
      <c r="AA528" s="4">
        <f t="array" ref="AA528">MIN(IF($F$2:$F$633=F528,$Z$2:$Z$633))</f>
        <v>44927</v>
      </c>
      <c r="AB528">
        <f t="shared" si="176"/>
        <v>32</v>
      </c>
      <c r="AC528">
        <f t="shared" si="177"/>
        <v>0</v>
      </c>
      <c r="AD528">
        <f t="shared" si="178"/>
        <v>0</v>
      </c>
      <c r="AE528" s="13">
        <f t="shared" si="179"/>
        <v>0</v>
      </c>
      <c r="AH528">
        <f t="shared" si="180"/>
        <v>6</v>
      </c>
      <c r="AI528">
        <f t="shared" si="181"/>
        <v>1506.8449999999998</v>
      </c>
      <c r="AJ528" s="11">
        <f t="shared" si="182"/>
        <v>8.3000000000000004E-2</v>
      </c>
      <c r="AK528">
        <f t="shared" si="183"/>
        <v>15822.651600000003</v>
      </c>
      <c r="AL528">
        <f t="shared" si="184"/>
        <v>9041.07</v>
      </c>
      <c r="AM528">
        <f t="shared" si="185"/>
        <v>6781.5816000000032</v>
      </c>
    </row>
    <row r="529" spans="1:39" x14ac:dyDescent="0.25">
      <c r="A529" t="s">
        <v>465</v>
      </c>
      <c r="B529" s="4">
        <v>44945</v>
      </c>
      <c r="C529" s="4">
        <v>44960</v>
      </c>
      <c r="D529" s="13">
        <f t="shared" si="166"/>
        <v>15</v>
      </c>
      <c r="E529" s="6" t="s">
        <v>649</v>
      </c>
      <c r="F529" t="s">
        <v>658</v>
      </c>
      <c r="G529" t="s">
        <v>683</v>
      </c>
      <c r="H529" t="s">
        <v>706</v>
      </c>
      <c r="I529" t="s">
        <v>710</v>
      </c>
      <c r="J529" t="s">
        <v>715</v>
      </c>
      <c r="K529" t="s">
        <v>733</v>
      </c>
      <c r="L529" t="s">
        <v>1184</v>
      </c>
      <c r="M529" s="8">
        <v>873.06</v>
      </c>
      <c r="N529" s="8">
        <v>2101.5500000000002</v>
      </c>
      <c r="O529" s="8">
        <f t="shared" si="167"/>
        <v>2101.5500000000002</v>
      </c>
      <c r="P529" s="11">
        <v>6.6000000000000003E-2</v>
      </c>
      <c r="Q529" s="13">
        <v>10</v>
      </c>
      <c r="R529" s="8">
        <f t="shared" si="168"/>
        <v>19628.476999999999</v>
      </c>
      <c r="S529" s="8">
        <f t="shared" si="169"/>
        <v>8730.5999999999985</v>
      </c>
      <c r="T529" s="8">
        <f t="shared" si="170"/>
        <v>10897.877</v>
      </c>
      <c r="U529" s="11">
        <f t="shared" si="171"/>
        <v>0.55520746719167269</v>
      </c>
      <c r="V529" s="17">
        <v>45915</v>
      </c>
      <c r="W529" s="4" t="str">
        <f t="shared" si="172"/>
        <v>Q1-2023</v>
      </c>
      <c r="X529" t="str">
        <f t="shared" si="173"/>
        <v>Europe → United Kingdom → London</v>
      </c>
      <c r="Y529" t="str">
        <f t="shared" si="174"/>
        <v>High</v>
      </c>
      <c r="Z529" s="20">
        <f t="shared" si="175"/>
        <v>44927</v>
      </c>
      <c r="AA529" s="4">
        <f t="array" ref="AA529">MIN(IF($F$2:$F$633=F529,$Z$2:$Z$633))</f>
        <v>44927</v>
      </c>
      <c r="AB529">
        <f t="shared" si="176"/>
        <v>0</v>
      </c>
      <c r="AC529">
        <f t="shared" si="177"/>
        <v>0</v>
      </c>
      <c r="AD529">
        <f t="shared" si="178"/>
        <v>0</v>
      </c>
      <c r="AE529" s="13">
        <f t="shared" si="179"/>
        <v>0</v>
      </c>
      <c r="AH529">
        <f t="shared" si="180"/>
        <v>12</v>
      </c>
      <c r="AI529">
        <f t="shared" si="181"/>
        <v>1004.0189999999999</v>
      </c>
      <c r="AJ529" s="11">
        <f t="shared" si="182"/>
        <v>6.6000000000000003E-2</v>
      </c>
      <c r="AK529">
        <f t="shared" si="183"/>
        <v>23554.172399999999</v>
      </c>
      <c r="AL529">
        <f t="shared" si="184"/>
        <v>12048.227999999999</v>
      </c>
      <c r="AM529">
        <f t="shared" si="185"/>
        <v>11505.9444</v>
      </c>
    </row>
    <row r="530" spans="1:39" x14ac:dyDescent="0.25">
      <c r="A530" t="s">
        <v>147</v>
      </c>
      <c r="B530" s="4">
        <v>44953</v>
      </c>
      <c r="C530" s="4">
        <v>44957</v>
      </c>
      <c r="D530" s="13">
        <f t="shared" si="166"/>
        <v>4</v>
      </c>
      <c r="E530" s="6" t="s">
        <v>649</v>
      </c>
      <c r="F530" t="s">
        <v>658</v>
      </c>
      <c r="G530" t="s">
        <v>693</v>
      </c>
      <c r="H530" t="s">
        <v>706</v>
      </c>
      <c r="I530" t="s">
        <v>708</v>
      </c>
      <c r="J530" t="s">
        <v>725</v>
      </c>
      <c r="K530" t="s">
        <v>731</v>
      </c>
      <c r="L530" t="s">
        <v>866</v>
      </c>
      <c r="M530" s="8">
        <v>941.2</v>
      </c>
      <c r="N530" s="8">
        <v>668.02</v>
      </c>
      <c r="O530" s="8">
        <f t="shared" si="167"/>
        <v>668.02</v>
      </c>
      <c r="P530" s="11">
        <v>0.22</v>
      </c>
      <c r="Q530" s="13">
        <v>16</v>
      </c>
      <c r="R530" s="8">
        <f t="shared" si="168"/>
        <v>8336.8896000000004</v>
      </c>
      <c r="S530" s="8">
        <f t="shared" si="169"/>
        <v>15059.2</v>
      </c>
      <c r="T530" s="8">
        <f t="shared" si="170"/>
        <v>-6722.3104000000003</v>
      </c>
      <c r="U530" s="11">
        <f t="shared" si="171"/>
        <v>-0.80633314371825193</v>
      </c>
      <c r="V530" s="17">
        <v>45908</v>
      </c>
      <c r="W530" s="4" t="str">
        <f t="shared" si="172"/>
        <v>Q1-2023</v>
      </c>
      <c r="X530" t="str">
        <f t="shared" si="173"/>
        <v>Europe → United Kingdom → Manchester</v>
      </c>
      <c r="Y530" t="str">
        <f t="shared" si="174"/>
        <v>Low</v>
      </c>
      <c r="Z530" s="20">
        <f t="shared" si="175"/>
        <v>44927</v>
      </c>
      <c r="AA530" s="4">
        <f t="array" ref="AA530">MIN(IF($F$2:$F$633=F530,$Z$2:$Z$633))</f>
        <v>44927</v>
      </c>
      <c r="AB530">
        <f t="shared" si="176"/>
        <v>0</v>
      </c>
      <c r="AC530">
        <f t="shared" si="177"/>
        <v>1</v>
      </c>
      <c r="AD530">
        <f t="shared" si="178"/>
        <v>1</v>
      </c>
      <c r="AE530" s="13">
        <f t="shared" si="179"/>
        <v>1</v>
      </c>
      <c r="AH530">
        <f t="shared" si="180"/>
        <v>19.2</v>
      </c>
      <c r="AI530">
        <f t="shared" si="181"/>
        <v>1082.3799999999999</v>
      </c>
      <c r="AJ530" s="11">
        <f t="shared" si="182"/>
        <v>0.22</v>
      </c>
      <c r="AK530">
        <f t="shared" si="183"/>
        <v>10004.267519999999</v>
      </c>
      <c r="AL530">
        <f t="shared" si="184"/>
        <v>20781.695999999996</v>
      </c>
      <c r="AM530">
        <f t="shared" si="185"/>
        <v>-10777.428479999997</v>
      </c>
    </row>
    <row r="531" spans="1:39" x14ac:dyDescent="0.25">
      <c r="A531" t="s">
        <v>364</v>
      </c>
      <c r="B531" s="4">
        <v>44980</v>
      </c>
      <c r="C531" s="4">
        <v>44993</v>
      </c>
      <c r="D531" s="13">
        <f t="shared" si="166"/>
        <v>13</v>
      </c>
      <c r="E531" s="6" t="s">
        <v>649</v>
      </c>
      <c r="F531" t="s">
        <v>658</v>
      </c>
      <c r="G531" t="s">
        <v>693</v>
      </c>
      <c r="H531" t="s">
        <v>705</v>
      </c>
      <c r="I531" t="s">
        <v>711</v>
      </c>
      <c r="J531" t="s">
        <v>712</v>
      </c>
      <c r="K531" t="s">
        <v>728</v>
      </c>
      <c r="L531" t="s">
        <v>1084</v>
      </c>
      <c r="M531" s="8">
        <v>307.37</v>
      </c>
      <c r="N531" s="8">
        <v>462.61</v>
      </c>
      <c r="O531" s="8">
        <f t="shared" si="167"/>
        <v>462.61</v>
      </c>
      <c r="P531" s="11">
        <v>0.188</v>
      </c>
      <c r="Q531" s="13">
        <v>11</v>
      </c>
      <c r="R531" s="8">
        <f t="shared" si="168"/>
        <v>4132.0325200000007</v>
      </c>
      <c r="S531" s="8">
        <f t="shared" si="169"/>
        <v>3381.07</v>
      </c>
      <c r="T531" s="8">
        <f t="shared" si="170"/>
        <v>750.9625200000005</v>
      </c>
      <c r="U531" s="11">
        <f t="shared" si="171"/>
        <v>0.18174167709599739</v>
      </c>
      <c r="V531" s="17">
        <v>45889</v>
      </c>
      <c r="W531" s="4" t="str">
        <f t="shared" si="172"/>
        <v>Q1-2023</v>
      </c>
      <c r="X531" t="str">
        <f t="shared" si="173"/>
        <v>Europe → United Kingdom → Manchester</v>
      </c>
      <c r="Y531" t="str">
        <f t="shared" si="174"/>
        <v>Low</v>
      </c>
      <c r="Z531" s="20">
        <f t="shared" si="175"/>
        <v>44958</v>
      </c>
      <c r="AA531" s="4">
        <f t="array" ref="AA531">MIN(IF($F$2:$F$633=F531,$Z$2:$Z$633))</f>
        <v>44927</v>
      </c>
      <c r="AB531">
        <f t="shared" si="176"/>
        <v>1</v>
      </c>
      <c r="AC531">
        <f t="shared" si="177"/>
        <v>0</v>
      </c>
      <c r="AD531">
        <f t="shared" si="178"/>
        <v>0</v>
      </c>
      <c r="AE531" s="13">
        <f t="shared" si="179"/>
        <v>0</v>
      </c>
      <c r="AH531">
        <f t="shared" si="180"/>
        <v>13.2</v>
      </c>
      <c r="AI531">
        <f t="shared" si="181"/>
        <v>353.47549999999995</v>
      </c>
      <c r="AJ531" s="11">
        <f t="shared" si="182"/>
        <v>0.188</v>
      </c>
      <c r="AK531">
        <f t="shared" si="183"/>
        <v>4958.4390240000002</v>
      </c>
      <c r="AL531">
        <f t="shared" si="184"/>
        <v>4665.8765999999987</v>
      </c>
      <c r="AM531">
        <f t="shared" si="185"/>
        <v>292.56242400000156</v>
      </c>
    </row>
    <row r="532" spans="1:39" x14ac:dyDescent="0.25">
      <c r="A532" t="s">
        <v>81</v>
      </c>
      <c r="B532" s="4">
        <v>45004</v>
      </c>
      <c r="C532" s="4">
        <v>45025</v>
      </c>
      <c r="D532" s="13">
        <f t="shared" si="166"/>
        <v>21</v>
      </c>
      <c r="E532" s="6" t="s">
        <v>649</v>
      </c>
      <c r="F532" t="s">
        <v>658</v>
      </c>
      <c r="G532" t="s">
        <v>693</v>
      </c>
      <c r="H532" t="s">
        <v>704</v>
      </c>
      <c r="I532" t="s">
        <v>707</v>
      </c>
      <c r="J532" t="s">
        <v>716</v>
      </c>
      <c r="K532" t="s">
        <v>733</v>
      </c>
      <c r="L532" t="s">
        <v>800</v>
      </c>
      <c r="M532" s="8">
        <v>1082.17</v>
      </c>
      <c r="N532" s="8">
        <v>1234.0999999999999</v>
      </c>
      <c r="O532" s="8">
        <f t="shared" si="167"/>
        <v>1234.0999999999999</v>
      </c>
      <c r="P532" s="11">
        <v>0.189</v>
      </c>
      <c r="Q532" s="13">
        <v>16</v>
      </c>
      <c r="R532" s="8">
        <f t="shared" si="168"/>
        <v>16013.681599999998</v>
      </c>
      <c r="S532" s="8">
        <f t="shared" si="169"/>
        <v>17314.72</v>
      </c>
      <c r="T532" s="8">
        <f t="shared" si="170"/>
        <v>-1301.0384000000031</v>
      </c>
      <c r="U532" s="11">
        <f t="shared" si="171"/>
        <v>-8.124542703534228E-2</v>
      </c>
      <c r="V532" s="17">
        <v>45849</v>
      </c>
      <c r="W532" s="4" t="str">
        <f t="shared" si="172"/>
        <v>Q1-2023</v>
      </c>
      <c r="X532" t="str">
        <f t="shared" si="173"/>
        <v>Europe → United Kingdom → Manchester</v>
      </c>
      <c r="Y532" t="str">
        <f t="shared" si="174"/>
        <v>Medium</v>
      </c>
      <c r="Z532" s="20">
        <f t="shared" si="175"/>
        <v>44986</v>
      </c>
      <c r="AA532" s="4">
        <f t="array" ref="AA532">MIN(IF($F$2:$F$633=F532,$Z$2:$Z$633))</f>
        <v>44927</v>
      </c>
      <c r="AB532">
        <f t="shared" si="176"/>
        <v>2</v>
      </c>
      <c r="AC532">
        <f t="shared" si="177"/>
        <v>0</v>
      </c>
      <c r="AD532">
        <f t="shared" si="178"/>
        <v>0</v>
      </c>
      <c r="AE532" s="13">
        <f t="shared" si="179"/>
        <v>0</v>
      </c>
      <c r="AH532">
        <f t="shared" si="180"/>
        <v>19.2</v>
      </c>
      <c r="AI532">
        <f t="shared" si="181"/>
        <v>1244.4955</v>
      </c>
      <c r="AJ532" s="11">
        <f t="shared" si="182"/>
        <v>0.189</v>
      </c>
      <c r="AK532">
        <f t="shared" si="183"/>
        <v>19216.417919999996</v>
      </c>
      <c r="AL532">
        <f t="shared" si="184"/>
        <v>23894.313599999998</v>
      </c>
      <c r="AM532">
        <f t="shared" si="185"/>
        <v>-4677.8956800000014</v>
      </c>
    </row>
    <row r="533" spans="1:39" x14ac:dyDescent="0.25">
      <c r="A533" t="s">
        <v>110</v>
      </c>
      <c r="B533" s="4">
        <v>45022</v>
      </c>
      <c r="C533" s="4">
        <v>45043</v>
      </c>
      <c r="D533" s="13">
        <f t="shared" si="166"/>
        <v>21</v>
      </c>
      <c r="E533" s="6" t="s">
        <v>649</v>
      </c>
      <c r="F533" t="s">
        <v>658</v>
      </c>
      <c r="G533" t="s">
        <v>693</v>
      </c>
      <c r="H533" t="s">
        <v>706</v>
      </c>
      <c r="I533" t="s">
        <v>710</v>
      </c>
      <c r="J533" t="s">
        <v>714</v>
      </c>
      <c r="K533" t="s">
        <v>728</v>
      </c>
      <c r="L533" t="s">
        <v>829</v>
      </c>
      <c r="M533" s="8">
        <v>1084.79</v>
      </c>
      <c r="N533" s="8">
        <v>2484.9899999999998</v>
      </c>
      <c r="O533" s="8">
        <f t="shared" si="167"/>
        <v>2484.9899999999998</v>
      </c>
      <c r="P533" s="11">
        <v>3.4000000000000002E-2</v>
      </c>
      <c r="Q533" s="13">
        <v>18</v>
      </c>
      <c r="R533" s="8">
        <f t="shared" si="168"/>
        <v>43209.006119999991</v>
      </c>
      <c r="S533" s="8">
        <f t="shared" si="169"/>
        <v>19526.22</v>
      </c>
      <c r="T533" s="8">
        <f t="shared" si="170"/>
        <v>23682.78611999999</v>
      </c>
      <c r="U533" s="11">
        <f t="shared" si="171"/>
        <v>0.54809837685755114</v>
      </c>
      <c r="V533" s="17">
        <v>45832</v>
      </c>
      <c r="W533" s="4" t="str">
        <f t="shared" si="172"/>
        <v>Q2-2023</v>
      </c>
      <c r="X533" t="str">
        <f t="shared" si="173"/>
        <v>Europe → United Kingdom → Manchester</v>
      </c>
      <c r="Y533" t="str">
        <f t="shared" si="174"/>
        <v>High</v>
      </c>
      <c r="Z533" s="20">
        <f t="shared" si="175"/>
        <v>45017</v>
      </c>
      <c r="AA533" s="4">
        <f t="array" ref="AA533">MIN(IF($F$2:$F$633=F533,$Z$2:$Z$633))</f>
        <v>44927</v>
      </c>
      <c r="AB533">
        <f t="shared" si="176"/>
        <v>3</v>
      </c>
      <c r="AC533">
        <f t="shared" si="177"/>
        <v>0</v>
      </c>
      <c r="AD533">
        <f t="shared" si="178"/>
        <v>0</v>
      </c>
      <c r="AE533" s="13">
        <f t="shared" si="179"/>
        <v>0</v>
      </c>
      <c r="AH533">
        <f t="shared" si="180"/>
        <v>21.599999999999998</v>
      </c>
      <c r="AI533">
        <f t="shared" si="181"/>
        <v>1247.5084999999999</v>
      </c>
      <c r="AJ533" s="11">
        <f t="shared" si="182"/>
        <v>3.4000000000000002E-2</v>
      </c>
      <c r="AK533">
        <f t="shared" si="183"/>
        <v>51850.807343999993</v>
      </c>
      <c r="AL533">
        <f t="shared" si="184"/>
        <v>26946.183599999997</v>
      </c>
      <c r="AM533">
        <f t="shared" si="185"/>
        <v>24904.623743999997</v>
      </c>
    </row>
    <row r="534" spans="1:39" x14ac:dyDescent="0.25">
      <c r="A534" t="s">
        <v>618</v>
      </c>
      <c r="B534" s="4">
        <v>45026</v>
      </c>
      <c r="C534" s="4">
        <v>45041</v>
      </c>
      <c r="D534" s="13">
        <f t="shared" si="166"/>
        <v>15</v>
      </c>
      <c r="E534" s="6" t="s">
        <v>649</v>
      </c>
      <c r="F534" t="s">
        <v>658</v>
      </c>
      <c r="G534" t="s">
        <v>683</v>
      </c>
      <c r="H534" t="s">
        <v>705</v>
      </c>
      <c r="I534" t="s">
        <v>707</v>
      </c>
      <c r="J534" t="s">
        <v>726</v>
      </c>
      <c r="K534" t="s">
        <v>728</v>
      </c>
      <c r="L534" t="s">
        <v>1336</v>
      </c>
      <c r="M534" s="8">
        <v>405.66</v>
      </c>
      <c r="N534" s="8">
        <v>962.51</v>
      </c>
      <c r="O534" s="8">
        <f t="shared" si="167"/>
        <v>962.51</v>
      </c>
      <c r="P534" s="11">
        <v>0.19</v>
      </c>
      <c r="Q534" s="13">
        <v>7</v>
      </c>
      <c r="R534" s="8">
        <f t="shared" si="168"/>
        <v>5457.4317000000001</v>
      </c>
      <c r="S534" s="8">
        <f t="shared" si="169"/>
        <v>2839.6200000000003</v>
      </c>
      <c r="T534" s="8">
        <f t="shared" si="170"/>
        <v>2617.8116999999997</v>
      </c>
      <c r="U534" s="11">
        <f t="shared" si="171"/>
        <v>0.47967832561239376</v>
      </c>
      <c r="V534" s="17">
        <v>45827</v>
      </c>
      <c r="W534" s="4" t="str">
        <f t="shared" si="172"/>
        <v>Q2-2023</v>
      </c>
      <c r="X534" t="str">
        <f t="shared" si="173"/>
        <v>Europe → United Kingdom → London</v>
      </c>
      <c r="Y534" t="str">
        <f t="shared" si="174"/>
        <v>Medium</v>
      </c>
      <c r="Z534" s="20">
        <f t="shared" si="175"/>
        <v>45017</v>
      </c>
      <c r="AA534" s="4">
        <f t="array" ref="AA534">MIN(IF($F$2:$F$633=F534,$Z$2:$Z$633))</f>
        <v>44927</v>
      </c>
      <c r="AB534">
        <f t="shared" si="176"/>
        <v>3</v>
      </c>
      <c r="AC534">
        <f t="shared" si="177"/>
        <v>0</v>
      </c>
      <c r="AD534">
        <f t="shared" si="178"/>
        <v>0</v>
      </c>
      <c r="AE534" s="13">
        <f t="shared" si="179"/>
        <v>0</v>
      </c>
      <c r="AH534">
        <f t="shared" si="180"/>
        <v>8.4</v>
      </c>
      <c r="AI534">
        <f t="shared" si="181"/>
        <v>466.50900000000001</v>
      </c>
      <c r="AJ534" s="11">
        <f t="shared" si="182"/>
        <v>0.19</v>
      </c>
      <c r="AK534">
        <f t="shared" si="183"/>
        <v>6548.9180400000005</v>
      </c>
      <c r="AL534">
        <f t="shared" si="184"/>
        <v>3918.6756000000005</v>
      </c>
      <c r="AM534">
        <f t="shared" si="185"/>
        <v>2630.24244</v>
      </c>
    </row>
    <row r="535" spans="1:39" x14ac:dyDescent="0.25">
      <c r="A535" t="s">
        <v>271</v>
      </c>
      <c r="B535" s="4">
        <v>45035</v>
      </c>
      <c r="C535" s="4">
        <v>45053</v>
      </c>
      <c r="D535" s="13">
        <f t="shared" si="166"/>
        <v>18</v>
      </c>
      <c r="E535" s="6" t="s">
        <v>649</v>
      </c>
      <c r="F535" t="s">
        <v>658</v>
      </c>
      <c r="G535" t="s">
        <v>683</v>
      </c>
      <c r="H535" t="s">
        <v>703</v>
      </c>
      <c r="I535" t="s">
        <v>711</v>
      </c>
      <c r="J535" t="s">
        <v>722</v>
      </c>
      <c r="K535" t="s">
        <v>729</v>
      </c>
      <c r="L535" t="s">
        <v>991</v>
      </c>
      <c r="M535" s="8">
        <v>516.96</v>
      </c>
      <c r="N535" s="8">
        <v>745.38</v>
      </c>
      <c r="O535" s="8">
        <f t="shared" si="167"/>
        <v>745.38</v>
      </c>
      <c r="P535" s="11">
        <v>0.19700000000000001</v>
      </c>
      <c r="Q535" s="13">
        <v>4</v>
      </c>
      <c r="R535" s="8">
        <f t="shared" si="168"/>
        <v>2394.1605599999998</v>
      </c>
      <c r="S535" s="8">
        <f t="shared" si="169"/>
        <v>2067.84</v>
      </c>
      <c r="T535" s="8">
        <f t="shared" si="170"/>
        <v>326.32055999999966</v>
      </c>
      <c r="U535" s="11">
        <f t="shared" si="171"/>
        <v>0.13629852794835101</v>
      </c>
      <c r="V535" s="17">
        <v>45822</v>
      </c>
      <c r="W535" s="4" t="str">
        <f t="shared" si="172"/>
        <v>Q2-2023</v>
      </c>
      <c r="X535" t="str">
        <f t="shared" si="173"/>
        <v>Europe → United Kingdom → London</v>
      </c>
      <c r="Y535" t="str">
        <f t="shared" si="174"/>
        <v>Low</v>
      </c>
      <c r="Z535" s="20">
        <f t="shared" si="175"/>
        <v>45017</v>
      </c>
      <c r="AA535" s="4">
        <f t="array" ref="AA535">MIN(IF($F$2:$F$633=F535,$Z$2:$Z$633))</f>
        <v>44927</v>
      </c>
      <c r="AB535">
        <f t="shared" si="176"/>
        <v>3</v>
      </c>
      <c r="AC535">
        <f t="shared" si="177"/>
        <v>0</v>
      </c>
      <c r="AD535">
        <f t="shared" si="178"/>
        <v>0</v>
      </c>
      <c r="AE535" s="13">
        <f t="shared" si="179"/>
        <v>0</v>
      </c>
      <c r="AH535">
        <f t="shared" si="180"/>
        <v>4.8</v>
      </c>
      <c r="AI535">
        <f t="shared" si="181"/>
        <v>594.50400000000002</v>
      </c>
      <c r="AJ535" s="11">
        <f t="shared" si="182"/>
        <v>0.19700000000000001</v>
      </c>
      <c r="AK535">
        <f t="shared" si="183"/>
        <v>2872.9926719999999</v>
      </c>
      <c r="AL535">
        <f t="shared" si="184"/>
        <v>2853.6192000000001</v>
      </c>
      <c r="AM535">
        <f t="shared" si="185"/>
        <v>19.373471999999765</v>
      </c>
    </row>
    <row r="536" spans="1:39" x14ac:dyDescent="0.25">
      <c r="A536" t="s">
        <v>238</v>
      </c>
      <c r="B536" s="4">
        <v>45035</v>
      </c>
      <c r="C536" s="4">
        <v>45053</v>
      </c>
      <c r="D536" s="13">
        <f t="shared" si="166"/>
        <v>18</v>
      </c>
      <c r="E536" s="6" t="s">
        <v>649</v>
      </c>
      <c r="F536" t="s">
        <v>658</v>
      </c>
      <c r="G536" t="s">
        <v>674</v>
      </c>
      <c r="H536" t="s">
        <v>706</v>
      </c>
      <c r="I536" t="s">
        <v>707</v>
      </c>
      <c r="J536" t="s">
        <v>725</v>
      </c>
      <c r="K536" t="s">
        <v>731</v>
      </c>
      <c r="L536" t="s">
        <v>958</v>
      </c>
      <c r="M536" s="8">
        <v>1089.1500000000001</v>
      </c>
      <c r="N536" s="8">
        <v>1088.2</v>
      </c>
      <c r="O536" s="8">
        <f t="shared" si="167"/>
        <v>1088.2</v>
      </c>
      <c r="P536" s="11">
        <v>5.0999999999999997E-2</v>
      </c>
      <c r="Q536" s="13">
        <v>15</v>
      </c>
      <c r="R536" s="8">
        <f t="shared" si="168"/>
        <v>15490.527</v>
      </c>
      <c r="S536" s="8">
        <f t="shared" si="169"/>
        <v>16337.250000000002</v>
      </c>
      <c r="T536" s="8">
        <f t="shared" si="170"/>
        <v>-846.72300000000178</v>
      </c>
      <c r="U536" s="11">
        <f t="shared" si="171"/>
        <v>-5.4660696824582002E-2</v>
      </c>
      <c r="V536" s="17">
        <v>45829</v>
      </c>
      <c r="W536" s="4" t="str">
        <f t="shared" si="172"/>
        <v>Q2-2023</v>
      </c>
      <c r="X536" t="str">
        <f t="shared" si="173"/>
        <v>Europe → United Kingdom → Birmingham</v>
      </c>
      <c r="Y536" t="str">
        <f t="shared" si="174"/>
        <v>Medium</v>
      </c>
      <c r="Z536" s="20">
        <f t="shared" si="175"/>
        <v>45017</v>
      </c>
      <c r="AA536" s="4">
        <f t="array" ref="AA536">MIN(IF($F$2:$F$633=F536,$Z$2:$Z$633))</f>
        <v>44927</v>
      </c>
      <c r="AB536">
        <f t="shared" si="176"/>
        <v>3</v>
      </c>
      <c r="AC536">
        <f t="shared" si="177"/>
        <v>0</v>
      </c>
      <c r="AD536">
        <f t="shared" si="178"/>
        <v>0</v>
      </c>
      <c r="AE536" s="13">
        <f t="shared" si="179"/>
        <v>0</v>
      </c>
      <c r="AH536">
        <f t="shared" si="180"/>
        <v>18</v>
      </c>
      <c r="AI536">
        <f t="shared" si="181"/>
        <v>1252.5225</v>
      </c>
      <c r="AJ536" s="11">
        <f t="shared" si="182"/>
        <v>5.0999999999999997E-2</v>
      </c>
      <c r="AK536">
        <f t="shared" si="183"/>
        <v>18588.632400000002</v>
      </c>
      <c r="AL536">
        <f t="shared" si="184"/>
        <v>22545.404999999999</v>
      </c>
      <c r="AM536">
        <f t="shared" si="185"/>
        <v>-3956.7725999999966</v>
      </c>
    </row>
    <row r="537" spans="1:39" x14ac:dyDescent="0.25">
      <c r="A537" t="s">
        <v>408</v>
      </c>
      <c r="B537" s="4">
        <v>45075</v>
      </c>
      <c r="C537" s="4">
        <v>45097</v>
      </c>
      <c r="D537" s="13">
        <f t="shared" si="166"/>
        <v>22</v>
      </c>
      <c r="E537" s="6" t="s">
        <v>649</v>
      </c>
      <c r="F537" t="s">
        <v>658</v>
      </c>
      <c r="G537" t="s">
        <v>683</v>
      </c>
      <c r="H537" t="s">
        <v>705</v>
      </c>
      <c r="I537" t="s">
        <v>711</v>
      </c>
      <c r="J537" t="s">
        <v>723</v>
      </c>
      <c r="K537" t="s">
        <v>727</v>
      </c>
      <c r="L537" t="s">
        <v>1127</v>
      </c>
      <c r="M537" s="8">
        <v>1295.3900000000001</v>
      </c>
      <c r="N537" s="8">
        <v>2905.06</v>
      </c>
      <c r="O537" s="8">
        <f t="shared" si="167"/>
        <v>2905.06</v>
      </c>
      <c r="P537" s="11">
        <v>0.14799999999999999</v>
      </c>
      <c r="Q537" s="13">
        <v>8</v>
      </c>
      <c r="R537" s="8">
        <f t="shared" si="168"/>
        <v>19800.88896</v>
      </c>
      <c r="S537" s="8">
        <f t="shared" si="169"/>
        <v>10363.120000000001</v>
      </c>
      <c r="T537" s="8">
        <f t="shared" si="170"/>
        <v>9437.7689599999994</v>
      </c>
      <c r="U537" s="11">
        <f t="shared" si="171"/>
        <v>0.47663359857556614</v>
      </c>
      <c r="V537" s="17">
        <v>45789</v>
      </c>
      <c r="W537" s="4" t="str">
        <f t="shared" si="172"/>
        <v>Q2-2023</v>
      </c>
      <c r="X537" t="str">
        <f t="shared" si="173"/>
        <v>Europe → United Kingdom → London</v>
      </c>
      <c r="Y537" t="str">
        <f t="shared" si="174"/>
        <v>High</v>
      </c>
      <c r="Z537" s="20">
        <f t="shared" si="175"/>
        <v>45047</v>
      </c>
      <c r="AA537" s="4">
        <f t="array" ref="AA537">MIN(IF($F$2:$F$633=F537,$Z$2:$Z$633))</f>
        <v>44927</v>
      </c>
      <c r="AB537">
        <f t="shared" si="176"/>
        <v>4</v>
      </c>
      <c r="AC537">
        <f t="shared" si="177"/>
        <v>0</v>
      </c>
      <c r="AD537">
        <f t="shared" si="178"/>
        <v>0</v>
      </c>
      <c r="AE537" s="13">
        <f t="shared" si="179"/>
        <v>0</v>
      </c>
      <c r="AH537">
        <f t="shared" si="180"/>
        <v>9.6</v>
      </c>
      <c r="AI537">
        <f t="shared" si="181"/>
        <v>1489.6985</v>
      </c>
      <c r="AJ537" s="11">
        <f t="shared" si="182"/>
        <v>0.14799999999999999</v>
      </c>
      <c r="AK537">
        <f t="shared" si="183"/>
        <v>23761.066751999999</v>
      </c>
      <c r="AL537">
        <f t="shared" si="184"/>
        <v>14301.105599999999</v>
      </c>
      <c r="AM537">
        <f t="shared" si="185"/>
        <v>9459.9611519999999</v>
      </c>
    </row>
    <row r="538" spans="1:39" x14ac:dyDescent="0.25">
      <c r="A538" t="s">
        <v>378</v>
      </c>
      <c r="B538" s="4">
        <v>45082</v>
      </c>
      <c r="C538" s="4">
        <v>45105</v>
      </c>
      <c r="D538" s="13">
        <f t="shared" si="166"/>
        <v>23</v>
      </c>
      <c r="E538" s="6" t="s">
        <v>649</v>
      </c>
      <c r="F538" t="s">
        <v>658</v>
      </c>
      <c r="G538" t="s">
        <v>674</v>
      </c>
      <c r="H538" t="s">
        <v>701</v>
      </c>
      <c r="I538" t="s">
        <v>711</v>
      </c>
      <c r="J538" t="s">
        <v>723</v>
      </c>
      <c r="K538" t="s">
        <v>728</v>
      </c>
      <c r="L538" t="s">
        <v>1098</v>
      </c>
      <c r="M538" s="8">
        <v>605.82000000000005</v>
      </c>
      <c r="N538" s="8">
        <v>771.12</v>
      </c>
      <c r="O538" s="8">
        <f t="shared" si="167"/>
        <v>771.12</v>
      </c>
      <c r="P538" s="11">
        <v>0.13200000000000001</v>
      </c>
      <c r="Q538" s="13">
        <v>19</v>
      </c>
      <c r="R538" s="8">
        <f t="shared" si="168"/>
        <v>12717.311040000001</v>
      </c>
      <c r="S538" s="8">
        <f t="shared" si="169"/>
        <v>11510.580000000002</v>
      </c>
      <c r="T538" s="8">
        <f t="shared" si="170"/>
        <v>1206.7310399999988</v>
      </c>
      <c r="U538" s="11">
        <f t="shared" si="171"/>
        <v>9.4888851597986767E-2</v>
      </c>
      <c r="V538" s="17">
        <v>45761</v>
      </c>
      <c r="W538" s="4" t="str">
        <f t="shared" si="172"/>
        <v>Q2-2023</v>
      </c>
      <c r="X538" t="str">
        <f t="shared" si="173"/>
        <v>Europe → United Kingdom → Birmingham</v>
      </c>
      <c r="Y538" t="str">
        <f t="shared" si="174"/>
        <v>Low</v>
      </c>
      <c r="Z538" s="20">
        <f t="shared" si="175"/>
        <v>45078</v>
      </c>
      <c r="AA538" s="4">
        <f t="array" ref="AA538">MIN(IF($F$2:$F$633=F538,$Z$2:$Z$633))</f>
        <v>44927</v>
      </c>
      <c r="AB538">
        <f t="shared" si="176"/>
        <v>5</v>
      </c>
      <c r="AC538">
        <f t="shared" si="177"/>
        <v>0</v>
      </c>
      <c r="AD538">
        <f t="shared" si="178"/>
        <v>0</v>
      </c>
      <c r="AE538" s="13">
        <f t="shared" si="179"/>
        <v>0</v>
      </c>
      <c r="AH538">
        <f t="shared" si="180"/>
        <v>22.8</v>
      </c>
      <c r="AI538">
        <f t="shared" si="181"/>
        <v>696.69299999999998</v>
      </c>
      <c r="AJ538" s="11">
        <f t="shared" si="182"/>
        <v>0.13200000000000001</v>
      </c>
      <c r="AK538">
        <f t="shared" si="183"/>
        <v>15260.773248</v>
      </c>
      <c r="AL538">
        <f t="shared" si="184"/>
        <v>15884.600399999999</v>
      </c>
      <c r="AM538">
        <f t="shared" si="185"/>
        <v>-623.82715199999984</v>
      </c>
    </row>
    <row r="539" spans="1:39" x14ac:dyDescent="0.25">
      <c r="A539" t="s">
        <v>93</v>
      </c>
      <c r="B539" s="4">
        <v>45091</v>
      </c>
      <c r="C539" s="4">
        <v>45093</v>
      </c>
      <c r="D539" s="13">
        <f t="shared" si="166"/>
        <v>2</v>
      </c>
      <c r="E539" s="6" t="s">
        <v>649</v>
      </c>
      <c r="F539" t="s">
        <v>658</v>
      </c>
      <c r="G539" t="s">
        <v>693</v>
      </c>
      <c r="H539" t="s">
        <v>703</v>
      </c>
      <c r="I539" t="s">
        <v>711</v>
      </c>
      <c r="J539" t="s">
        <v>723</v>
      </c>
      <c r="K539" t="s">
        <v>727</v>
      </c>
      <c r="L539" t="s">
        <v>812</v>
      </c>
      <c r="M539" s="8">
        <v>357.36</v>
      </c>
      <c r="N539" s="8">
        <v>703.62</v>
      </c>
      <c r="O539" s="8">
        <f t="shared" si="167"/>
        <v>703.62</v>
      </c>
      <c r="P539" s="11">
        <v>0.25700000000000001</v>
      </c>
      <c r="Q539" s="13">
        <v>20</v>
      </c>
      <c r="R539" s="8">
        <f t="shared" si="168"/>
        <v>10455.7932</v>
      </c>
      <c r="S539" s="8">
        <f t="shared" si="169"/>
        <v>7147.2000000000007</v>
      </c>
      <c r="T539" s="8">
        <f t="shared" si="170"/>
        <v>3308.5931999999993</v>
      </c>
      <c r="U539" s="11">
        <f t="shared" si="171"/>
        <v>0.31643636563125593</v>
      </c>
      <c r="V539" s="17">
        <v>45759</v>
      </c>
      <c r="W539" s="4" t="str">
        <f t="shared" si="172"/>
        <v>Q2-2023</v>
      </c>
      <c r="X539" t="str">
        <f t="shared" si="173"/>
        <v>Europe → United Kingdom → Manchester</v>
      </c>
      <c r="Y539" t="str">
        <f t="shared" si="174"/>
        <v>Low</v>
      </c>
      <c r="Z539" s="20">
        <f t="shared" si="175"/>
        <v>45078</v>
      </c>
      <c r="AA539" s="4">
        <f t="array" ref="AA539">MIN(IF($F$2:$F$633=F539,$Z$2:$Z$633))</f>
        <v>44927</v>
      </c>
      <c r="AB539">
        <f t="shared" si="176"/>
        <v>5</v>
      </c>
      <c r="AC539">
        <f t="shared" si="177"/>
        <v>1</v>
      </c>
      <c r="AD539">
        <f t="shared" si="178"/>
        <v>1</v>
      </c>
      <c r="AE539" s="13">
        <f t="shared" si="179"/>
        <v>1</v>
      </c>
      <c r="AH539">
        <f t="shared" si="180"/>
        <v>24</v>
      </c>
      <c r="AI539">
        <f t="shared" si="181"/>
        <v>410.964</v>
      </c>
      <c r="AJ539" s="11">
        <f t="shared" si="182"/>
        <v>0.25</v>
      </c>
      <c r="AK539">
        <f t="shared" si="183"/>
        <v>12665.16</v>
      </c>
      <c r="AL539">
        <f t="shared" si="184"/>
        <v>9863.1360000000004</v>
      </c>
      <c r="AM539">
        <f t="shared" si="185"/>
        <v>2802.0239999999994</v>
      </c>
    </row>
    <row r="540" spans="1:39" x14ac:dyDescent="0.25">
      <c r="A540" t="s">
        <v>592</v>
      </c>
      <c r="B540" s="4">
        <v>45092</v>
      </c>
      <c r="C540" s="4">
        <v>45119</v>
      </c>
      <c r="D540" s="13">
        <f t="shared" si="166"/>
        <v>27</v>
      </c>
      <c r="E540" s="6" t="s">
        <v>649</v>
      </c>
      <c r="F540" t="s">
        <v>658</v>
      </c>
      <c r="G540" t="s">
        <v>693</v>
      </c>
      <c r="H540" t="s">
        <v>704</v>
      </c>
      <c r="I540" t="s">
        <v>711</v>
      </c>
      <c r="J540" t="s">
        <v>714</v>
      </c>
      <c r="K540" t="s">
        <v>733</v>
      </c>
      <c r="L540" t="s">
        <v>1310</v>
      </c>
      <c r="M540" s="8">
        <v>751.28</v>
      </c>
      <c r="N540" s="8">
        <v>1111.8800000000001</v>
      </c>
      <c r="O540" s="8">
        <f t="shared" si="167"/>
        <v>1111.8800000000001</v>
      </c>
      <c r="P540" s="11">
        <v>0.13500000000000001</v>
      </c>
      <c r="Q540" s="13">
        <v>7</v>
      </c>
      <c r="R540" s="8">
        <f t="shared" si="168"/>
        <v>6732.4334000000008</v>
      </c>
      <c r="S540" s="8">
        <f t="shared" si="169"/>
        <v>5258.96</v>
      </c>
      <c r="T540" s="8">
        <f t="shared" si="170"/>
        <v>1473.4734000000008</v>
      </c>
      <c r="U540" s="11">
        <f t="shared" si="171"/>
        <v>0.21886193482433863</v>
      </c>
      <c r="V540" s="17">
        <v>45753</v>
      </c>
      <c r="W540" s="4" t="str">
        <f t="shared" si="172"/>
        <v>Q2-2023</v>
      </c>
      <c r="X540" t="str">
        <f t="shared" si="173"/>
        <v>Europe → United Kingdom → Manchester</v>
      </c>
      <c r="Y540" t="str">
        <f t="shared" si="174"/>
        <v>Medium</v>
      </c>
      <c r="Z540" s="20">
        <f t="shared" si="175"/>
        <v>45078</v>
      </c>
      <c r="AA540" s="4">
        <f t="array" ref="AA540">MIN(IF($F$2:$F$633=F540,$Z$2:$Z$633))</f>
        <v>44927</v>
      </c>
      <c r="AB540">
        <f t="shared" si="176"/>
        <v>5</v>
      </c>
      <c r="AC540">
        <f t="shared" si="177"/>
        <v>0</v>
      </c>
      <c r="AD540">
        <f t="shared" si="178"/>
        <v>0</v>
      </c>
      <c r="AE540" s="13">
        <f t="shared" si="179"/>
        <v>0</v>
      </c>
      <c r="AH540">
        <f t="shared" si="180"/>
        <v>8.4</v>
      </c>
      <c r="AI540">
        <f t="shared" si="181"/>
        <v>863.97199999999987</v>
      </c>
      <c r="AJ540" s="11">
        <f t="shared" si="182"/>
        <v>0.13500000000000001</v>
      </c>
      <c r="AK540">
        <f t="shared" si="183"/>
        <v>8078.9200800000008</v>
      </c>
      <c r="AL540">
        <f t="shared" si="184"/>
        <v>7257.3647999999994</v>
      </c>
      <c r="AM540">
        <f t="shared" si="185"/>
        <v>821.5552800000014</v>
      </c>
    </row>
    <row r="541" spans="1:39" x14ac:dyDescent="0.25">
      <c r="A541" t="s">
        <v>220</v>
      </c>
      <c r="B541" s="4">
        <v>45109</v>
      </c>
      <c r="C541" s="4">
        <v>45139</v>
      </c>
      <c r="D541" s="13">
        <f t="shared" si="166"/>
        <v>30</v>
      </c>
      <c r="E541" s="6" t="s">
        <v>649</v>
      </c>
      <c r="F541" t="s">
        <v>658</v>
      </c>
      <c r="G541" t="s">
        <v>674</v>
      </c>
      <c r="H541" t="s">
        <v>705</v>
      </c>
      <c r="I541" t="s">
        <v>707</v>
      </c>
      <c r="J541" t="s">
        <v>717</v>
      </c>
      <c r="K541" t="s">
        <v>727</v>
      </c>
      <c r="L541" t="s">
        <v>940</v>
      </c>
      <c r="M541" s="8">
        <v>137.46</v>
      </c>
      <c r="N541" s="8">
        <v>188.3</v>
      </c>
      <c r="O541" s="8">
        <f t="shared" si="167"/>
        <v>188.3</v>
      </c>
      <c r="P541" s="11">
        <v>3.7999999999999999E-2</v>
      </c>
      <c r="Q541" s="13">
        <v>37</v>
      </c>
      <c r="R541" s="8">
        <f t="shared" si="168"/>
        <v>6702.3501999999999</v>
      </c>
      <c r="S541" s="8">
        <f t="shared" si="169"/>
        <v>5086.0200000000004</v>
      </c>
      <c r="T541" s="8">
        <f t="shared" si="170"/>
        <v>1616.3301999999994</v>
      </c>
      <c r="U541" s="11">
        <f t="shared" si="171"/>
        <v>0.24115872071262398</v>
      </c>
      <c r="V541" s="17">
        <v>45747</v>
      </c>
      <c r="W541" s="4" t="str">
        <f t="shared" si="172"/>
        <v>Q3-2023</v>
      </c>
      <c r="X541" t="str">
        <f t="shared" si="173"/>
        <v>Europe → United Kingdom → Birmingham</v>
      </c>
      <c r="Y541" t="str">
        <f t="shared" si="174"/>
        <v>Low</v>
      </c>
      <c r="Z541" s="20">
        <f t="shared" si="175"/>
        <v>45108</v>
      </c>
      <c r="AA541" s="4">
        <f t="array" ref="AA541">MIN(IF($F$2:$F$633=F541,$Z$2:$Z$633))</f>
        <v>44927</v>
      </c>
      <c r="AB541">
        <f t="shared" si="176"/>
        <v>6</v>
      </c>
      <c r="AC541">
        <f t="shared" si="177"/>
        <v>0</v>
      </c>
      <c r="AD541">
        <f t="shared" si="178"/>
        <v>0</v>
      </c>
      <c r="AE541" s="13">
        <f t="shared" si="179"/>
        <v>0</v>
      </c>
      <c r="AH541">
        <f t="shared" si="180"/>
        <v>44.4</v>
      </c>
      <c r="AI541">
        <f t="shared" si="181"/>
        <v>158.07900000000001</v>
      </c>
      <c r="AJ541" s="11">
        <f t="shared" si="182"/>
        <v>3.7999999999999999E-2</v>
      </c>
      <c r="AK541">
        <f t="shared" si="183"/>
        <v>8042.82024</v>
      </c>
      <c r="AL541">
        <f t="shared" si="184"/>
        <v>7018.7075999999997</v>
      </c>
      <c r="AM541">
        <f t="shared" si="185"/>
        <v>1024.1126400000003</v>
      </c>
    </row>
    <row r="542" spans="1:39" x14ac:dyDescent="0.25">
      <c r="A542" t="s">
        <v>492</v>
      </c>
      <c r="B542" s="4">
        <v>45123</v>
      </c>
      <c r="C542" s="4">
        <v>45151</v>
      </c>
      <c r="D542" s="13">
        <f t="shared" si="166"/>
        <v>28</v>
      </c>
      <c r="E542" s="6" t="s">
        <v>649</v>
      </c>
      <c r="F542" t="s">
        <v>658</v>
      </c>
      <c r="G542" t="s">
        <v>693</v>
      </c>
      <c r="H542" t="s">
        <v>703</v>
      </c>
      <c r="I542" t="s">
        <v>708</v>
      </c>
      <c r="J542" t="s">
        <v>713</v>
      </c>
      <c r="K542" t="s">
        <v>731</v>
      </c>
      <c r="L542" t="s">
        <v>1211</v>
      </c>
      <c r="M542" s="8">
        <v>1039.03</v>
      </c>
      <c r="N542" s="8">
        <v>2545.81</v>
      </c>
      <c r="O542" s="8">
        <f t="shared" si="167"/>
        <v>2545.81</v>
      </c>
      <c r="P542" s="11">
        <v>0.216</v>
      </c>
      <c r="Q542" s="13">
        <v>21</v>
      </c>
      <c r="R542" s="8">
        <f t="shared" si="168"/>
        <v>41914.215840000004</v>
      </c>
      <c r="S542" s="8">
        <f t="shared" si="169"/>
        <v>21819.63</v>
      </c>
      <c r="T542" s="8">
        <f t="shared" si="170"/>
        <v>20094.585840000003</v>
      </c>
      <c r="U542" s="11">
        <f t="shared" si="171"/>
        <v>0.47942172929364774</v>
      </c>
      <c r="V542" s="17">
        <v>45726</v>
      </c>
      <c r="W542" s="4" t="str">
        <f t="shared" si="172"/>
        <v>Q3-2023</v>
      </c>
      <c r="X542" t="str">
        <f t="shared" si="173"/>
        <v>Europe → United Kingdom → Manchester</v>
      </c>
      <c r="Y542" t="str">
        <f t="shared" si="174"/>
        <v>High</v>
      </c>
      <c r="Z542" s="20">
        <f t="shared" si="175"/>
        <v>45108</v>
      </c>
      <c r="AA542" s="4">
        <f t="array" ref="AA542">MIN(IF($F$2:$F$633=F542,$Z$2:$Z$633))</f>
        <v>44927</v>
      </c>
      <c r="AB542">
        <f t="shared" si="176"/>
        <v>6</v>
      </c>
      <c r="AC542">
        <f t="shared" si="177"/>
        <v>0</v>
      </c>
      <c r="AD542">
        <f t="shared" si="178"/>
        <v>1</v>
      </c>
      <c r="AE542" s="13">
        <f t="shared" si="179"/>
        <v>0</v>
      </c>
      <c r="AH542">
        <f t="shared" si="180"/>
        <v>25.2</v>
      </c>
      <c r="AI542">
        <f t="shared" si="181"/>
        <v>1194.8844999999999</v>
      </c>
      <c r="AJ542" s="11">
        <f t="shared" si="182"/>
        <v>0.216</v>
      </c>
      <c r="AK542">
        <f t="shared" si="183"/>
        <v>50297.059007999997</v>
      </c>
      <c r="AL542">
        <f t="shared" si="184"/>
        <v>30111.089399999997</v>
      </c>
      <c r="AM542">
        <f t="shared" si="185"/>
        <v>20185.969607999999</v>
      </c>
    </row>
    <row r="543" spans="1:39" x14ac:dyDescent="0.25">
      <c r="A543" t="s">
        <v>205</v>
      </c>
      <c r="B543" s="4">
        <v>45146</v>
      </c>
      <c r="C543" s="4">
        <v>45160</v>
      </c>
      <c r="D543" s="13">
        <f t="shared" si="166"/>
        <v>14</v>
      </c>
      <c r="E543" s="6" t="s">
        <v>649</v>
      </c>
      <c r="F543" t="s">
        <v>658</v>
      </c>
      <c r="G543" t="s">
        <v>674</v>
      </c>
      <c r="H543" t="s">
        <v>703</v>
      </c>
      <c r="I543" t="s">
        <v>711</v>
      </c>
      <c r="J543" t="s">
        <v>725</v>
      </c>
      <c r="K543" t="s">
        <v>732</v>
      </c>
      <c r="L543" t="s">
        <v>925</v>
      </c>
      <c r="M543" s="8">
        <v>446.69</v>
      </c>
      <c r="N543" s="8">
        <v>967.25</v>
      </c>
      <c r="O543" s="8">
        <f t="shared" si="167"/>
        <v>967.25</v>
      </c>
      <c r="P543" s="11">
        <v>9.4E-2</v>
      </c>
      <c r="Q543" s="13">
        <v>10</v>
      </c>
      <c r="R543" s="8">
        <f t="shared" si="168"/>
        <v>8763.2849999999999</v>
      </c>
      <c r="S543" s="8">
        <f t="shared" si="169"/>
        <v>4466.8999999999996</v>
      </c>
      <c r="T543" s="8">
        <f t="shared" si="170"/>
        <v>4296.3850000000002</v>
      </c>
      <c r="U543" s="11">
        <f t="shared" si="171"/>
        <v>0.49027105702941309</v>
      </c>
      <c r="V543" s="17">
        <v>45692</v>
      </c>
      <c r="W543" s="4" t="str">
        <f t="shared" si="172"/>
        <v>Q3-2023</v>
      </c>
      <c r="X543" t="str">
        <f t="shared" si="173"/>
        <v>Europe → United Kingdom → Birmingham</v>
      </c>
      <c r="Y543" t="str">
        <f t="shared" si="174"/>
        <v>Medium</v>
      </c>
      <c r="Z543" s="20">
        <f t="shared" si="175"/>
        <v>45139</v>
      </c>
      <c r="AA543" s="4">
        <f t="array" ref="AA543">MIN(IF($F$2:$F$633=F543,$Z$2:$Z$633))</f>
        <v>44927</v>
      </c>
      <c r="AB543">
        <f t="shared" si="176"/>
        <v>7</v>
      </c>
      <c r="AC543">
        <f t="shared" si="177"/>
        <v>0</v>
      </c>
      <c r="AD543">
        <f t="shared" si="178"/>
        <v>0</v>
      </c>
      <c r="AE543" s="13">
        <f t="shared" si="179"/>
        <v>0</v>
      </c>
      <c r="AH543">
        <f t="shared" si="180"/>
        <v>12</v>
      </c>
      <c r="AI543">
        <f t="shared" si="181"/>
        <v>513.69349999999997</v>
      </c>
      <c r="AJ543" s="11">
        <f t="shared" si="182"/>
        <v>9.4E-2</v>
      </c>
      <c r="AK543">
        <f t="shared" si="183"/>
        <v>10515.942000000001</v>
      </c>
      <c r="AL543">
        <f t="shared" si="184"/>
        <v>6164.3220000000001</v>
      </c>
      <c r="AM543">
        <f t="shared" si="185"/>
        <v>4351.6200000000008</v>
      </c>
    </row>
    <row r="544" spans="1:39" x14ac:dyDescent="0.25">
      <c r="A544" t="s">
        <v>307</v>
      </c>
      <c r="B544" s="4">
        <v>45161</v>
      </c>
      <c r="C544" s="4">
        <v>45191</v>
      </c>
      <c r="D544" s="13">
        <f t="shared" si="166"/>
        <v>30</v>
      </c>
      <c r="E544" s="6" t="s">
        <v>649</v>
      </c>
      <c r="F544" t="s">
        <v>658</v>
      </c>
      <c r="G544" t="s">
        <v>683</v>
      </c>
      <c r="H544" t="s">
        <v>704</v>
      </c>
      <c r="I544" t="s">
        <v>710</v>
      </c>
      <c r="J544" t="s">
        <v>719</v>
      </c>
      <c r="K544" t="s">
        <v>733</v>
      </c>
      <c r="L544" t="s">
        <v>1027</v>
      </c>
      <c r="M544" s="8">
        <v>209.81</v>
      </c>
      <c r="N544" s="8">
        <v>523</v>
      </c>
      <c r="O544" s="8">
        <f t="shared" si="167"/>
        <v>523</v>
      </c>
      <c r="P544" s="11">
        <v>5.8999999999999997E-2</v>
      </c>
      <c r="Q544" s="13">
        <v>15</v>
      </c>
      <c r="R544" s="8">
        <f t="shared" si="168"/>
        <v>7382.1450000000004</v>
      </c>
      <c r="S544" s="8">
        <f t="shared" si="169"/>
        <v>3147.15</v>
      </c>
      <c r="T544" s="8">
        <f t="shared" si="170"/>
        <v>4234.9950000000008</v>
      </c>
      <c r="U544" s="11">
        <f t="shared" si="171"/>
        <v>0.57368082041195356</v>
      </c>
      <c r="V544" s="17">
        <v>45670</v>
      </c>
      <c r="W544" s="4" t="str">
        <f t="shared" si="172"/>
        <v>Q3-2023</v>
      </c>
      <c r="X544" t="str">
        <f t="shared" si="173"/>
        <v>Europe → United Kingdom → London</v>
      </c>
      <c r="Y544" t="str">
        <f t="shared" si="174"/>
        <v>Low</v>
      </c>
      <c r="Z544" s="20">
        <f t="shared" si="175"/>
        <v>45139</v>
      </c>
      <c r="AA544" s="4">
        <f t="array" ref="AA544">MIN(IF($F$2:$F$633=F544,$Z$2:$Z$633))</f>
        <v>44927</v>
      </c>
      <c r="AB544">
        <f t="shared" si="176"/>
        <v>7</v>
      </c>
      <c r="AC544">
        <f t="shared" si="177"/>
        <v>0</v>
      </c>
      <c r="AD544">
        <f t="shared" si="178"/>
        <v>0</v>
      </c>
      <c r="AE544" s="13">
        <f t="shared" si="179"/>
        <v>0</v>
      </c>
      <c r="AH544">
        <f t="shared" si="180"/>
        <v>18</v>
      </c>
      <c r="AI544">
        <f t="shared" si="181"/>
        <v>241.28149999999999</v>
      </c>
      <c r="AJ544" s="11">
        <f t="shared" si="182"/>
        <v>5.8999999999999997E-2</v>
      </c>
      <c r="AK544">
        <f t="shared" si="183"/>
        <v>8858.5740000000005</v>
      </c>
      <c r="AL544">
        <f t="shared" si="184"/>
        <v>4343.067</v>
      </c>
      <c r="AM544">
        <f t="shared" si="185"/>
        <v>4515.5070000000005</v>
      </c>
    </row>
    <row r="545" spans="1:39" x14ac:dyDescent="0.25">
      <c r="A545" t="s">
        <v>191</v>
      </c>
      <c r="B545" s="4">
        <v>45165</v>
      </c>
      <c r="C545" s="4">
        <v>45180</v>
      </c>
      <c r="D545" s="13">
        <f t="shared" si="166"/>
        <v>15</v>
      </c>
      <c r="E545" s="6" t="s">
        <v>649</v>
      </c>
      <c r="F545" t="s">
        <v>658</v>
      </c>
      <c r="G545" t="s">
        <v>683</v>
      </c>
      <c r="H545" t="s">
        <v>704</v>
      </c>
      <c r="I545" t="s">
        <v>709</v>
      </c>
      <c r="J545" t="s">
        <v>725</v>
      </c>
      <c r="K545" t="s">
        <v>728</v>
      </c>
      <c r="L545" t="s">
        <v>910</v>
      </c>
      <c r="M545" s="8">
        <v>943.79</v>
      </c>
      <c r="N545" s="8">
        <v>1913.76</v>
      </c>
      <c r="O545" s="8">
        <f t="shared" si="167"/>
        <v>1913.76</v>
      </c>
      <c r="P545" s="11">
        <v>9.0999999999999998E-2</v>
      </c>
      <c r="Q545" s="13">
        <v>9</v>
      </c>
      <c r="R545" s="8">
        <f t="shared" si="168"/>
        <v>15656.47056</v>
      </c>
      <c r="S545" s="8">
        <f t="shared" si="169"/>
        <v>8494.11</v>
      </c>
      <c r="T545" s="8">
        <f t="shared" si="170"/>
        <v>7162.3605599999992</v>
      </c>
      <c r="U545" s="11">
        <f t="shared" si="171"/>
        <v>0.45746967891338081</v>
      </c>
      <c r="V545" s="17">
        <v>45677</v>
      </c>
      <c r="W545" s="4" t="str">
        <f t="shared" si="172"/>
        <v>Q3-2023</v>
      </c>
      <c r="X545" t="str">
        <f t="shared" si="173"/>
        <v>Europe → United Kingdom → London</v>
      </c>
      <c r="Y545" t="str">
        <f t="shared" si="174"/>
        <v>High</v>
      </c>
      <c r="Z545" s="20">
        <f t="shared" si="175"/>
        <v>45139</v>
      </c>
      <c r="AA545" s="4">
        <f t="array" ref="AA545">MIN(IF($F$2:$F$633=F545,$Z$2:$Z$633))</f>
        <v>44927</v>
      </c>
      <c r="AB545">
        <f t="shared" si="176"/>
        <v>7</v>
      </c>
      <c r="AC545">
        <f t="shared" si="177"/>
        <v>0</v>
      </c>
      <c r="AD545">
        <f t="shared" si="178"/>
        <v>0</v>
      </c>
      <c r="AE545" s="13">
        <f t="shared" si="179"/>
        <v>0</v>
      </c>
      <c r="AH545">
        <f t="shared" si="180"/>
        <v>10.799999999999999</v>
      </c>
      <c r="AI545">
        <f t="shared" si="181"/>
        <v>1085.3584999999998</v>
      </c>
      <c r="AJ545" s="11">
        <f t="shared" si="182"/>
        <v>9.0999999999999998E-2</v>
      </c>
      <c r="AK545">
        <f t="shared" si="183"/>
        <v>18787.764671999998</v>
      </c>
      <c r="AL545">
        <f t="shared" si="184"/>
        <v>11721.871799999997</v>
      </c>
      <c r="AM545">
        <f t="shared" si="185"/>
        <v>7065.8928720000004</v>
      </c>
    </row>
    <row r="546" spans="1:39" x14ac:dyDescent="0.25">
      <c r="A546" t="s">
        <v>306</v>
      </c>
      <c r="B546" s="4">
        <v>45220</v>
      </c>
      <c r="C546" s="4">
        <v>45239</v>
      </c>
      <c r="D546" s="13">
        <f t="shared" si="166"/>
        <v>19</v>
      </c>
      <c r="E546" s="6" t="s">
        <v>649</v>
      </c>
      <c r="F546" t="s">
        <v>658</v>
      </c>
      <c r="G546" t="s">
        <v>683</v>
      </c>
      <c r="H546" t="s">
        <v>703</v>
      </c>
      <c r="I546" t="s">
        <v>711</v>
      </c>
      <c r="J546" t="s">
        <v>720</v>
      </c>
      <c r="K546" t="s">
        <v>733</v>
      </c>
      <c r="L546" t="s">
        <v>1026</v>
      </c>
      <c r="M546" s="8">
        <v>1142.48</v>
      </c>
      <c r="N546" s="8">
        <v>2105.5300000000002</v>
      </c>
      <c r="O546" s="8">
        <f t="shared" si="167"/>
        <v>2105.5300000000002</v>
      </c>
      <c r="P546" s="11">
        <v>0.20699999999999999</v>
      </c>
      <c r="Q546" s="13">
        <v>14</v>
      </c>
      <c r="R546" s="8">
        <f t="shared" si="168"/>
        <v>23375.594060000003</v>
      </c>
      <c r="S546" s="8">
        <f t="shared" si="169"/>
        <v>15994.720000000001</v>
      </c>
      <c r="T546" s="8">
        <f t="shared" si="170"/>
        <v>7380.8740600000019</v>
      </c>
      <c r="U546" s="11">
        <f t="shared" si="171"/>
        <v>0.31575129346680658</v>
      </c>
      <c r="V546" s="17">
        <v>45638</v>
      </c>
      <c r="W546" s="4" t="str">
        <f t="shared" si="172"/>
        <v>Q4-2023</v>
      </c>
      <c r="X546" t="str">
        <f t="shared" si="173"/>
        <v>Europe → United Kingdom → London</v>
      </c>
      <c r="Y546" t="str">
        <f t="shared" si="174"/>
        <v>High</v>
      </c>
      <c r="Z546" s="20">
        <f t="shared" si="175"/>
        <v>45200</v>
      </c>
      <c r="AA546" s="4">
        <f t="array" ref="AA546">MIN(IF($F$2:$F$633=F546,$Z$2:$Z$633))</f>
        <v>44927</v>
      </c>
      <c r="AB546">
        <f t="shared" si="176"/>
        <v>9</v>
      </c>
      <c r="AC546">
        <f t="shared" si="177"/>
        <v>0</v>
      </c>
      <c r="AD546">
        <f t="shared" si="178"/>
        <v>1</v>
      </c>
      <c r="AE546" s="13">
        <f t="shared" si="179"/>
        <v>0</v>
      </c>
      <c r="AH546">
        <f t="shared" si="180"/>
        <v>16.8</v>
      </c>
      <c r="AI546">
        <f t="shared" si="181"/>
        <v>1313.8519999999999</v>
      </c>
      <c r="AJ546" s="11">
        <f t="shared" si="182"/>
        <v>0.20699999999999999</v>
      </c>
      <c r="AK546">
        <f t="shared" si="183"/>
        <v>28050.712872000004</v>
      </c>
      <c r="AL546">
        <f t="shared" si="184"/>
        <v>22072.713599999999</v>
      </c>
      <c r="AM546">
        <f t="shared" si="185"/>
        <v>5977.9992720000046</v>
      </c>
    </row>
    <row r="547" spans="1:39" x14ac:dyDescent="0.25">
      <c r="A547" t="s">
        <v>446</v>
      </c>
      <c r="B547" s="4">
        <v>45220</v>
      </c>
      <c r="C547" s="4">
        <v>45220</v>
      </c>
      <c r="D547" s="13">
        <f t="shared" si="166"/>
        <v>0</v>
      </c>
      <c r="E547" s="6" t="s">
        <v>649</v>
      </c>
      <c r="F547" t="s">
        <v>658</v>
      </c>
      <c r="G547" t="s">
        <v>693</v>
      </c>
      <c r="H547" t="s">
        <v>706</v>
      </c>
      <c r="I547" t="s">
        <v>710</v>
      </c>
      <c r="J547" t="s">
        <v>713</v>
      </c>
      <c r="K547" t="s">
        <v>732</v>
      </c>
      <c r="L547" t="s">
        <v>1165</v>
      </c>
      <c r="M547" s="8">
        <v>384.19</v>
      </c>
      <c r="N547" s="8">
        <v>278.35000000000002</v>
      </c>
      <c r="O547" s="8">
        <f t="shared" si="167"/>
        <v>278.35000000000002</v>
      </c>
      <c r="P547" s="11">
        <v>5.6000000000000001E-2</v>
      </c>
      <c r="Q547" s="13">
        <v>10</v>
      </c>
      <c r="R547" s="8">
        <f t="shared" si="168"/>
        <v>2627.6239999999998</v>
      </c>
      <c r="S547" s="8">
        <f t="shared" si="169"/>
        <v>3841.9</v>
      </c>
      <c r="T547" s="8">
        <f t="shared" si="170"/>
        <v>-1214.2760000000003</v>
      </c>
      <c r="U547" s="11">
        <f t="shared" si="171"/>
        <v>-0.46211938998882657</v>
      </c>
      <c r="V547" s="17">
        <v>45636</v>
      </c>
      <c r="W547" s="4" t="str">
        <f t="shared" si="172"/>
        <v>Q4-2023</v>
      </c>
      <c r="X547" t="str">
        <f t="shared" si="173"/>
        <v>Europe → United Kingdom → Manchester</v>
      </c>
      <c r="Y547" t="str">
        <f t="shared" si="174"/>
        <v>Low</v>
      </c>
      <c r="Z547" s="20">
        <f t="shared" si="175"/>
        <v>45200</v>
      </c>
      <c r="AA547" s="4">
        <f t="array" ref="AA547">MIN(IF($F$2:$F$633=F547,$Z$2:$Z$633))</f>
        <v>44927</v>
      </c>
      <c r="AB547">
        <f t="shared" si="176"/>
        <v>9</v>
      </c>
      <c r="AC547">
        <f t="shared" si="177"/>
        <v>1</v>
      </c>
      <c r="AD547">
        <f t="shared" si="178"/>
        <v>0</v>
      </c>
      <c r="AE547" s="13">
        <f t="shared" si="179"/>
        <v>1</v>
      </c>
      <c r="AH547">
        <f t="shared" si="180"/>
        <v>12</v>
      </c>
      <c r="AI547">
        <f t="shared" si="181"/>
        <v>441.81849999999997</v>
      </c>
      <c r="AJ547" s="11">
        <f t="shared" si="182"/>
        <v>5.6000000000000001E-2</v>
      </c>
      <c r="AK547">
        <f t="shared" si="183"/>
        <v>3153.1487999999999</v>
      </c>
      <c r="AL547">
        <f t="shared" si="184"/>
        <v>5301.8220000000001</v>
      </c>
      <c r="AM547">
        <f t="shared" si="185"/>
        <v>-2148.6732000000002</v>
      </c>
    </row>
    <row r="548" spans="1:39" x14ac:dyDescent="0.25">
      <c r="A548" t="s">
        <v>347</v>
      </c>
      <c r="B548" s="4">
        <v>45245</v>
      </c>
      <c r="C548" s="4">
        <v>45266</v>
      </c>
      <c r="D548" s="13">
        <f t="shared" si="166"/>
        <v>21</v>
      </c>
      <c r="E548" s="6" t="s">
        <v>649</v>
      </c>
      <c r="F548" t="s">
        <v>658</v>
      </c>
      <c r="G548" t="s">
        <v>693</v>
      </c>
      <c r="H548" t="s">
        <v>702</v>
      </c>
      <c r="I548" t="s">
        <v>711</v>
      </c>
      <c r="J548" t="s">
        <v>722</v>
      </c>
      <c r="K548" t="s">
        <v>733</v>
      </c>
      <c r="L548" t="s">
        <v>1067</v>
      </c>
      <c r="M548" s="8">
        <v>1184.99</v>
      </c>
      <c r="N548" s="8">
        <v>1154.3399999999999</v>
      </c>
      <c r="O548" s="8">
        <f t="shared" si="167"/>
        <v>1154.3399999999999</v>
      </c>
      <c r="P548" s="11">
        <v>2.8000000000000001E-2</v>
      </c>
      <c r="Q548" s="13">
        <v>5</v>
      </c>
      <c r="R548" s="8">
        <f t="shared" si="168"/>
        <v>5610.0923999999995</v>
      </c>
      <c r="S548" s="8">
        <f t="shared" si="169"/>
        <v>5924.95</v>
      </c>
      <c r="T548" s="8">
        <f t="shared" si="170"/>
        <v>-314.85760000000028</v>
      </c>
      <c r="U548" s="11">
        <f t="shared" si="171"/>
        <v>-5.6123424990290764E-2</v>
      </c>
      <c r="V548" s="17">
        <v>45598</v>
      </c>
      <c r="W548" s="4" t="str">
        <f t="shared" si="172"/>
        <v>Q4-2023</v>
      </c>
      <c r="X548" t="str">
        <f t="shared" si="173"/>
        <v>Europe → United Kingdom → Manchester</v>
      </c>
      <c r="Y548" t="str">
        <f t="shared" si="174"/>
        <v>Medium</v>
      </c>
      <c r="Z548" s="20">
        <f t="shared" si="175"/>
        <v>45231</v>
      </c>
      <c r="AA548" s="4">
        <f t="array" ref="AA548">MIN(IF($F$2:$F$633=F548,$Z$2:$Z$633))</f>
        <v>44927</v>
      </c>
      <c r="AB548">
        <f t="shared" si="176"/>
        <v>10</v>
      </c>
      <c r="AC548">
        <f t="shared" si="177"/>
        <v>0</v>
      </c>
      <c r="AD548">
        <f t="shared" si="178"/>
        <v>0</v>
      </c>
      <c r="AE548" s="13">
        <f t="shared" si="179"/>
        <v>0</v>
      </c>
      <c r="AH548">
        <f t="shared" si="180"/>
        <v>6</v>
      </c>
      <c r="AI548">
        <f t="shared" si="181"/>
        <v>1362.7384999999999</v>
      </c>
      <c r="AJ548" s="11">
        <f t="shared" si="182"/>
        <v>2.8000000000000001E-2</v>
      </c>
      <c r="AK548">
        <f t="shared" si="183"/>
        <v>6732.1108799999993</v>
      </c>
      <c r="AL548">
        <f t="shared" si="184"/>
        <v>8176.4309999999996</v>
      </c>
      <c r="AM548">
        <f t="shared" si="185"/>
        <v>-1444.3201200000003</v>
      </c>
    </row>
    <row r="549" spans="1:39" x14ac:dyDescent="0.25">
      <c r="A549" t="s">
        <v>369</v>
      </c>
      <c r="B549" s="4">
        <v>45292</v>
      </c>
      <c r="C549" s="4">
        <v>45318</v>
      </c>
      <c r="D549" s="13">
        <f t="shared" si="166"/>
        <v>26</v>
      </c>
      <c r="E549" s="6" t="s">
        <v>649</v>
      </c>
      <c r="F549" t="s">
        <v>658</v>
      </c>
      <c r="G549" t="s">
        <v>693</v>
      </c>
      <c r="H549" t="s">
        <v>702</v>
      </c>
      <c r="I549" t="s">
        <v>710</v>
      </c>
      <c r="J549" t="s">
        <v>726</v>
      </c>
      <c r="K549" t="s">
        <v>733</v>
      </c>
      <c r="L549" t="s">
        <v>1089</v>
      </c>
      <c r="M549" s="8">
        <v>657.45</v>
      </c>
      <c r="N549" s="8">
        <v>1325.96</v>
      </c>
      <c r="O549" s="8">
        <f t="shared" si="167"/>
        <v>1325.96</v>
      </c>
      <c r="P549" s="11">
        <v>0.16700000000000001</v>
      </c>
      <c r="Q549" s="13">
        <v>21</v>
      </c>
      <c r="R549" s="8">
        <f t="shared" si="168"/>
        <v>23195.01828</v>
      </c>
      <c r="S549" s="8">
        <f t="shared" si="169"/>
        <v>13806.45</v>
      </c>
      <c r="T549" s="8">
        <f t="shared" si="170"/>
        <v>9388.5682799999995</v>
      </c>
      <c r="U549" s="11">
        <f t="shared" si="171"/>
        <v>0.40476658249048808</v>
      </c>
      <c r="V549" s="17">
        <v>45587</v>
      </c>
      <c r="W549" s="4" t="str">
        <f t="shared" si="172"/>
        <v>Q1-2024</v>
      </c>
      <c r="X549" t="str">
        <f t="shared" si="173"/>
        <v>Europe → United Kingdom → Manchester</v>
      </c>
      <c r="Y549" t="str">
        <f t="shared" si="174"/>
        <v>Medium</v>
      </c>
      <c r="Z549" s="20">
        <f t="shared" si="175"/>
        <v>45292</v>
      </c>
      <c r="AA549" s="4">
        <f t="array" ref="AA549">MIN(IF($F$2:$F$633=F549,$Z$2:$Z$633))</f>
        <v>44927</v>
      </c>
      <c r="AB549">
        <f t="shared" si="176"/>
        <v>12</v>
      </c>
      <c r="AC549">
        <f t="shared" si="177"/>
        <v>0</v>
      </c>
      <c r="AD549">
        <f t="shared" si="178"/>
        <v>0</v>
      </c>
      <c r="AE549" s="13">
        <f t="shared" si="179"/>
        <v>0</v>
      </c>
      <c r="AH549">
        <f t="shared" si="180"/>
        <v>25.2</v>
      </c>
      <c r="AI549">
        <f t="shared" si="181"/>
        <v>756.0675</v>
      </c>
      <c r="AJ549" s="11">
        <f t="shared" si="182"/>
        <v>0.16700000000000001</v>
      </c>
      <c r="AK549">
        <f t="shared" si="183"/>
        <v>27834.021936000001</v>
      </c>
      <c r="AL549">
        <f t="shared" si="184"/>
        <v>19052.900999999998</v>
      </c>
      <c r="AM549">
        <f t="shared" si="185"/>
        <v>8781.120936000003</v>
      </c>
    </row>
    <row r="550" spans="1:39" x14ac:dyDescent="0.25">
      <c r="A550" t="s">
        <v>579</v>
      </c>
      <c r="B550" s="4">
        <v>45315</v>
      </c>
      <c r="C550" s="4">
        <v>45326</v>
      </c>
      <c r="D550" s="13">
        <f t="shared" si="166"/>
        <v>11</v>
      </c>
      <c r="E550" s="6" t="s">
        <v>649</v>
      </c>
      <c r="F550" t="s">
        <v>658</v>
      </c>
      <c r="G550" t="s">
        <v>693</v>
      </c>
      <c r="H550" t="s">
        <v>704</v>
      </c>
      <c r="I550" t="s">
        <v>707</v>
      </c>
      <c r="J550" t="s">
        <v>717</v>
      </c>
      <c r="K550" t="s">
        <v>731</v>
      </c>
      <c r="L550" t="s">
        <v>1297</v>
      </c>
      <c r="M550" s="8">
        <v>525.34</v>
      </c>
      <c r="N550" s="8">
        <v>1233.79</v>
      </c>
      <c r="O550" s="8">
        <f t="shared" si="167"/>
        <v>1233.79</v>
      </c>
      <c r="P550" s="11">
        <v>0.14299999999999999</v>
      </c>
      <c r="Q550" s="13">
        <v>4</v>
      </c>
      <c r="R550" s="8">
        <f t="shared" si="168"/>
        <v>4229.4321199999995</v>
      </c>
      <c r="S550" s="8">
        <f t="shared" si="169"/>
        <v>2101.36</v>
      </c>
      <c r="T550" s="8">
        <f t="shared" si="170"/>
        <v>2128.0721199999994</v>
      </c>
      <c r="U550" s="11">
        <f t="shared" si="171"/>
        <v>0.50315788494082736</v>
      </c>
      <c r="V550" s="17">
        <v>45531</v>
      </c>
      <c r="W550" s="4" t="str">
        <f t="shared" si="172"/>
        <v>Q1-2024</v>
      </c>
      <c r="X550" t="str">
        <f t="shared" si="173"/>
        <v>Europe → United Kingdom → Manchester</v>
      </c>
      <c r="Y550" t="str">
        <f t="shared" si="174"/>
        <v>Medium</v>
      </c>
      <c r="Z550" s="20">
        <f t="shared" si="175"/>
        <v>45292</v>
      </c>
      <c r="AA550" s="4">
        <f t="array" ref="AA550">MIN(IF($F$2:$F$633=F550,$Z$2:$Z$633))</f>
        <v>44927</v>
      </c>
      <c r="AB550">
        <f t="shared" si="176"/>
        <v>12</v>
      </c>
      <c r="AC550">
        <f t="shared" si="177"/>
        <v>0</v>
      </c>
      <c r="AD550">
        <f t="shared" si="178"/>
        <v>0</v>
      </c>
      <c r="AE550" s="13">
        <f t="shared" si="179"/>
        <v>0</v>
      </c>
      <c r="AH550">
        <f t="shared" si="180"/>
        <v>4.8</v>
      </c>
      <c r="AI550">
        <f t="shared" si="181"/>
        <v>604.14099999999996</v>
      </c>
      <c r="AJ550" s="11">
        <f t="shared" si="182"/>
        <v>0.14299999999999999</v>
      </c>
      <c r="AK550">
        <f t="shared" si="183"/>
        <v>5075.3185439999997</v>
      </c>
      <c r="AL550">
        <f t="shared" si="184"/>
        <v>2899.8767999999995</v>
      </c>
      <c r="AM550">
        <f t="shared" si="185"/>
        <v>2175.4417440000002</v>
      </c>
    </row>
    <row r="551" spans="1:39" x14ac:dyDescent="0.25">
      <c r="A551" t="s">
        <v>614</v>
      </c>
      <c r="B551" s="4">
        <v>45360</v>
      </c>
      <c r="C551" s="4">
        <v>45373</v>
      </c>
      <c r="D551" s="13">
        <f t="shared" si="166"/>
        <v>13</v>
      </c>
      <c r="E551" s="6" t="s">
        <v>649</v>
      </c>
      <c r="F551" t="s">
        <v>658</v>
      </c>
      <c r="G551" t="s">
        <v>693</v>
      </c>
      <c r="H551" t="s">
        <v>704</v>
      </c>
      <c r="I551" t="s">
        <v>708</v>
      </c>
      <c r="J551" t="s">
        <v>718</v>
      </c>
      <c r="K551" t="s">
        <v>731</v>
      </c>
      <c r="L551" t="s">
        <v>1332</v>
      </c>
      <c r="M551" s="8">
        <v>985.45</v>
      </c>
      <c r="N551" s="8">
        <v>1802.44</v>
      </c>
      <c r="O551" s="8">
        <f t="shared" si="167"/>
        <v>1802.44</v>
      </c>
      <c r="P551" s="11">
        <v>8.9999999999999993E-3</v>
      </c>
      <c r="Q551" s="13">
        <v>19</v>
      </c>
      <c r="R551" s="8">
        <f t="shared" si="168"/>
        <v>33938.142760000002</v>
      </c>
      <c r="S551" s="8">
        <f t="shared" si="169"/>
        <v>18723.55</v>
      </c>
      <c r="T551" s="8">
        <f t="shared" si="170"/>
        <v>15214.592760000003</v>
      </c>
      <c r="U551" s="11">
        <f t="shared" si="171"/>
        <v>0.44830363486867486</v>
      </c>
      <c r="V551" s="17">
        <v>45472</v>
      </c>
      <c r="W551" s="4" t="str">
        <f t="shared" si="172"/>
        <v>Q1-2024</v>
      </c>
      <c r="X551" t="str">
        <f t="shared" si="173"/>
        <v>Europe → United Kingdom → Manchester</v>
      </c>
      <c r="Y551" t="str">
        <f t="shared" si="174"/>
        <v>High</v>
      </c>
      <c r="Z551" s="20">
        <f t="shared" si="175"/>
        <v>45352</v>
      </c>
      <c r="AA551" s="4">
        <f t="array" ref="AA551">MIN(IF($F$2:$F$633=F551,$Z$2:$Z$633))</f>
        <v>44927</v>
      </c>
      <c r="AB551">
        <f t="shared" si="176"/>
        <v>14</v>
      </c>
      <c r="AC551">
        <f t="shared" si="177"/>
        <v>0</v>
      </c>
      <c r="AD551">
        <f t="shared" si="178"/>
        <v>0</v>
      </c>
      <c r="AE551" s="13">
        <f t="shared" si="179"/>
        <v>0</v>
      </c>
      <c r="AH551">
        <f t="shared" si="180"/>
        <v>22.8</v>
      </c>
      <c r="AI551">
        <f t="shared" si="181"/>
        <v>1133.2674999999999</v>
      </c>
      <c r="AJ551" s="11">
        <f t="shared" si="182"/>
        <v>8.9999999999999993E-3</v>
      </c>
      <c r="AK551">
        <f t="shared" si="183"/>
        <v>40725.771312000004</v>
      </c>
      <c r="AL551">
        <f t="shared" si="184"/>
        <v>25838.499</v>
      </c>
      <c r="AM551">
        <f t="shared" si="185"/>
        <v>14887.272312000005</v>
      </c>
    </row>
    <row r="552" spans="1:39" x14ac:dyDescent="0.25">
      <c r="A552" t="s">
        <v>48</v>
      </c>
      <c r="B552" s="4">
        <v>45400</v>
      </c>
      <c r="C552" s="4">
        <v>45420</v>
      </c>
      <c r="D552" s="13">
        <f t="shared" si="166"/>
        <v>20</v>
      </c>
      <c r="E552" s="6" t="s">
        <v>649</v>
      </c>
      <c r="F552" t="s">
        <v>658</v>
      </c>
      <c r="G552" t="s">
        <v>683</v>
      </c>
      <c r="H552" t="s">
        <v>703</v>
      </c>
      <c r="J552" t="s">
        <v>726</v>
      </c>
      <c r="K552" t="s">
        <v>731</v>
      </c>
      <c r="L552" t="s">
        <v>767</v>
      </c>
      <c r="M552" s="8">
        <v>645.33000000000004</v>
      </c>
      <c r="N552" s="8">
        <v>1321.85</v>
      </c>
      <c r="O552" s="8">
        <f t="shared" si="167"/>
        <v>1321.85</v>
      </c>
      <c r="P552" s="11">
        <v>0</v>
      </c>
      <c r="Q552" s="13">
        <v>10</v>
      </c>
      <c r="R552" s="8">
        <f t="shared" si="168"/>
        <v>13218.5</v>
      </c>
      <c r="S552" s="8">
        <f t="shared" si="169"/>
        <v>6453.3</v>
      </c>
      <c r="T552" s="8">
        <f t="shared" si="170"/>
        <v>6765.2</v>
      </c>
      <c r="U552" s="11">
        <f t="shared" si="171"/>
        <v>0.51179785906116426</v>
      </c>
      <c r="V552" s="17">
        <v>45459</v>
      </c>
      <c r="W552" s="4" t="str">
        <f t="shared" si="172"/>
        <v>Q2-2024</v>
      </c>
      <c r="X552" t="str">
        <f t="shared" si="173"/>
        <v>Europe → United Kingdom → London</v>
      </c>
      <c r="Y552" t="str">
        <f t="shared" si="174"/>
        <v>Medium</v>
      </c>
      <c r="Z552" s="20">
        <f t="shared" si="175"/>
        <v>45383</v>
      </c>
      <c r="AA552" s="4">
        <f t="array" ref="AA552">MIN(IF($F$2:$F$633=F552,$Z$2:$Z$633))</f>
        <v>44927</v>
      </c>
      <c r="AB552">
        <f t="shared" si="176"/>
        <v>15</v>
      </c>
      <c r="AC552">
        <f t="shared" si="177"/>
        <v>0</v>
      </c>
      <c r="AD552">
        <f t="shared" si="178"/>
        <v>0</v>
      </c>
      <c r="AE552" s="13">
        <f t="shared" si="179"/>
        <v>0</v>
      </c>
      <c r="AH552">
        <f t="shared" si="180"/>
        <v>12</v>
      </c>
      <c r="AI552">
        <f t="shared" si="181"/>
        <v>742.12950000000001</v>
      </c>
      <c r="AJ552" s="11">
        <f t="shared" si="182"/>
        <v>0</v>
      </c>
      <c r="AK552">
        <f t="shared" si="183"/>
        <v>15862.199999999999</v>
      </c>
      <c r="AL552">
        <f t="shared" si="184"/>
        <v>8905.5540000000001</v>
      </c>
      <c r="AM552">
        <f t="shared" si="185"/>
        <v>6956.6459999999988</v>
      </c>
    </row>
    <row r="553" spans="1:39" x14ac:dyDescent="0.25">
      <c r="A553" t="s">
        <v>515</v>
      </c>
      <c r="B553" s="4">
        <v>45406</v>
      </c>
      <c r="C553" s="4">
        <v>45408</v>
      </c>
      <c r="D553" s="13">
        <f t="shared" si="166"/>
        <v>2</v>
      </c>
      <c r="E553" s="6" t="s">
        <v>649</v>
      </c>
      <c r="F553" t="s">
        <v>658</v>
      </c>
      <c r="G553" t="s">
        <v>683</v>
      </c>
      <c r="H553" t="s">
        <v>703</v>
      </c>
      <c r="I553" t="s">
        <v>710</v>
      </c>
      <c r="J553" t="s">
        <v>725</v>
      </c>
      <c r="K553" t="s">
        <v>730</v>
      </c>
      <c r="L553" t="s">
        <v>1234</v>
      </c>
      <c r="M553" s="8">
        <v>1232.77</v>
      </c>
      <c r="N553" s="8">
        <v>891.73</v>
      </c>
      <c r="O553" s="8">
        <f t="shared" si="167"/>
        <v>891.73</v>
      </c>
      <c r="P553" s="11">
        <v>0.16700000000000001</v>
      </c>
      <c r="Q553" s="13">
        <v>10</v>
      </c>
      <c r="R553" s="8">
        <f t="shared" si="168"/>
        <v>7428.1108999999988</v>
      </c>
      <c r="S553" s="8">
        <f t="shared" si="169"/>
        <v>12327.7</v>
      </c>
      <c r="T553" s="8">
        <f t="shared" si="170"/>
        <v>-4899.589100000002</v>
      </c>
      <c r="U553" s="11">
        <f t="shared" si="171"/>
        <v>-0.65960096260813805</v>
      </c>
      <c r="V553" s="17">
        <v>45447</v>
      </c>
      <c r="W553" s="4" t="str">
        <f t="shared" si="172"/>
        <v>Q2-2024</v>
      </c>
      <c r="X553" t="str">
        <f t="shared" si="173"/>
        <v>Europe → United Kingdom → London</v>
      </c>
      <c r="Y553" t="str">
        <f t="shared" si="174"/>
        <v>Medium</v>
      </c>
      <c r="Z553" s="20">
        <f t="shared" si="175"/>
        <v>45383</v>
      </c>
      <c r="AA553" s="4">
        <f t="array" ref="AA553">MIN(IF($F$2:$F$633=F553,$Z$2:$Z$633))</f>
        <v>44927</v>
      </c>
      <c r="AB553">
        <f t="shared" si="176"/>
        <v>15</v>
      </c>
      <c r="AC553">
        <f t="shared" si="177"/>
        <v>1</v>
      </c>
      <c r="AD553">
        <f t="shared" si="178"/>
        <v>0</v>
      </c>
      <c r="AE553" s="13">
        <f t="shared" si="179"/>
        <v>1</v>
      </c>
      <c r="AH553">
        <f t="shared" si="180"/>
        <v>12</v>
      </c>
      <c r="AI553">
        <f t="shared" si="181"/>
        <v>1417.6854999999998</v>
      </c>
      <c r="AJ553" s="11">
        <f t="shared" si="182"/>
        <v>0.16700000000000001</v>
      </c>
      <c r="AK553">
        <f t="shared" si="183"/>
        <v>8913.73308</v>
      </c>
      <c r="AL553">
        <f t="shared" si="184"/>
        <v>17012.225999999999</v>
      </c>
      <c r="AM553">
        <f t="shared" si="185"/>
        <v>-8098.4929199999988</v>
      </c>
    </row>
    <row r="554" spans="1:39" x14ac:dyDescent="0.25">
      <c r="A554" t="s">
        <v>490</v>
      </c>
      <c r="B554" s="4">
        <v>45422</v>
      </c>
      <c r="C554" s="4">
        <v>45428</v>
      </c>
      <c r="D554" s="13">
        <f t="shared" si="166"/>
        <v>6</v>
      </c>
      <c r="E554" s="6" t="s">
        <v>649</v>
      </c>
      <c r="F554" t="s">
        <v>658</v>
      </c>
      <c r="G554" t="s">
        <v>674</v>
      </c>
      <c r="H554" t="s">
        <v>703</v>
      </c>
      <c r="I554" t="s">
        <v>711</v>
      </c>
      <c r="J554" t="s">
        <v>715</v>
      </c>
      <c r="K554" t="s">
        <v>731</v>
      </c>
      <c r="L554" t="s">
        <v>1209</v>
      </c>
      <c r="M554" s="8">
        <v>210.76</v>
      </c>
      <c r="N554" s="8">
        <v>221.58</v>
      </c>
      <c r="O554" s="8">
        <f t="shared" si="167"/>
        <v>221.58</v>
      </c>
      <c r="P554" s="11">
        <v>8.8999999999999996E-2</v>
      </c>
      <c r="Q554" s="13">
        <v>5</v>
      </c>
      <c r="R554" s="8">
        <f t="shared" si="168"/>
        <v>1009.2969000000002</v>
      </c>
      <c r="S554" s="8">
        <f t="shared" si="169"/>
        <v>1053.8</v>
      </c>
      <c r="T554" s="8">
        <f t="shared" si="170"/>
        <v>-44.50309999999979</v>
      </c>
      <c r="U554" s="11">
        <f t="shared" si="171"/>
        <v>-4.4093170205912434E-2</v>
      </c>
      <c r="V554" s="17">
        <v>45431</v>
      </c>
      <c r="W554" s="4" t="str">
        <f t="shared" si="172"/>
        <v>Q2-2024</v>
      </c>
      <c r="X554" t="str">
        <f t="shared" si="173"/>
        <v>Europe → United Kingdom → Birmingham</v>
      </c>
      <c r="Y554" t="str">
        <f t="shared" si="174"/>
        <v>Low</v>
      </c>
      <c r="Z554" s="20">
        <f t="shared" si="175"/>
        <v>45413</v>
      </c>
      <c r="AA554" s="4">
        <f t="array" ref="AA554">MIN(IF($F$2:$F$633=F554,$Z$2:$Z$633))</f>
        <v>44927</v>
      </c>
      <c r="AB554">
        <f t="shared" si="176"/>
        <v>16</v>
      </c>
      <c r="AC554">
        <f t="shared" si="177"/>
        <v>1</v>
      </c>
      <c r="AD554">
        <f t="shared" si="178"/>
        <v>0</v>
      </c>
      <c r="AE554" s="13">
        <f t="shared" si="179"/>
        <v>1</v>
      </c>
      <c r="AH554">
        <f t="shared" si="180"/>
        <v>6</v>
      </c>
      <c r="AI554">
        <f t="shared" si="181"/>
        <v>242.37399999999997</v>
      </c>
      <c r="AJ554" s="11">
        <f t="shared" si="182"/>
        <v>8.8999999999999996E-2</v>
      </c>
      <c r="AK554">
        <f t="shared" si="183"/>
        <v>1211.1562800000002</v>
      </c>
      <c r="AL554">
        <f t="shared" si="184"/>
        <v>1454.2439999999997</v>
      </c>
      <c r="AM554">
        <f t="shared" si="185"/>
        <v>-243.08771999999954</v>
      </c>
    </row>
    <row r="555" spans="1:39" x14ac:dyDescent="0.25">
      <c r="A555" t="s">
        <v>502</v>
      </c>
      <c r="B555" s="4">
        <v>45424</v>
      </c>
      <c r="C555" s="4">
        <v>45436</v>
      </c>
      <c r="D555" s="13">
        <f t="shared" si="166"/>
        <v>12</v>
      </c>
      <c r="E555" s="6" t="s">
        <v>649</v>
      </c>
      <c r="F555" t="s">
        <v>658</v>
      </c>
      <c r="G555" t="s">
        <v>693</v>
      </c>
      <c r="H555" t="s">
        <v>702</v>
      </c>
      <c r="I555" t="s">
        <v>709</v>
      </c>
      <c r="J555" t="s">
        <v>723</v>
      </c>
      <c r="K555" t="s">
        <v>728</v>
      </c>
      <c r="L555" t="s">
        <v>1221</v>
      </c>
      <c r="M555" s="8">
        <v>111.02</v>
      </c>
      <c r="N555" s="8">
        <v>172.88</v>
      </c>
      <c r="O555" s="8">
        <f t="shared" si="167"/>
        <v>172.88</v>
      </c>
      <c r="P555" s="11">
        <v>0.19700000000000001</v>
      </c>
      <c r="Q555" s="13">
        <v>29</v>
      </c>
      <c r="R555" s="8">
        <f t="shared" si="168"/>
        <v>4025.8565599999993</v>
      </c>
      <c r="S555" s="8">
        <f t="shared" si="169"/>
        <v>3219.58</v>
      </c>
      <c r="T555" s="8">
        <f t="shared" si="170"/>
        <v>806.27655999999934</v>
      </c>
      <c r="U555" s="11">
        <f t="shared" si="171"/>
        <v>0.20027453735212053</v>
      </c>
      <c r="V555" s="17">
        <v>45435</v>
      </c>
      <c r="W555" s="4" t="str">
        <f t="shared" si="172"/>
        <v>Q2-2024</v>
      </c>
      <c r="X555" t="str">
        <f t="shared" si="173"/>
        <v>Europe → United Kingdom → Manchester</v>
      </c>
      <c r="Y555" t="str">
        <f t="shared" si="174"/>
        <v>Low</v>
      </c>
      <c r="Z555" s="20">
        <f t="shared" si="175"/>
        <v>45413</v>
      </c>
      <c r="AA555" s="4">
        <f t="array" ref="AA555">MIN(IF($F$2:$F$633=F555,$Z$2:$Z$633))</f>
        <v>44927</v>
      </c>
      <c r="AB555">
        <f t="shared" si="176"/>
        <v>16</v>
      </c>
      <c r="AC555">
        <f t="shared" si="177"/>
        <v>0</v>
      </c>
      <c r="AD555">
        <f t="shared" si="178"/>
        <v>0</v>
      </c>
      <c r="AE555" s="13">
        <f t="shared" si="179"/>
        <v>0</v>
      </c>
      <c r="AH555">
        <f t="shared" si="180"/>
        <v>34.799999999999997</v>
      </c>
      <c r="AI555">
        <f t="shared" si="181"/>
        <v>127.67299999999999</v>
      </c>
      <c r="AJ555" s="11">
        <f t="shared" si="182"/>
        <v>0.19700000000000001</v>
      </c>
      <c r="AK555">
        <f t="shared" si="183"/>
        <v>4831.0278719999988</v>
      </c>
      <c r="AL555">
        <f t="shared" si="184"/>
        <v>4443.0203999999994</v>
      </c>
      <c r="AM555">
        <f t="shared" si="185"/>
        <v>388.00747199999932</v>
      </c>
    </row>
    <row r="556" spans="1:39" x14ac:dyDescent="0.25">
      <c r="A556" t="s">
        <v>62</v>
      </c>
      <c r="B556" s="4">
        <v>45426</v>
      </c>
      <c r="C556" s="4">
        <v>45440</v>
      </c>
      <c r="D556" s="13">
        <f t="shared" si="166"/>
        <v>14</v>
      </c>
      <c r="E556" s="6" t="s">
        <v>649</v>
      </c>
      <c r="F556" t="s">
        <v>658</v>
      </c>
      <c r="G556" t="s">
        <v>674</v>
      </c>
      <c r="H556" t="s">
        <v>704</v>
      </c>
      <c r="I556" t="s">
        <v>707</v>
      </c>
      <c r="J556" t="s">
        <v>717</v>
      </c>
      <c r="K556" t="s">
        <v>729</v>
      </c>
      <c r="L556" t="s">
        <v>781</v>
      </c>
      <c r="M556" s="8">
        <v>1421.14</v>
      </c>
      <c r="N556" s="8">
        <v>3524</v>
      </c>
      <c r="O556" s="8">
        <f t="shared" si="167"/>
        <v>3524</v>
      </c>
      <c r="P556" s="11">
        <v>0</v>
      </c>
      <c r="Q556" s="13">
        <v>31</v>
      </c>
      <c r="R556" s="8">
        <f t="shared" si="168"/>
        <v>109244</v>
      </c>
      <c r="S556" s="8">
        <f t="shared" si="169"/>
        <v>44055.340000000004</v>
      </c>
      <c r="T556" s="8">
        <f t="shared" si="170"/>
        <v>65188.659999999996</v>
      </c>
      <c r="U556" s="11">
        <f t="shared" si="171"/>
        <v>0.59672531214528945</v>
      </c>
      <c r="V556" s="17">
        <v>45434</v>
      </c>
      <c r="W556" s="4" t="str">
        <f t="shared" si="172"/>
        <v>Q2-2024</v>
      </c>
      <c r="X556" t="str">
        <f t="shared" si="173"/>
        <v>Europe → United Kingdom → Birmingham</v>
      </c>
      <c r="Y556" t="str">
        <f t="shared" si="174"/>
        <v>High</v>
      </c>
      <c r="Z556" s="20">
        <f t="shared" si="175"/>
        <v>45413</v>
      </c>
      <c r="AA556" s="4">
        <f t="array" ref="AA556">MIN(IF($F$2:$F$633=F556,$Z$2:$Z$633))</f>
        <v>44927</v>
      </c>
      <c r="AB556">
        <f t="shared" si="176"/>
        <v>16</v>
      </c>
      <c r="AC556">
        <f t="shared" si="177"/>
        <v>0</v>
      </c>
      <c r="AD556">
        <f t="shared" si="178"/>
        <v>0</v>
      </c>
      <c r="AE556" s="13">
        <f t="shared" si="179"/>
        <v>0</v>
      </c>
      <c r="AH556">
        <f t="shared" si="180"/>
        <v>37.199999999999996</v>
      </c>
      <c r="AI556">
        <f t="shared" si="181"/>
        <v>1634.3109999999999</v>
      </c>
      <c r="AJ556" s="11">
        <f t="shared" si="182"/>
        <v>0</v>
      </c>
      <c r="AK556">
        <f t="shared" si="183"/>
        <v>131092.79999999999</v>
      </c>
      <c r="AL556">
        <f t="shared" si="184"/>
        <v>60796.369199999994</v>
      </c>
      <c r="AM556">
        <f t="shared" si="185"/>
        <v>70296.430800000002</v>
      </c>
    </row>
    <row r="557" spans="1:39" x14ac:dyDescent="0.25">
      <c r="A557" t="s">
        <v>126</v>
      </c>
      <c r="B557" s="4">
        <v>45453</v>
      </c>
      <c r="C557" s="4">
        <v>45454</v>
      </c>
      <c r="D557" s="13">
        <f t="shared" si="166"/>
        <v>1</v>
      </c>
      <c r="E557" s="6" t="s">
        <v>649</v>
      </c>
      <c r="F557" t="s">
        <v>658</v>
      </c>
      <c r="G557" t="s">
        <v>674</v>
      </c>
      <c r="H557" t="s">
        <v>705</v>
      </c>
      <c r="I557" t="s">
        <v>709</v>
      </c>
      <c r="J557" t="s">
        <v>724</v>
      </c>
      <c r="K557" t="s">
        <v>731</v>
      </c>
      <c r="L557" t="s">
        <v>845</v>
      </c>
      <c r="M557" s="8">
        <v>1187.1300000000001</v>
      </c>
      <c r="N557" s="8">
        <v>1795.17</v>
      </c>
      <c r="O557" s="8">
        <f t="shared" si="167"/>
        <v>1795.17</v>
      </c>
      <c r="P557" s="11">
        <v>1.2E-2</v>
      </c>
      <c r="Q557" s="13">
        <v>17</v>
      </c>
      <c r="R557" s="8">
        <f t="shared" si="168"/>
        <v>30151.675319999998</v>
      </c>
      <c r="S557" s="8">
        <f t="shared" si="169"/>
        <v>20181.210000000003</v>
      </c>
      <c r="T557" s="8">
        <f t="shared" si="170"/>
        <v>9970.4653199999957</v>
      </c>
      <c r="U557" s="11">
        <f t="shared" si="171"/>
        <v>0.33067699271046663</v>
      </c>
      <c r="V557" s="17">
        <v>45386</v>
      </c>
      <c r="W557" s="4" t="str">
        <f t="shared" si="172"/>
        <v>Q2-2024</v>
      </c>
      <c r="X557" t="str">
        <f t="shared" si="173"/>
        <v>Europe → United Kingdom → Birmingham</v>
      </c>
      <c r="Y557" t="str">
        <f t="shared" si="174"/>
        <v>High</v>
      </c>
      <c r="Z557" s="20">
        <f t="shared" si="175"/>
        <v>45444</v>
      </c>
      <c r="AA557" s="4">
        <f t="array" ref="AA557">MIN(IF($F$2:$F$633=F557,$Z$2:$Z$633))</f>
        <v>44927</v>
      </c>
      <c r="AB557">
        <f t="shared" si="176"/>
        <v>17</v>
      </c>
      <c r="AC557">
        <f t="shared" si="177"/>
        <v>1</v>
      </c>
      <c r="AD557">
        <f t="shared" si="178"/>
        <v>0</v>
      </c>
      <c r="AE557" s="13">
        <f t="shared" si="179"/>
        <v>1</v>
      </c>
      <c r="AH557">
        <f t="shared" si="180"/>
        <v>20.399999999999999</v>
      </c>
      <c r="AI557">
        <f t="shared" si="181"/>
        <v>1365.1994999999999</v>
      </c>
      <c r="AJ557" s="11">
        <f t="shared" si="182"/>
        <v>1.2E-2</v>
      </c>
      <c r="AK557">
        <f t="shared" si="183"/>
        <v>36182.010384000001</v>
      </c>
      <c r="AL557">
        <f t="shared" si="184"/>
        <v>27850.069799999997</v>
      </c>
      <c r="AM557">
        <f t="shared" si="185"/>
        <v>8331.9405840000036</v>
      </c>
    </row>
    <row r="558" spans="1:39" x14ac:dyDescent="0.25">
      <c r="A558" t="s">
        <v>374</v>
      </c>
      <c r="B558" s="4">
        <v>45466</v>
      </c>
      <c r="C558" s="4">
        <v>45468</v>
      </c>
      <c r="D558" s="13">
        <f t="shared" si="166"/>
        <v>2</v>
      </c>
      <c r="E558" s="6" t="s">
        <v>649</v>
      </c>
      <c r="F558" t="s">
        <v>658</v>
      </c>
      <c r="G558" t="s">
        <v>674</v>
      </c>
      <c r="H558" t="s">
        <v>705</v>
      </c>
      <c r="I558" t="s">
        <v>709</v>
      </c>
      <c r="J558" t="s">
        <v>716</v>
      </c>
      <c r="K558" t="s">
        <v>733</v>
      </c>
      <c r="L558" t="s">
        <v>1094</v>
      </c>
      <c r="M558" s="8">
        <v>951.44</v>
      </c>
      <c r="N558" s="8">
        <v>1646.43</v>
      </c>
      <c r="O558" s="8">
        <f t="shared" si="167"/>
        <v>1646.43</v>
      </c>
      <c r="P558" s="11">
        <v>0.11</v>
      </c>
      <c r="Q558" s="13">
        <v>24</v>
      </c>
      <c r="R558" s="8">
        <f t="shared" si="168"/>
        <v>35167.7448</v>
      </c>
      <c r="S558" s="8">
        <f t="shared" si="169"/>
        <v>22834.560000000001</v>
      </c>
      <c r="T558" s="8">
        <f t="shared" si="170"/>
        <v>12333.184799999999</v>
      </c>
      <c r="U558" s="11">
        <f t="shared" si="171"/>
        <v>0.35069592520473475</v>
      </c>
      <c r="V558" s="17">
        <v>45387</v>
      </c>
      <c r="W558" s="4" t="str">
        <f t="shared" si="172"/>
        <v>Q2-2024</v>
      </c>
      <c r="X558" t="str">
        <f t="shared" si="173"/>
        <v>Europe → United Kingdom → Birmingham</v>
      </c>
      <c r="Y558" t="str">
        <f t="shared" si="174"/>
        <v>High</v>
      </c>
      <c r="Z558" s="20">
        <f t="shared" si="175"/>
        <v>45444</v>
      </c>
      <c r="AA558" s="4">
        <f t="array" ref="AA558">MIN(IF($F$2:$F$633=F558,$Z$2:$Z$633))</f>
        <v>44927</v>
      </c>
      <c r="AB558">
        <f t="shared" si="176"/>
        <v>17</v>
      </c>
      <c r="AC558">
        <f t="shared" si="177"/>
        <v>1</v>
      </c>
      <c r="AD558">
        <f t="shared" si="178"/>
        <v>0</v>
      </c>
      <c r="AE558" s="13">
        <f t="shared" si="179"/>
        <v>1</v>
      </c>
      <c r="AH558">
        <f t="shared" si="180"/>
        <v>28.799999999999997</v>
      </c>
      <c r="AI558">
        <f t="shared" si="181"/>
        <v>1094.1559999999999</v>
      </c>
      <c r="AJ558" s="11">
        <f t="shared" si="182"/>
        <v>0.11</v>
      </c>
      <c r="AK558">
        <f t="shared" si="183"/>
        <v>42201.293759999993</v>
      </c>
      <c r="AL558">
        <f t="shared" si="184"/>
        <v>31511.692799999997</v>
      </c>
      <c r="AM558">
        <f t="shared" si="185"/>
        <v>10689.600959999996</v>
      </c>
    </row>
    <row r="559" spans="1:39" x14ac:dyDescent="0.25">
      <c r="A559" t="s">
        <v>122</v>
      </c>
      <c r="B559" s="4">
        <v>45518</v>
      </c>
      <c r="C559" s="4">
        <v>45539</v>
      </c>
      <c r="D559" s="13">
        <f t="shared" si="166"/>
        <v>21</v>
      </c>
      <c r="E559" s="6" t="s">
        <v>649</v>
      </c>
      <c r="F559" t="s">
        <v>658</v>
      </c>
      <c r="G559" t="s">
        <v>693</v>
      </c>
      <c r="H559" t="s">
        <v>703</v>
      </c>
      <c r="I559" t="s">
        <v>708</v>
      </c>
      <c r="J559" t="s">
        <v>713</v>
      </c>
      <c r="K559" t="s">
        <v>730</v>
      </c>
      <c r="L559" t="s">
        <v>841</v>
      </c>
      <c r="M559" s="8">
        <v>1138.8</v>
      </c>
      <c r="N559" s="8">
        <v>2250.81</v>
      </c>
      <c r="O559" s="8">
        <f t="shared" si="167"/>
        <v>2250.81</v>
      </c>
      <c r="P559" s="11">
        <v>0.123</v>
      </c>
      <c r="Q559" s="13">
        <v>12</v>
      </c>
      <c r="R559" s="8">
        <f t="shared" si="168"/>
        <v>23687.524440000001</v>
      </c>
      <c r="S559" s="8">
        <f t="shared" si="169"/>
        <v>13665.599999999999</v>
      </c>
      <c r="T559" s="8">
        <f t="shared" si="170"/>
        <v>10021.924440000003</v>
      </c>
      <c r="U559" s="11">
        <f t="shared" si="171"/>
        <v>0.42308872188756258</v>
      </c>
      <c r="V559" s="17">
        <v>45338</v>
      </c>
      <c r="W559" s="4" t="str">
        <f t="shared" si="172"/>
        <v>Q3-2024</v>
      </c>
      <c r="X559" t="str">
        <f t="shared" si="173"/>
        <v>Europe → United Kingdom → Manchester</v>
      </c>
      <c r="Y559" t="str">
        <f t="shared" si="174"/>
        <v>High</v>
      </c>
      <c r="Z559" s="20">
        <f t="shared" si="175"/>
        <v>45505</v>
      </c>
      <c r="AA559" s="4">
        <f t="array" ref="AA559">MIN(IF($F$2:$F$633=F559,$Z$2:$Z$633))</f>
        <v>44927</v>
      </c>
      <c r="AB559">
        <f t="shared" si="176"/>
        <v>19</v>
      </c>
      <c r="AC559">
        <f t="shared" si="177"/>
        <v>0</v>
      </c>
      <c r="AD559">
        <f t="shared" si="178"/>
        <v>0</v>
      </c>
      <c r="AE559" s="13">
        <f t="shared" si="179"/>
        <v>0</v>
      </c>
      <c r="AH559">
        <f t="shared" si="180"/>
        <v>14.399999999999999</v>
      </c>
      <c r="AI559">
        <f t="shared" si="181"/>
        <v>1309.6199999999999</v>
      </c>
      <c r="AJ559" s="11">
        <f t="shared" si="182"/>
        <v>0.123</v>
      </c>
      <c r="AK559">
        <f t="shared" si="183"/>
        <v>28425.029327999997</v>
      </c>
      <c r="AL559">
        <f t="shared" si="184"/>
        <v>18858.527999999995</v>
      </c>
      <c r="AM559">
        <f t="shared" si="185"/>
        <v>9566.5013280000021</v>
      </c>
    </row>
    <row r="560" spans="1:39" x14ac:dyDescent="0.25">
      <c r="A560" t="s">
        <v>511</v>
      </c>
      <c r="B560" s="4">
        <v>45544</v>
      </c>
      <c r="C560" s="4">
        <v>45548</v>
      </c>
      <c r="D560" s="13">
        <f t="shared" si="166"/>
        <v>4</v>
      </c>
      <c r="E560" s="6" t="s">
        <v>649</v>
      </c>
      <c r="F560" t="s">
        <v>658</v>
      </c>
      <c r="G560" t="s">
        <v>683</v>
      </c>
      <c r="H560" t="s">
        <v>704</v>
      </c>
      <c r="I560" t="s">
        <v>709</v>
      </c>
      <c r="J560" t="s">
        <v>721</v>
      </c>
      <c r="K560" t="s">
        <v>729</v>
      </c>
      <c r="L560" t="s">
        <v>1230</v>
      </c>
      <c r="M560" s="8">
        <v>1133.08</v>
      </c>
      <c r="N560" s="8">
        <v>976.17</v>
      </c>
      <c r="O560" s="8">
        <f t="shared" si="167"/>
        <v>976.17</v>
      </c>
      <c r="P560" s="11">
        <v>4.2000000000000003E-2</v>
      </c>
      <c r="Q560" s="13">
        <v>27</v>
      </c>
      <c r="R560" s="8">
        <f t="shared" si="168"/>
        <v>25249.613219999999</v>
      </c>
      <c r="S560" s="8">
        <f t="shared" si="169"/>
        <v>30593.159999999996</v>
      </c>
      <c r="T560" s="8">
        <f t="shared" si="170"/>
        <v>-5343.5467799999969</v>
      </c>
      <c r="U560" s="11">
        <f t="shared" si="171"/>
        <v>-0.21162885678452373</v>
      </c>
      <c r="V560" s="17">
        <v>45303</v>
      </c>
      <c r="W560" s="4" t="str">
        <f t="shared" si="172"/>
        <v>Q3-2024</v>
      </c>
      <c r="X560" t="str">
        <f t="shared" si="173"/>
        <v>Europe → United Kingdom → London</v>
      </c>
      <c r="Y560" t="str">
        <f t="shared" si="174"/>
        <v>Medium</v>
      </c>
      <c r="Z560" s="20">
        <f t="shared" si="175"/>
        <v>45536</v>
      </c>
      <c r="AA560" s="4">
        <f t="array" ref="AA560">MIN(IF($F$2:$F$633=F560,$Z$2:$Z$633))</f>
        <v>44927</v>
      </c>
      <c r="AB560">
        <f t="shared" si="176"/>
        <v>20</v>
      </c>
      <c r="AC560">
        <f t="shared" si="177"/>
        <v>1</v>
      </c>
      <c r="AD560">
        <f t="shared" si="178"/>
        <v>0</v>
      </c>
      <c r="AE560" s="13">
        <f t="shared" si="179"/>
        <v>1</v>
      </c>
      <c r="AH560">
        <f t="shared" si="180"/>
        <v>32.4</v>
      </c>
      <c r="AI560">
        <f t="shared" si="181"/>
        <v>1303.0419999999999</v>
      </c>
      <c r="AJ560" s="11">
        <f t="shared" si="182"/>
        <v>4.2000000000000003E-2</v>
      </c>
      <c r="AK560">
        <f t="shared" si="183"/>
        <v>30299.535863999994</v>
      </c>
      <c r="AL560">
        <f t="shared" si="184"/>
        <v>42218.560799999992</v>
      </c>
      <c r="AM560">
        <f t="shared" si="185"/>
        <v>-11919.024935999998</v>
      </c>
    </row>
    <row r="561" spans="1:39" x14ac:dyDescent="0.25">
      <c r="A561" t="s">
        <v>280</v>
      </c>
      <c r="B561" s="4">
        <v>45573</v>
      </c>
      <c r="C561" s="4">
        <v>45573</v>
      </c>
      <c r="D561" s="13">
        <f t="shared" si="166"/>
        <v>0</v>
      </c>
      <c r="E561" s="6" t="s">
        <v>649</v>
      </c>
      <c r="F561" t="s">
        <v>658</v>
      </c>
      <c r="G561" t="s">
        <v>683</v>
      </c>
      <c r="H561" t="s">
        <v>701</v>
      </c>
      <c r="I561" t="s">
        <v>708</v>
      </c>
      <c r="J561" t="s">
        <v>718</v>
      </c>
      <c r="K561" t="s">
        <v>732</v>
      </c>
      <c r="L561" t="s">
        <v>1000</v>
      </c>
      <c r="M561" s="8">
        <v>1108.1099999999999</v>
      </c>
      <c r="N561" s="8">
        <v>2503.79</v>
      </c>
      <c r="O561" s="8">
        <f t="shared" si="167"/>
        <v>2503.79</v>
      </c>
      <c r="P561" s="11">
        <v>0.184</v>
      </c>
      <c r="Q561" s="13">
        <v>19</v>
      </c>
      <c r="R561" s="8">
        <f t="shared" si="168"/>
        <v>38818.760160000005</v>
      </c>
      <c r="S561" s="8">
        <f t="shared" si="169"/>
        <v>21054.089999999997</v>
      </c>
      <c r="T561" s="8">
        <f t="shared" si="170"/>
        <v>17764.670160000009</v>
      </c>
      <c r="U561" s="11">
        <f t="shared" si="171"/>
        <v>0.45763105485025896</v>
      </c>
      <c r="V561" s="17">
        <v>45280</v>
      </c>
      <c r="W561" s="4" t="str">
        <f t="shared" si="172"/>
        <v>Q4-2024</v>
      </c>
      <c r="X561" t="str">
        <f t="shared" si="173"/>
        <v>Europe → United Kingdom → London</v>
      </c>
      <c r="Y561" t="str">
        <f t="shared" si="174"/>
        <v>High</v>
      </c>
      <c r="Z561" s="20">
        <f t="shared" si="175"/>
        <v>45566</v>
      </c>
      <c r="AA561" s="4">
        <f t="array" ref="AA561">MIN(IF($F$2:$F$633=F561,$Z$2:$Z$633))</f>
        <v>44927</v>
      </c>
      <c r="AB561">
        <f t="shared" si="176"/>
        <v>21</v>
      </c>
      <c r="AC561">
        <f t="shared" si="177"/>
        <v>1</v>
      </c>
      <c r="AD561">
        <f t="shared" si="178"/>
        <v>0</v>
      </c>
      <c r="AE561" s="13">
        <f t="shared" si="179"/>
        <v>1</v>
      </c>
      <c r="AH561">
        <f t="shared" si="180"/>
        <v>22.8</v>
      </c>
      <c r="AI561">
        <f t="shared" si="181"/>
        <v>1274.3264999999999</v>
      </c>
      <c r="AJ561" s="11">
        <f t="shared" si="182"/>
        <v>0.184</v>
      </c>
      <c r="AK561">
        <f t="shared" si="183"/>
        <v>46582.512192000009</v>
      </c>
      <c r="AL561">
        <f t="shared" si="184"/>
        <v>29054.644199999999</v>
      </c>
      <c r="AM561">
        <f t="shared" si="185"/>
        <v>17527.86799200001</v>
      </c>
    </row>
    <row r="562" spans="1:39" x14ac:dyDescent="0.25">
      <c r="A562" t="s">
        <v>184</v>
      </c>
      <c r="B562" s="4">
        <v>45574</v>
      </c>
      <c r="C562" s="4">
        <v>45604</v>
      </c>
      <c r="D562" s="13">
        <f t="shared" si="166"/>
        <v>30</v>
      </c>
      <c r="E562" s="6" t="s">
        <v>649</v>
      </c>
      <c r="F562" t="s">
        <v>658</v>
      </c>
      <c r="G562" t="s">
        <v>693</v>
      </c>
      <c r="H562" t="s">
        <v>705</v>
      </c>
      <c r="I562" t="s">
        <v>710</v>
      </c>
      <c r="J562" t="s">
        <v>713</v>
      </c>
      <c r="K562" t="s">
        <v>727</v>
      </c>
      <c r="L562" t="s">
        <v>903</v>
      </c>
      <c r="M562" s="8">
        <v>343.85</v>
      </c>
      <c r="N562" s="8">
        <v>538.04</v>
      </c>
      <c r="O562" s="8">
        <f t="shared" si="167"/>
        <v>538.04</v>
      </c>
      <c r="P562" s="11">
        <v>0.13900000000000001</v>
      </c>
      <c r="Q562" s="13">
        <v>5</v>
      </c>
      <c r="R562" s="8">
        <f t="shared" si="168"/>
        <v>2316.2621999999997</v>
      </c>
      <c r="S562" s="8">
        <f t="shared" si="169"/>
        <v>1719.25</v>
      </c>
      <c r="T562" s="8">
        <f t="shared" si="170"/>
        <v>597.01219999999967</v>
      </c>
      <c r="U562" s="11">
        <f t="shared" si="171"/>
        <v>0.25774810813732563</v>
      </c>
      <c r="V562" s="17">
        <v>45278</v>
      </c>
      <c r="W562" s="4" t="str">
        <f t="shared" si="172"/>
        <v>Q4-2024</v>
      </c>
      <c r="X562" t="str">
        <f t="shared" si="173"/>
        <v>Europe → United Kingdom → Manchester</v>
      </c>
      <c r="Y562" t="str">
        <f t="shared" si="174"/>
        <v>Low</v>
      </c>
      <c r="Z562" s="20">
        <f t="shared" si="175"/>
        <v>45566</v>
      </c>
      <c r="AA562" s="4">
        <f t="array" ref="AA562">MIN(IF($F$2:$F$633=F562,$Z$2:$Z$633))</f>
        <v>44927</v>
      </c>
      <c r="AB562">
        <f t="shared" si="176"/>
        <v>21</v>
      </c>
      <c r="AC562">
        <f t="shared" si="177"/>
        <v>0</v>
      </c>
      <c r="AD562">
        <f t="shared" si="178"/>
        <v>0</v>
      </c>
      <c r="AE562" s="13">
        <f t="shared" si="179"/>
        <v>0</v>
      </c>
      <c r="AH562">
        <f t="shared" si="180"/>
        <v>6</v>
      </c>
      <c r="AI562">
        <f t="shared" si="181"/>
        <v>395.42750000000001</v>
      </c>
      <c r="AJ562" s="11">
        <f t="shared" si="182"/>
        <v>0.13900000000000001</v>
      </c>
      <c r="AK562">
        <f t="shared" si="183"/>
        <v>2779.5146399999999</v>
      </c>
      <c r="AL562">
        <f t="shared" si="184"/>
        <v>2372.5650000000001</v>
      </c>
      <c r="AM562">
        <f t="shared" si="185"/>
        <v>406.94963999999982</v>
      </c>
    </row>
    <row r="563" spans="1:39" x14ac:dyDescent="0.25">
      <c r="A563" t="s">
        <v>526</v>
      </c>
      <c r="B563" s="4">
        <v>45575</v>
      </c>
      <c r="C563" s="4">
        <v>45576</v>
      </c>
      <c r="D563" s="13">
        <f t="shared" si="166"/>
        <v>1</v>
      </c>
      <c r="E563" s="6" t="s">
        <v>649</v>
      </c>
      <c r="F563" t="s">
        <v>658</v>
      </c>
      <c r="G563" t="s">
        <v>693</v>
      </c>
      <c r="H563" t="s">
        <v>703</v>
      </c>
      <c r="I563" t="s">
        <v>710</v>
      </c>
      <c r="J563" t="s">
        <v>716</v>
      </c>
      <c r="K563" t="s">
        <v>727</v>
      </c>
      <c r="L563" t="s">
        <v>1245</v>
      </c>
      <c r="M563" s="8">
        <v>1389.46</v>
      </c>
      <c r="N563" s="8">
        <v>1784.7</v>
      </c>
      <c r="O563" s="8">
        <f t="shared" si="167"/>
        <v>1784.7</v>
      </c>
      <c r="P563" s="11">
        <v>0.14599999999999999</v>
      </c>
      <c r="Q563" s="13">
        <v>33</v>
      </c>
      <c r="R563" s="8">
        <f t="shared" si="168"/>
        <v>50296.415399999998</v>
      </c>
      <c r="S563" s="8">
        <f t="shared" si="169"/>
        <v>45852.18</v>
      </c>
      <c r="T563" s="8">
        <f t="shared" si="170"/>
        <v>4444.2353999999978</v>
      </c>
      <c r="U563" s="11">
        <f t="shared" si="171"/>
        <v>8.8360877503011831E-2</v>
      </c>
      <c r="V563" s="17">
        <v>45284</v>
      </c>
      <c r="W563" s="4" t="str">
        <f t="shared" si="172"/>
        <v>Q4-2024</v>
      </c>
      <c r="X563" t="str">
        <f t="shared" si="173"/>
        <v>Europe → United Kingdom → Manchester</v>
      </c>
      <c r="Y563" t="str">
        <f t="shared" si="174"/>
        <v>High</v>
      </c>
      <c r="Z563" s="20">
        <f t="shared" si="175"/>
        <v>45566</v>
      </c>
      <c r="AA563" s="4">
        <f t="array" ref="AA563">MIN(IF($F$2:$F$633=F563,$Z$2:$Z$633))</f>
        <v>44927</v>
      </c>
      <c r="AB563">
        <f t="shared" si="176"/>
        <v>21</v>
      </c>
      <c r="AC563">
        <f t="shared" si="177"/>
        <v>1</v>
      </c>
      <c r="AD563">
        <f t="shared" si="178"/>
        <v>0</v>
      </c>
      <c r="AE563" s="13">
        <f t="shared" si="179"/>
        <v>1</v>
      </c>
      <c r="AH563">
        <f t="shared" si="180"/>
        <v>39.6</v>
      </c>
      <c r="AI563">
        <f t="shared" si="181"/>
        <v>1597.8789999999999</v>
      </c>
      <c r="AJ563" s="11">
        <f t="shared" si="182"/>
        <v>0.14599999999999999</v>
      </c>
      <c r="AK563">
        <f t="shared" si="183"/>
        <v>60355.698480000006</v>
      </c>
      <c r="AL563">
        <f t="shared" si="184"/>
        <v>63276.008399999999</v>
      </c>
      <c r="AM563">
        <f t="shared" si="185"/>
        <v>-2920.3099199999924</v>
      </c>
    </row>
    <row r="564" spans="1:39" x14ac:dyDescent="0.25">
      <c r="A564" t="s">
        <v>327</v>
      </c>
      <c r="B564" s="4">
        <v>45600</v>
      </c>
      <c r="C564" s="4">
        <v>45601</v>
      </c>
      <c r="D564" s="13">
        <f t="shared" si="166"/>
        <v>1</v>
      </c>
      <c r="E564" s="6" t="s">
        <v>649</v>
      </c>
      <c r="F564" t="s">
        <v>658</v>
      </c>
      <c r="G564" t="s">
        <v>683</v>
      </c>
      <c r="H564" t="s">
        <v>701</v>
      </c>
      <c r="I564" t="s">
        <v>707</v>
      </c>
      <c r="J564" t="s">
        <v>724</v>
      </c>
      <c r="K564" t="s">
        <v>728</v>
      </c>
      <c r="L564" t="s">
        <v>1047</v>
      </c>
      <c r="M564" s="8">
        <v>840.68</v>
      </c>
      <c r="N564" s="8">
        <v>1493.53</v>
      </c>
      <c r="O564" s="8">
        <f t="shared" si="167"/>
        <v>1493.53</v>
      </c>
      <c r="P564" s="11">
        <v>0</v>
      </c>
      <c r="Q564" s="13">
        <v>27</v>
      </c>
      <c r="R564" s="8">
        <f t="shared" si="168"/>
        <v>40325.31</v>
      </c>
      <c r="S564" s="8">
        <f t="shared" si="169"/>
        <v>22698.359999999997</v>
      </c>
      <c r="T564" s="8">
        <f t="shared" si="170"/>
        <v>17626.95</v>
      </c>
      <c r="U564" s="11">
        <f t="shared" si="171"/>
        <v>0.43711877230454027</v>
      </c>
      <c r="V564" s="17">
        <v>45265</v>
      </c>
      <c r="W564" s="4" t="str">
        <f t="shared" si="172"/>
        <v>Q4-2024</v>
      </c>
      <c r="X564" t="str">
        <f t="shared" si="173"/>
        <v>Europe → United Kingdom → London</v>
      </c>
      <c r="Y564" t="str">
        <f t="shared" si="174"/>
        <v>Medium</v>
      </c>
      <c r="Z564" s="20">
        <f t="shared" si="175"/>
        <v>45597</v>
      </c>
      <c r="AA564" s="4">
        <f t="array" ref="AA564">MIN(IF($F$2:$F$633=F564,$Z$2:$Z$633))</f>
        <v>44927</v>
      </c>
      <c r="AB564">
        <f t="shared" si="176"/>
        <v>22</v>
      </c>
      <c r="AC564">
        <f t="shared" si="177"/>
        <v>1</v>
      </c>
      <c r="AD564">
        <f t="shared" si="178"/>
        <v>0</v>
      </c>
      <c r="AE564" s="13">
        <f t="shared" si="179"/>
        <v>1</v>
      </c>
      <c r="AH564">
        <f t="shared" si="180"/>
        <v>32.4</v>
      </c>
      <c r="AI564">
        <f t="shared" si="181"/>
        <v>966.78199999999981</v>
      </c>
      <c r="AJ564" s="11">
        <f t="shared" si="182"/>
        <v>0</v>
      </c>
      <c r="AK564">
        <f t="shared" si="183"/>
        <v>48390.371999999996</v>
      </c>
      <c r="AL564">
        <f t="shared" si="184"/>
        <v>31323.736799999991</v>
      </c>
      <c r="AM564">
        <f t="shared" si="185"/>
        <v>17066.635200000004</v>
      </c>
    </row>
    <row r="565" spans="1:39" x14ac:dyDescent="0.25">
      <c r="A565" t="s">
        <v>593</v>
      </c>
      <c r="B565" s="4">
        <v>45607</v>
      </c>
      <c r="C565" s="4">
        <v>45620</v>
      </c>
      <c r="D565" s="13">
        <f t="shared" si="166"/>
        <v>13</v>
      </c>
      <c r="E565" s="6" t="s">
        <v>649</v>
      </c>
      <c r="F565" t="s">
        <v>658</v>
      </c>
      <c r="G565" t="s">
        <v>683</v>
      </c>
      <c r="H565" t="s">
        <v>701</v>
      </c>
      <c r="I565" t="s">
        <v>707</v>
      </c>
      <c r="J565" t="s">
        <v>718</v>
      </c>
      <c r="K565" t="s">
        <v>729</v>
      </c>
      <c r="L565" t="s">
        <v>1311</v>
      </c>
      <c r="M565" s="8">
        <v>164.53</v>
      </c>
      <c r="N565" s="8">
        <v>327.72</v>
      </c>
      <c r="O565" s="8">
        <f t="shared" si="167"/>
        <v>327.72</v>
      </c>
      <c r="P565" s="11">
        <v>6.7000000000000004E-2</v>
      </c>
      <c r="Q565" s="13">
        <v>14</v>
      </c>
      <c r="R565" s="8">
        <f t="shared" si="168"/>
        <v>4280.6786400000001</v>
      </c>
      <c r="S565" s="8">
        <f t="shared" si="169"/>
        <v>2303.42</v>
      </c>
      <c r="T565" s="8">
        <f t="shared" si="170"/>
        <v>1977.25864</v>
      </c>
      <c r="U565" s="11">
        <f t="shared" si="171"/>
        <v>0.46190307805960412</v>
      </c>
      <c r="V565" s="17">
        <v>45265</v>
      </c>
      <c r="W565" s="4" t="str">
        <f t="shared" si="172"/>
        <v>Q4-2024</v>
      </c>
      <c r="X565" t="str">
        <f t="shared" si="173"/>
        <v>Europe → United Kingdom → London</v>
      </c>
      <c r="Y565" t="str">
        <f t="shared" si="174"/>
        <v>Low</v>
      </c>
      <c r="Z565" s="20">
        <f t="shared" si="175"/>
        <v>45597</v>
      </c>
      <c r="AA565" s="4">
        <f t="array" ref="AA565">MIN(IF($F$2:$F$633=F565,$Z$2:$Z$633))</f>
        <v>44927</v>
      </c>
      <c r="AB565">
        <f t="shared" si="176"/>
        <v>22</v>
      </c>
      <c r="AC565">
        <f t="shared" si="177"/>
        <v>0</v>
      </c>
      <c r="AD565">
        <f t="shared" si="178"/>
        <v>0</v>
      </c>
      <c r="AE565" s="13">
        <f t="shared" si="179"/>
        <v>0</v>
      </c>
      <c r="AH565">
        <f t="shared" si="180"/>
        <v>16.8</v>
      </c>
      <c r="AI565">
        <f t="shared" si="181"/>
        <v>189.20949999999999</v>
      </c>
      <c r="AJ565" s="11">
        <f t="shared" si="182"/>
        <v>6.7000000000000004E-2</v>
      </c>
      <c r="AK565">
        <f t="shared" si="183"/>
        <v>5136.8143680000012</v>
      </c>
      <c r="AL565">
        <f t="shared" si="184"/>
        <v>3178.7195999999999</v>
      </c>
      <c r="AM565">
        <f t="shared" si="185"/>
        <v>1958.0947680000013</v>
      </c>
    </row>
    <row r="566" spans="1:39" x14ac:dyDescent="0.25">
      <c r="A566" t="s">
        <v>564</v>
      </c>
      <c r="B566" s="4">
        <v>45633</v>
      </c>
      <c r="C566" s="4">
        <v>45652</v>
      </c>
      <c r="D566" s="13">
        <f t="shared" si="166"/>
        <v>19</v>
      </c>
      <c r="E566" s="6" t="s">
        <v>649</v>
      </c>
      <c r="F566" t="s">
        <v>658</v>
      </c>
      <c r="G566" t="s">
        <v>683</v>
      </c>
      <c r="H566" t="s">
        <v>706</v>
      </c>
      <c r="I566" t="s">
        <v>708</v>
      </c>
      <c r="J566" t="s">
        <v>726</v>
      </c>
      <c r="K566" t="s">
        <v>729</v>
      </c>
      <c r="L566" t="s">
        <v>1282</v>
      </c>
      <c r="M566" s="8">
        <v>1035.24</v>
      </c>
      <c r="N566" s="8">
        <v>2383.41</v>
      </c>
      <c r="O566" s="8">
        <f t="shared" si="167"/>
        <v>2383.41</v>
      </c>
      <c r="P566" s="11">
        <v>0.17</v>
      </c>
      <c r="Q566" s="13">
        <v>15</v>
      </c>
      <c r="R566" s="8">
        <f t="shared" si="168"/>
        <v>29673.454499999993</v>
      </c>
      <c r="S566" s="8">
        <f t="shared" si="169"/>
        <v>15528.6</v>
      </c>
      <c r="T566" s="8">
        <f t="shared" si="170"/>
        <v>14144.854499999992</v>
      </c>
      <c r="U566" s="11">
        <f t="shared" si="171"/>
        <v>0.47668378145860962</v>
      </c>
      <c r="V566" s="17">
        <v>45199</v>
      </c>
      <c r="W566" s="4" t="str">
        <f t="shared" si="172"/>
        <v>Q4-2024</v>
      </c>
      <c r="X566" t="str">
        <f t="shared" si="173"/>
        <v>Europe → United Kingdom → London</v>
      </c>
      <c r="Y566" t="str">
        <f t="shared" si="174"/>
        <v>High</v>
      </c>
      <c r="Z566" s="20">
        <f t="shared" si="175"/>
        <v>45627</v>
      </c>
      <c r="AA566" s="4">
        <f t="array" ref="AA566">MIN(IF($F$2:$F$633=F566,$Z$2:$Z$633))</f>
        <v>44927</v>
      </c>
      <c r="AB566">
        <f t="shared" si="176"/>
        <v>23</v>
      </c>
      <c r="AC566">
        <f t="shared" si="177"/>
        <v>0</v>
      </c>
      <c r="AD566">
        <f t="shared" si="178"/>
        <v>0</v>
      </c>
      <c r="AE566" s="13">
        <f t="shared" si="179"/>
        <v>0</v>
      </c>
      <c r="AH566">
        <f t="shared" si="180"/>
        <v>18</v>
      </c>
      <c r="AI566">
        <f t="shared" si="181"/>
        <v>1190.5259999999998</v>
      </c>
      <c r="AJ566" s="11">
        <f t="shared" si="182"/>
        <v>0.17</v>
      </c>
      <c r="AK566">
        <f t="shared" si="183"/>
        <v>35608.145399999994</v>
      </c>
      <c r="AL566">
        <f t="shared" si="184"/>
        <v>21429.467999999997</v>
      </c>
      <c r="AM566">
        <f t="shared" si="185"/>
        <v>14178.677399999997</v>
      </c>
    </row>
    <row r="567" spans="1:39" x14ac:dyDescent="0.25">
      <c r="A567" t="s">
        <v>631</v>
      </c>
      <c r="B567" s="4">
        <v>45643</v>
      </c>
      <c r="C567" s="4">
        <v>45673</v>
      </c>
      <c r="D567" s="13">
        <f t="shared" si="166"/>
        <v>30</v>
      </c>
      <c r="E567" s="6" t="s">
        <v>649</v>
      </c>
      <c r="F567" t="s">
        <v>658</v>
      </c>
      <c r="G567" t="s">
        <v>693</v>
      </c>
      <c r="H567" t="s">
        <v>701</v>
      </c>
      <c r="I567" t="s">
        <v>707</v>
      </c>
      <c r="J567" t="s">
        <v>726</v>
      </c>
      <c r="K567" t="s">
        <v>732</v>
      </c>
      <c r="L567" t="s">
        <v>1349</v>
      </c>
      <c r="M567" s="8">
        <v>722.87</v>
      </c>
      <c r="N567" s="8">
        <v>-33.659999999999997</v>
      </c>
      <c r="O567" s="8">
        <f t="shared" si="167"/>
        <v>33.659999999999997</v>
      </c>
      <c r="P567" s="11">
        <v>0.10199999999999999</v>
      </c>
      <c r="Q567" s="13">
        <v>28</v>
      </c>
      <c r="R567" s="8">
        <f t="shared" si="168"/>
        <v>846.34703999999988</v>
      </c>
      <c r="S567" s="8">
        <f t="shared" si="169"/>
        <v>20240.36</v>
      </c>
      <c r="T567" s="8">
        <f t="shared" si="170"/>
        <v>-19394.01296</v>
      </c>
      <c r="U567" s="11">
        <f t="shared" si="171"/>
        <v>-22.914965189693348</v>
      </c>
      <c r="V567" s="17">
        <v>45217</v>
      </c>
      <c r="W567" s="4" t="str">
        <f t="shared" si="172"/>
        <v>Q4-2024</v>
      </c>
      <c r="X567" t="str">
        <f t="shared" si="173"/>
        <v>Europe → United Kingdom → Manchester</v>
      </c>
      <c r="Y567" t="str">
        <f t="shared" si="174"/>
        <v>Low</v>
      </c>
      <c r="Z567" s="20">
        <f t="shared" si="175"/>
        <v>45627</v>
      </c>
      <c r="AA567" s="4">
        <f t="array" ref="AA567">MIN(IF($F$2:$F$633=F567,$Z$2:$Z$633))</f>
        <v>44927</v>
      </c>
      <c r="AB567">
        <f t="shared" si="176"/>
        <v>23</v>
      </c>
      <c r="AC567">
        <f t="shared" si="177"/>
        <v>0</v>
      </c>
      <c r="AD567">
        <f t="shared" si="178"/>
        <v>0</v>
      </c>
      <c r="AE567" s="13">
        <f t="shared" si="179"/>
        <v>0</v>
      </c>
      <c r="AH567">
        <f t="shared" si="180"/>
        <v>33.6</v>
      </c>
      <c r="AI567">
        <f t="shared" si="181"/>
        <v>831.30049999999994</v>
      </c>
      <c r="AJ567" s="11">
        <f t="shared" si="182"/>
        <v>0.10199999999999999</v>
      </c>
      <c r="AK567">
        <f t="shared" si="183"/>
        <v>1015.6164479999999</v>
      </c>
      <c r="AL567">
        <f t="shared" si="184"/>
        <v>27931.696799999998</v>
      </c>
      <c r="AM567">
        <f t="shared" si="185"/>
        <v>-26916.080351999997</v>
      </c>
    </row>
    <row r="568" spans="1:39" x14ac:dyDescent="0.25">
      <c r="A568" t="s">
        <v>324</v>
      </c>
      <c r="B568" s="4">
        <v>45655</v>
      </c>
      <c r="C568" s="4">
        <v>45669</v>
      </c>
      <c r="D568" s="13">
        <f t="shared" si="166"/>
        <v>14</v>
      </c>
      <c r="E568" s="6" t="s">
        <v>649</v>
      </c>
      <c r="F568" t="s">
        <v>658</v>
      </c>
      <c r="G568" t="s">
        <v>693</v>
      </c>
      <c r="H568" t="s">
        <v>701</v>
      </c>
      <c r="I568" t="s">
        <v>711</v>
      </c>
      <c r="J568" t="s">
        <v>717</v>
      </c>
      <c r="K568" t="s">
        <v>732</v>
      </c>
      <c r="L568" t="s">
        <v>1044</v>
      </c>
      <c r="M568" s="8">
        <v>1399.72</v>
      </c>
      <c r="N568" s="8">
        <v>3149.21</v>
      </c>
      <c r="O568" s="8">
        <f t="shared" si="167"/>
        <v>3149.21</v>
      </c>
      <c r="P568" s="11">
        <v>0.185</v>
      </c>
      <c r="Q568" s="13">
        <v>12</v>
      </c>
      <c r="R568" s="8">
        <f t="shared" si="168"/>
        <v>30799.273800000003</v>
      </c>
      <c r="S568" s="8">
        <f t="shared" si="169"/>
        <v>16796.64</v>
      </c>
      <c r="T568" s="8">
        <f t="shared" si="170"/>
        <v>14002.633800000003</v>
      </c>
      <c r="U568" s="11">
        <f t="shared" si="171"/>
        <v>0.45464168703873797</v>
      </c>
      <c r="V568" s="17">
        <v>45177</v>
      </c>
      <c r="W568" s="4" t="str">
        <f t="shared" si="172"/>
        <v>Q4-2024</v>
      </c>
      <c r="X568" t="str">
        <f t="shared" si="173"/>
        <v>Europe → United Kingdom → Manchester</v>
      </c>
      <c r="Y568" t="str">
        <f t="shared" si="174"/>
        <v>High</v>
      </c>
      <c r="Z568" s="20">
        <f t="shared" si="175"/>
        <v>45627</v>
      </c>
      <c r="AA568" s="4">
        <f t="array" ref="AA568">MIN(IF($F$2:$F$633=F568,$Z$2:$Z$633))</f>
        <v>44927</v>
      </c>
      <c r="AB568">
        <f t="shared" si="176"/>
        <v>23</v>
      </c>
      <c r="AC568">
        <f t="shared" si="177"/>
        <v>0</v>
      </c>
      <c r="AD568">
        <f t="shared" si="178"/>
        <v>0</v>
      </c>
      <c r="AE568" s="13">
        <f t="shared" si="179"/>
        <v>0</v>
      </c>
      <c r="AH568">
        <f t="shared" si="180"/>
        <v>14.399999999999999</v>
      </c>
      <c r="AI568">
        <f t="shared" si="181"/>
        <v>1609.6779999999999</v>
      </c>
      <c r="AJ568" s="11">
        <f t="shared" si="182"/>
        <v>0.185</v>
      </c>
      <c r="AK568">
        <f t="shared" si="183"/>
        <v>36959.128559999997</v>
      </c>
      <c r="AL568">
        <f t="shared" si="184"/>
        <v>23179.363199999996</v>
      </c>
      <c r="AM568">
        <f t="shared" si="185"/>
        <v>13779.765360000001</v>
      </c>
    </row>
    <row r="569" spans="1:39" x14ac:dyDescent="0.25">
      <c r="A569" t="s">
        <v>394</v>
      </c>
      <c r="B569" s="4">
        <v>45688</v>
      </c>
      <c r="C569" s="4">
        <v>45705</v>
      </c>
      <c r="D569" s="13">
        <f t="shared" si="166"/>
        <v>17</v>
      </c>
      <c r="E569" s="6" t="s">
        <v>649</v>
      </c>
      <c r="F569" t="s">
        <v>658</v>
      </c>
      <c r="G569" t="s">
        <v>683</v>
      </c>
      <c r="H569" t="s">
        <v>706</v>
      </c>
      <c r="I569" t="s">
        <v>707</v>
      </c>
      <c r="J569" t="s">
        <v>722</v>
      </c>
      <c r="K569" t="s">
        <v>727</v>
      </c>
      <c r="L569" t="s">
        <v>812</v>
      </c>
      <c r="M569" s="8">
        <v>378.26</v>
      </c>
      <c r="N569" s="8">
        <v>541.55999999999995</v>
      </c>
      <c r="O569" s="8">
        <f t="shared" si="167"/>
        <v>541.55999999999995</v>
      </c>
      <c r="P569" s="11">
        <v>0.16300000000000001</v>
      </c>
      <c r="Q569" s="13">
        <v>25</v>
      </c>
      <c r="R569" s="8">
        <f t="shared" si="168"/>
        <v>11332.142999999998</v>
      </c>
      <c r="S569" s="8">
        <f t="shared" si="169"/>
        <v>9456.5</v>
      </c>
      <c r="T569" s="8">
        <f t="shared" si="170"/>
        <v>1875.6429999999982</v>
      </c>
      <c r="U569" s="11">
        <f t="shared" si="171"/>
        <v>0.16551529573885526</v>
      </c>
      <c r="V569" s="17">
        <v>45168</v>
      </c>
      <c r="W569" s="4" t="str">
        <f t="shared" si="172"/>
        <v>Q1-2025</v>
      </c>
      <c r="X569" t="str">
        <f t="shared" si="173"/>
        <v>Europe → United Kingdom → London</v>
      </c>
      <c r="Y569" t="str">
        <f t="shared" si="174"/>
        <v>Low</v>
      </c>
      <c r="Z569" s="20">
        <f t="shared" si="175"/>
        <v>45658</v>
      </c>
      <c r="AA569" s="4">
        <f t="array" ref="AA569">MIN(IF($F$2:$F$633=F569,$Z$2:$Z$633))</f>
        <v>44927</v>
      </c>
      <c r="AB569">
        <f t="shared" si="176"/>
        <v>24</v>
      </c>
      <c r="AC569">
        <f t="shared" si="177"/>
        <v>0</v>
      </c>
      <c r="AD569">
        <f t="shared" si="178"/>
        <v>0</v>
      </c>
      <c r="AE569" s="13">
        <f t="shared" si="179"/>
        <v>0</v>
      </c>
      <c r="AH569">
        <f t="shared" si="180"/>
        <v>30</v>
      </c>
      <c r="AI569">
        <f t="shared" si="181"/>
        <v>434.99899999999997</v>
      </c>
      <c r="AJ569" s="11">
        <f t="shared" si="182"/>
        <v>0.16300000000000001</v>
      </c>
      <c r="AK569">
        <f t="shared" si="183"/>
        <v>13598.571599999999</v>
      </c>
      <c r="AL569">
        <f t="shared" si="184"/>
        <v>13049.97</v>
      </c>
      <c r="AM569">
        <f t="shared" si="185"/>
        <v>548.60159999999996</v>
      </c>
    </row>
    <row r="570" spans="1:39" x14ac:dyDescent="0.25">
      <c r="A570" t="s">
        <v>218</v>
      </c>
      <c r="B570" s="4">
        <v>45692</v>
      </c>
      <c r="C570" s="4">
        <v>45713</v>
      </c>
      <c r="D570" s="13">
        <f t="shared" si="166"/>
        <v>21</v>
      </c>
      <c r="E570" s="6" t="s">
        <v>649</v>
      </c>
      <c r="F570" t="s">
        <v>658</v>
      </c>
      <c r="G570" t="s">
        <v>674</v>
      </c>
      <c r="H570" t="s">
        <v>701</v>
      </c>
      <c r="I570" t="s">
        <v>709</v>
      </c>
      <c r="J570" t="s">
        <v>726</v>
      </c>
      <c r="K570" t="s">
        <v>732</v>
      </c>
      <c r="L570" t="s">
        <v>938</v>
      </c>
      <c r="M570" s="8">
        <v>1016.32</v>
      </c>
      <c r="N570" s="8">
        <v>2253.42</v>
      </c>
      <c r="O570" s="8">
        <f t="shared" si="167"/>
        <v>2253.42</v>
      </c>
      <c r="P570" s="11">
        <v>5.5E-2</v>
      </c>
      <c r="Q570" s="13">
        <v>12</v>
      </c>
      <c r="R570" s="8">
        <f t="shared" si="168"/>
        <v>25553.782800000001</v>
      </c>
      <c r="S570" s="8">
        <f t="shared" si="169"/>
        <v>12195.84</v>
      </c>
      <c r="T570" s="8">
        <f t="shared" si="170"/>
        <v>13357.942800000001</v>
      </c>
      <c r="U570" s="11">
        <f t="shared" si="171"/>
        <v>0.52273837124419797</v>
      </c>
      <c r="V570" s="17">
        <v>45168</v>
      </c>
      <c r="W570" s="4" t="str">
        <f t="shared" si="172"/>
        <v>Q1-2025</v>
      </c>
      <c r="X570" t="str">
        <f t="shared" si="173"/>
        <v>Europe → United Kingdom → Birmingham</v>
      </c>
      <c r="Y570" t="str">
        <f t="shared" si="174"/>
        <v>High</v>
      </c>
      <c r="Z570" s="20">
        <f t="shared" si="175"/>
        <v>45689</v>
      </c>
      <c r="AA570" s="4">
        <f t="array" ref="AA570">MIN(IF($F$2:$F$633=F570,$Z$2:$Z$633))</f>
        <v>44927</v>
      </c>
      <c r="AB570">
        <f t="shared" si="176"/>
        <v>25</v>
      </c>
      <c r="AC570">
        <f t="shared" si="177"/>
        <v>0</v>
      </c>
      <c r="AD570">
        <f t="shared" si="178"/>
        <v>0</v>
      </c>
      <c r="AE570" s="13">
        <f t="shared" si="179"/>
        <v>0</v>
      </c>
      <c r="AH570">
        <f t="shared" si="180"/>
        <v>14.399999999999999</v>
      </c>
      <c r="AI570">
        <f t="shared" si="181"/>
        <v>1168.768</v>
      </c>
      <c r="AJ570" s="11">
        <f t="shared" si="182"/>
        <v>5.5E-2</v>
      </c>
      <c r="AK570">
        <f t="shared" si="183"/>
        <v>30664.539359999999</v>
      </c>
      <c r="AL570">
        <f t="shared" si="184"/>
        <v>16830.2592</v>
      </c>
      <c r="AM570">
        <f t="shared" si="185"/>
        <v>13834.280159999998</v>
      </c>
    </row>
    <row r="571" spans="1:39" x14ac:dyDescent="0.25">
      <c r="A571" t="s">
        <v>578</v>
      </c>
      <c r="B571" s="4">
        <v>45692</v>
      </c>
      <c r="C571" s="4">
        <v>45696</v>
      </c>
      <c r="D571" s="13">
        <f t="shared" si="166"/>
        <v>4</v>
      </c>
      <c r="E571" s="6" t="s">
        <v>649</v>
      </c>
      <c r="F571" t="s">
        <v>658</v>
      </c>
      <c r="G571" t="s">
        <v>693</v>
      </c>
      <c r="H571" t="s">
        <v>706</v>
      </c>
      <c r="I571" t="s">
        <v>709</v>
      </c>
      <c r="J571" t="s">
        <v>716</v>
      </c>
      <c r="K571" t="s">
        <v>729</v>
      </c>
      <c r="L571" t="s">
        <v>1296</v>
      </c>
      <c r="M571" s="8">
        <v>586.21</v>
      </c>
      <c r="N571" s="8">
        <v>727.22</v>
      </c>
      <c r="O571" s="8">
        <f t="shared" si="167"/>
        <v>727.22</v>
      </c>
      <c r="P571" s="11">
        <v>6.8000000000000005E-2</v>
      </c>
      <c r="Q571" s="13">
        <v>15</v>
      </c>
      <c r="R571" s="8">
        <f t="shared" si="168"/>
        <v>10166.535600000001</v>
      </c>
      <c r="S571" s="8">
        <f t="shared" si="169"/>
        <v>8793.1500000000015</v>
      </c>
      <c r="T571" s="8">
        <f t="shared" si="170"/>
        <v>1373.3855999999996</v>
      </c>
      <c r="U571" s="11">
        <f t="shared" si="171"/>
        <v>0.13508884973559721</v>
      </c>
      <c r="V571" s="17">
        <v>45141</v>
      </c>
      <c r="W571" s="4" t="str">
        <f t="shared" si="172"/>
        <v>Q1-2025</v>
      </c>
      <c r="X571" t="str">
        <f t="shared" si="173"/>
        <v>Europe → United Kingdom → Manchester</v>
      </c>
      <c r="Y571" t="str">
        <f t="shared" si="174"/>
        <v>Low</v>
      </c>
      <c r="Z571" s="20">
        <f t="shared" si="175"/>
        <v>45689</v>
      </c>
      <c r="AA571" s="4">
        <f t="array" ref="AA571">MIN(IF($F$2:$F$633=F571,$Z$2:$Z$633))</f>
        <v>44927</v>
      </c>
      <c r="AB571">
        <f t="shared" si="176"/>
        <v>25</v>
      </c>
      <c r="AC571">
        <f t="shared" si="177"/>
        <v>1</v>
      </c>
      <c r="AD571">
        <f t="shared" si="178"/>
        <v>0</v>
      </c>
      <c r="AE571" s="13">
        <f t="shared" si="179"/>
        <v>1</v>
      </c>
      <c r="AH571">
        <f t="shared" si="180"/>
        <v>18</v>
      </c>
      <c r="AI571">
        <f t="shared" si="181"/>
        <v>674.14149999999995</v>
      </c>
      <c r="AJ571" s="11">
        <f t="shared" si="182"/>
        <v>6.8000000000000005E-2</v>
      </c>
      <c r="AK571">
        <f t="shared" si="183"/>
        <v>12199.842720000001</v>
      </c>
      <c r="AL571">
        <f t="shared" si="184"/>
        <v>12134.546999999999</v>
      </c>
      <c r="AM571">
        <f t="shared" si="185"/>
        <v>65.295720000001893</v>
      </c>
    </row>
    <row r="572" spans="1:39" x14ac:dyDescent="0.25">
      <c r="A572" t="s">
        <v>99</v>
      </c>
      <c r="B572" s="4">
        <v>45741</v>
      </c>
      <c r="C572" s="4">
        <v>45764</v>
      </c>
      <c r="D572" s="13">
        <f t="shared" si="166"/>
        <v>23</v>
      </c>
      <c r="E572" s="6" t="s">
        <v>649</v>
      </c>
      <c r="F572" t="s">
        <v>658</v>
      </c>
      <c r="G572" t="s">
        <v>683</v>
      </c>
      <c r="H572" t="s">
        <v>704</v>
      </c>
      <c r="I572" t="s">
        <v>707</v>
      </c>
      <c r="J572" t="s">
        <v>722</v>
      </c>
      <c r="K572" t="s">
        <v>729</v>
      </c>
      <c r="L572" t="s">
        <v>818</v>
      </c>
      <c r="M572" s="8">
        <v>1421.19</v>
      </c>
      <c r="N572" s="8">
        <v>1808.26</v>
      </c>
      <c r="O572" s="8">
        <f t="shared" si="167"/>
        <v>1808.26</v>
      </c>
      <c r="P572" s="11">
        <v>0.104</v>
      </c>
      <c r="Q572" s="13">
        <v>13</v>
      </c>
      <c r="R572" s="8">
        <f t="shared" si="168"/>
        <v>21062.61248</v>
      </c>
      <c r="S572" s="8">
        <f t="shared" si="169"/>
        <v>18475.47</v>
      </c>
      <c r="T572" s="8">
        <f t="shared" si="170"/>
        <v>2587.1424799999986</v>
      </c>
      <c r="U572" s="11">
        <f t="shared" si="171"/>
        <v>0.12283103449093123</v>
      </c>
      <c r="V572" s="17">
        <v>45121</v>
      </c>
      <c r="W572" s="4" t="str">
        <f t="shared" si="172"/>
        <v>Q1-2025</v>
      </c>
      <c r="X572" t="str">
        <f t="shared" si="173"/>
        <v>Europe → United Kingdom → London</v>
      </c>
      <c r="Y572" t="str">
        <f t="shared" si="174"/>
        <v>High</v>
      </c>
      <c r="Z572" s="20">
        <f t="shared" si="175"/>
        <v>45717</v>
      </c>
      <c r="AA572" s="4">
        <f t="array" ref="AA572">MIN(IF($F$2:$F$633=F572,$Z$2:$Z$633))</f>
        <v>44927</v>
      </c>
      <c r="AB572">
        <f t="shared" si="176"/>
        <v>26</v>
      </c>
      <c r="AC572">
        <f t="shared" si="177"/>
        <v>0</v>
      </c>
      <c r="AD572">
        <f t="shared" si="178"/>
        <v>0</v>
      </c>
      <c r="AE572" s="13">
        <f t="shared" si="179"/>
        <v>0</v>
      </c>
      <c r="AH572">
        <f t="shared" si="180"/>
        <v>15.6</v>
      </c>
      <c r="AI572">
        <f t="shared" si="181"/>
        <v>1634.3685</v>
      </c>
      <c r="AJ572" s="11">
        <f t="shared" si="182"/>
        <v>0.104</v>
      </c>
      <c r="AK572">
        <f t="shared" si="183"/>
        <v>25275.134976000001</v>
      </c>
      <c r="AL572">
        <f t="shared" si="184"/>
        <v>25496.1486</v>
      </c>
      <c r="AM572">
        <f t="shared" si="185"/>
        <v>-221.01362399999925</v>
      </c>
    </row>
    <row r="573" spans="1:39" x14ac:dyDescent="0.25">
      <c r="A573" t="s">
        <v>387</v>
      </c>
      <c r="B573" s="4">
        <v>45751</v>
      </c>
      <c r="C573" s="4">
        <v>45757</v>
      </c>
      <c r="D573" s="13">
        <f t="shared" si="166"/>
        <v>6</v>
      </c>
      <c r="E573" s="6" t="s">
        <v>649</v>
      </c>
      <c r="F573" t="s">
        <v>658</v>
      </c>
      <c r="G573" t="s">
        <v>674</v>
      </c>
      <c r="H573" t="s">
        <v>703</v>
      </c>
      <c r="I573" t="s">
        <v>711</v>
      </c>
      <c r="J573" t="s">
        <v>725</v>
      </c>
      <c r="K573" t="s">
        <v>728</v>
      </c>
      <c r="L573" t="s">
        <v>1107</v>
      </c>
      <c r="M573" s="8">
        <v>290.14</v>
      </c>
      <c r="N573" s="8">
        <v>250.73</v>
      </c>
      <c r="O573" s="8">
        <f t="shared" si="167"/>
        <v>250.73</v>
      </c>
      <c r="P573" s="11">
        <v>3.4000000000000002E-2</v>
      </c>
      <c r="Q573" s="13">
        <v>17</v>
      </c>
      <c r="R573" s="8">
        <f t="shared" si="168"/>
        <v>4117.4880599999997</v>
      </c>
      <c r="S573" s="8">
        <f t="shared" si="169"/>
        <v>4932.38</v>
      </c>
      <c r="T573" s="8">
        <f t="shared" si="170"/>
        <v>-814.89194000000043</v>
      </c>
      <c r="U573" s="11">
        <f t="shared" si="171"/>
        <v>-0.19790997038131072</v>
      </c>
      <c r="V573" s="17">
        <v>45097</v>
      </c>
      <c r="W573" s="4" t="str">
        <f t="shared" si="172"/>
        <v>Q2-2025</v>
      </c>
      <c r="X573" t="str">
        <f t="shared" si="173"/>
        <v>Europe → United Kingdom → Birmingham</v>
      </c>
      <c r="Y573" t="str">
        <f t="shared" si="174"/>
        <v>Low</v>
      </c>
      <c r="Z573" s="20">
        <f t="shared" si="175"/>
        <v>45748</v>
      </c>
      <c r="AA573" s="4">
        <f t="array" ref="AA573">MIN(IF($F$2:$F$633=F573,$Z$2:$Z$633))</f>
        <v>44927</v>
      </c>
      <c r="AB573">
        <f t="shared" si="176"/>
        <v>27</v>
      </c>
      <c r="AC573">
        <f t="shared" si="177"/>
        <v>1</v>
      </c>
      <c r="AD573">
        <f t="shared" si="178"/>
        <v>0</v>
      </c>
      <c r="AE573" s="13">
        <f t="shared" si="179"/>
        <v>1</v>
      </c>
      <c r="AH573">
        <f t="shared" si="180"/>
        <v>20.399999999999999</v>
      </c>
      <c r="AI573">
        <f t="shared" si="181"/>
        <v>333.66099999999994</v>
      </c>
      <c r="AJ573" s="11">
        <f t="shared" si="182"/>
        <v>3.4000000000000002E-2</v>
      </c>
      <c r="AK573">
        <f t="shared" si="183"/>
        <v>4940.9856719999998</v>
      </c>
      <c r="AL573">
        <f t="shared" si="184"/>
        <v>6806.6843999999983</v>
      </c>
      <c r="AM573">
        <f t="shared" si="185"/>
        <v>-1865.6987279999985</v>
      </c>
    </row>
    <row r="574" spans="1:39" x14ac:dyDescent="0.25">
      <c r="A574" t="s">
        <v>190</v>
      </c>
      <c r="B574" s="4">
        <v>45761</v>
      </c>
      <c r="C574" s="4">
        <v>45781</v>
      </c>
      <c r="D574" s="13">
        <f t="shared" si="166"/>
        <v>20</v>
      </c>
      <c r="E574" s="6" t="s">
        <v>649</v>
      </c>
      <c r="F574" t="s">
        <v>658</v>
      </c>
      <c r="G574" t="s">
        <v>674</v>
      </c>
      <c r="H574" t="s">
        <v>706</v>
      </c>
      <c r="I574" t="s">
        <v>709</v>
      </c>
      <c r="J574" t="s">
        <v>723</v>
      </c>
      <c r="K574" t="s">
        <v>732</v>
      </c>
      <c r="L574" t="s">
        <v>909</v>
      </c>
      <c r="M574" s="8">
        <v>1413.87</v>
      </c>
      <c r="N574" s="8">
        <v>3275</v>
      </c>
      <c r="O574" s="8">
        <f t="shared" si="167"/>
        <v>3275</v>
      </c>
      <c r="P574" s="11">
        <v>0.255</v>
      </c>
      <c r="Q574" s="13">
        <v>38</v>
      </c>
      <c r="R574" s="8">
        <f t="shared" si="168"/>
        <v>92715.25</v>
      </c>
      <c r="S574" s="8">
        <f t="shared" si="169"/>
        <v>53727.06</v>
      </c>
      <c r="T574" s="8">
        <f t="shared" si="170"/>
        <v>38988.19</v>
      </c>
      <c r="U574" s="11">
        <f t="shared" si="171"/>
        <v>0.42051539525590453</v>
      </c>
      <c r="V574" s="17">
        <v>45100</v>
      </c>
      <c r="W574" s="4" t="str">
        <f t="shared" si="172"/>
        <v>Q2-2025</v>
      </c>
      <c r="X574" t="str">
        <f t="shared" si="173"/>
        <v>Europe → United Kingdom → Birmingham</v>
      </c>
      <c r="Y574" t="str">
        <f t="shared" si="174"/>
        <v>High</v>
      </c>
      <c r="Z574" s="20">
        <f t="shared" si="175"/>
        <v>45748</v>
      </c>
      <c r="AA574" s="4">
        <f t="array" ref="AA574">MIN(IF($F$2:$F$633=F574,$Z$2:$Z$633))</f>
        <v>44927</v>
      </c>
      <c r="AB574">
        <f t="shared" si="176"/>
        <v>27</v>
      </c>
      <c r="AC574">
        <f t="shared" si="177"/>
        <v>0</v>
      </c>
      <c r="AD574">
        <f t="shared" si="178"/>
        <v>1</v>
      </c>
      <c r="AE574" s="13">
        <f t="shared" si="179"/>
        <v>0</v>
      </c>
      <c r="AH574">
        <f t="shared" si="180"/>
        <v>45.6</v>
      </c>
      <c r="AI574">
        <f t="shared" si="181"/>
        <v>1625.9504999999997</v>
      </c>
      <c r="AJ574" s="11">
        <f t="shared" si="182"/>
        <v>0.25</v>
      </c>
      <c r="AK574">
        <f t="shared" si="183"/>
        <v>112005</v>
      </c>
      <c r="AL574">
        <f t="shared" si="184"/>
        <v>74143.342799999984</v>
      </c>
      <c r="AM574">
        <f t="shared" si="185"/>
        <v>37861.657200000016</v>
      </c>
    </row>
    <row r="575" spans="1:39" x14ac:dyDescent="0.25">
      <c r="A575" t="s">
        <v>34</v>
      </c>
      <c r="B575" s="4">
        <v>45796</v>
      </c>
      <c r="C575" s="4">
        <v>45798</v>
      </c>
      <c r="D575" s="13">
        <f t="shared" si="166"/>
        <v>2</v>
      </c>
      <c r="E575" s="6" t="s">
        <v>649</v>
      </c>
      <c r="F575" t="s">
        <v>658</v>
      </c>
      <c r="G575" t="s">
        <v>674</v>
      </c>
      <c r="H575" t="s">
        <v>706</v>
      </c>
      <c r="I575" t="s">
        <v>708</v>
      </c>
      <c r="J575" t="s">
        <v>724</v>
      </c>
      <c r="K575" t="s">
        <v>731</v>
      </c>
      <c r="L575" t="s">
        <v>753</v>
      </c>
      <c r="M575" s="8">
        <v>1015.16</v>
      </c>
      <c r="N575" s="8">
        <v>2148.14</v>
      </c>
      <c r="O575" s="8">
        <f t="shared" si="167"/>
        <v>2148.14</v>
      </c>
      <c r="P575" s="11">
        <v>3.7999999999999999E-2</v>
      </c>
      <c r="Q575" s="13">
        <v>19</v>
      </c>
      <c r="R575" s="8">
        <f t="shared" si="168"/>
        <v>39263.702919999996</v>
      </c>
      <c r="S575" s="8">
        <f t="shared" si="169"/>
        <v>19288.04</v>
      </c>
      <c r="T575" s="8">
        <f t="shared" si="170"/>
        <v>19975.662919999995</v>
      </c>
      <c r="U575" s="11">
        <f t="shared" si="171"/>
        <v>0.50875647059322227</v>
      </c>
      <c r="V575" s="17">
        <v>45047</v>
      </c>
      <c r="W575" s="4" t="str">
        <f t="shared" si="172"/>
        <v>Q2-2025</v>
      </c>
      <c r="X575" t="str">
        <f t="shared" si="173"/>
        <v>Europe → United Kingdom → Birmingham</v>
      </c>
      <c r="Y575" t="str">
        <f t="shared" si="174"/>
        <v>High</v>
      </c>
      <c r="Z575" s="20">
        <f t="shared" si="175"/>
        <v>45778</v>
      </c>
      <c r="AA575" s="4">
        <f t="array" ref="AA575">MIN(IF($F$2:$F$633=F575,$Z$2:$Z$633))</f>
        <v>44927</v>
      </c>
      <c r="AB575">
        <f t="shared" si="176"/>
        <v>28</v>
      </c>
      <c r="AC575">
        <f t="shared" si="177"/>
        <v>1</v>
      </c>
      <c r="AD575">
        <f t="shared" si="178"/>
        <v>0</v>
      </c>
      <c r="AE575" s="13">
        <f t="shared" si="179"/>
        <v>1</v>
      </c>
      <c r="AH575">
        <f t="shared" si="180"/>
        <v>22.8</v>
      </c>
      <c r="AI575">
        <f t="shared" si="181"/>
        <v>1167.434</v>
      </c>
      <c r="AJ575" s="11">
        <f t="shared" si="182"/>
        <v>3.7999999999999999E-2</v>
      </c>
      <c r="AK575">
        <f t="shared" si="183"/>
        <v>47116.443503999995</v>
      </c>
      <c r="AL575">
        <f t="shared" si="184"/>
        <v>26617.495200000001</v>
      </c>
      <c r="AM575">
        <f t="shared" si="185"/>
        <v>20498.948303999994</v>
      </c>
    </row>
    <row r="576" spans="1:39" x14ac:dyDescent="0.25">
      <c r="A576" t="s">
        <v>135</v>
      </c>
      <c r="B576" s="4">
        <v>45827</v>
      </c>
      <c r="C576" s="4">
        <v>45850</v>
      </c>
      <c r="D576" s="13">
        <f t="shared" si="166"/>
        <v>23</v>
      </c>
      <c r="E576" s="6" t="s">
        <v>649</v>
      </c>
      <c r="F576" t="s">
        <v>658</v>
      </c>
      <c r="G576" t="s">
        <v>683</v>
      </c>
      <c r="H576" t="s">
        <v>703</v>
      </c>
      <c r="I576" t="s">
        <v>711</v>
      </c>
      <c r="J576" t="s">
        <v>1422</v>
      </c>
      <c r="K576" t="s">
        <v>729</v>
      </c>
      <c r="L576" t="s">
        <v>854</v>
      </c>
      <c r="M576" s="8">
        <v>801.24</v>
      </c>
      <c r="N576" s="8">
        <v>1959.09</v>
      </c>
      <c r="O576" s="8">
        <f t="shared" si="167"/>
        <v>1959.09</v>
      </c>
      <c r="P576" s="11">
        <v>0.123</v>
      </c>
      <c r="Q576" s="13">
        <v>23</v>
      </c>
      <c r="R576" s="8">
        <f t="shared" si="168"/>
        <v>39516.804389999998</v>
      </c>
      <c r="S576" s="8">
        <f t="shared" si="169"/>
        <v>18428.52</v>
      </c>
      <c r="T576" s="8">
        <f t="shared" si="170"/>
        <v>21088.284389999997</v>
      </c>
      <c r="U576" s="11">
        <f t="shared" si="171"/>
        <v>0.53365358650651762</v>
      </c>
      <c r="V576" s="17">
        <v>45035</v>
      </c>
      <c r="W576" s="4" t="str">
        <f t="shared" si="172"/>
        <v>Q2-2025</v>
      </c>
      <c r="X576" t="str">
        <f t="shared" si="173"/>
        <v>Europe → United Kingdom → London</v>
      </c>
      <c r="Y576" t="str">
        <f t="shared" si="174"/>
        <v>High</v>
      </c>
      <c r="Z576" s="20">
        <f t="shared" si="175"/>
        <v>45809</v>
      </c>
      <c r="AA576" s="4">
        <f t="array" ref="AA576">MIN(IF($F$2:$F$633=F576,$Z$2:$Z$633))</f>
        <v>44927</v>
      </c>
      <c r="AB576">
        <f t="shared" si="176"/>
        <v>29</v>
      </c>
      <c r="AC576">
        <f t="shared" si="177"/>
        <v>0</v>
      </c>
      <c r="AD576">
        <f t="shared" si="178"/>
        <v>0</v>
      </c>
      <c r="AE576" s="13">
        <f t="shared" si="179"/>
        <v>0</v>
      </c>
      <c r="AH576">
        <f t="shared" si="180"/>
        <v>27.599999999999998</v>
      </c>
      <c r="AI576">
        <f t="shared" si="181"/>
        <v>921.42599999999993</v>
      </c>
      <c r="AJ576" s="11">
        <f t="shared" si="182"/>
        <v>0.123</v>
      </c>
      <c r="AK576">
        <f t="shared" si="183"/>
        <v>47420.16526799999</v>
      </c>
      <c r="AL576">
        <f t="shared" si="184"/>
        <v>25431.357599999996</v>
      </c>
      <c r="AM576">
        <f t="shared" si="185"/>
        <v>21988.807667999994</v>
      </c>
    </row>
    <row r="577" spans="1:39" x14ac:dyDescent="0.25">
      <c r="A577" t="s">
        <v>317</v>
      </c>
      <c r="B577" s="4">
        <v>45830</v>
      </c>
      <c r="C577" s="4">
        <v>45846</v>
      </c>
      <c r="D577" s="13">
        <f t="shared" si="166"/>
        <v>16</v>
      </c>
      <c r="E577" s="6" t="s">
        <v>649</v>
      </c>
      <c r="F577" t="s">
        <v>658</v>
      </c>
      <c r="G577" t="s">
        <v>683</v>
      </c>
      <c r="H577" t="s">
        <v>702</v>
      </c>
      <c r="I577" t="s">
        <v>711</v>
      </c>
      <c r="J577" t="s">
        <v>720</v>
      </c>
      <c r="K577" t="s">
        <v>730</v>
      </c>
      <c r="L577" t="s">
        <v>1037</v>
      </c>
      <c r="M577" s="8">
        <v>892.73</v>
      </c>
      <c r="N577" s="8">
        <v>979.84</v>
      </c>
      <c r="O577" s="8">
        <f t="shared" si="167"/>
        <v>979.84</v>
      </c>
      <c r="P577" s="11">
        <v>0.17399999999999999</v>
      </c>
      <c r="Q577" s="13">
        <v>10</v>
      </c>
      <c r="R577" s="8">
        <f t="shared" si="168"/>
        <v>8093.4784</v>
      </c>
      <c r="S577" s="8">
        <f t="shared" si="169"/>
        <v>8927.2999999999993</v>
      </c>
      <c r="T577" s="8">
        <f t="shared" si="170"/>
        <v>-833.82159999999931</v>
      </c>
      <c r="U577" s="11">
        <f t="shared" si="171"/>
        <v>-0.10302388649112838</v>
      </c>
      <c r="V577" s="17">
        <v>45026</v>
      </c>
      <c r="W577" s="4" t="str">
        <f t="shared" si="172"/>
        <v>Q2-2025</v>
      </c>
      <c r="X577" t="str">
        <f t="shared" si="173"/>
        <v>Europe → United Kingdom → London</v>
      </c>
      <c r="Y577" t="str">
        <f t="shared" si="174"/>
        <v>Medium</v>
      </c>
      <c r="Z577" s="20">
        <f t="shared" si="175"/>
        <v>45809</v>
      </c>
      <c r="AA577" s="4">
        <f t="array" ref="AA577">MIN(IF($F$2:$F$633=F577,$Z$2:$Z$633))</f>
        <v>44927</v>
      </c>
      <c r="AB577">
        <f t="shared" si="176"/>
        <v>29</v>
      </c>
      <c r="AC577">
        <f t="shared" si="177"/>
        <v>0</v>
      </c>
      <c r="AD577">
        <f t="shared" si="178"/>
        <v>0</v>
      </c>
      <c r="AE577" s="13">
        <f t="shared" si="179"/>
        <v>0</v>
      </c>
      <c r="AH577">
        <f t="shared" si="180"/>
        <v>12</v>
      </c>
      <c r="AI577">
        <f t="shared" si="181"/>
        <v>1026.6395</v>
      </c>
      <c r="AJ577" s="11">
        <f t="shared" si="182"/>
        <v>0.17399999999999999</v>
      </c>
      <c r="AK577">
        <f t="shared" si="183"/>
        <v>9712.1740800000007</v>
      </c>
      <c r="AL577">
        <f t="shared" si="184"/>
        <v>12319.673999999999</v>
      </c>
      <c r="AM577">
        <f t="shared" si="185"/>
        <v>-2607.4999199999984</v>
      </c>
    </row>
    <row r="578" spans="1:39" x14ac:dyDescent="0.25">
      <c r="A578" t="s">
        <v>375</v>
      </c>
      <c r="B578" s="4">
        <v>45833</v>
      </c>
      <c r="C578" s="4">
        <v>45848</v>
      </c>
      <c r="D578" s="13">
        <f t="shared" ref="D578:D633" si="186">C578-B578</f>
        <v>15</v>
      </c>
      <c r="E578" s="6" t="s">
        <v>649</v>
      </c>
      <c r="F578" t="s">
        <v>658</v>
      </c>
      <c r="G578" t="s">
        <v>674</v>
      </c>
      <c r="H578" t="s">
        <v>703</v>
      </c>
      <c r="I578" t="s">
        <v>709</v>
      </c>
      <c r="J578" t="s">
        <v>726</v>
      </c>
      <c r="K578" t="s">
        <v>730</v>
      </c>
      <c r="L578" t="s">
        <v>1095</v>
      </c>
      <c r="M578" s="8">
        <v>546.83000000000004</v>
      </c>
      <c r="N578" s="8">
        <v>400.84</v>
      </c>
      <c r="O578" s="8">
        <f t="shared" ref="O578:O633" si="187">ABS(N:N)</f>
        <v>400.84</v>
      </c>
      <c r="P578" s="11">
        <v>7.8E-2</v>
      </c>
      <c r="Q578" s="13">
        <v>13</v>
      </c>
      <c r="R578" s="8">
        <f t="shared" ref="R578:R633" si="188">O578*Q578*(1-P578)</f>
        <v>4804.4682400000002</v>
      </c>
      <c r="S578" s="8">
        <f t="shared" ref="S578:S633" si="189">PRODUCT(M578*Q578)</f>
        <v>7108.7900000000009</v>
      </c>
      <c r="T578" s="8">
        <f t="shared" ref="T578:T633" si="190">R578-S578</f>
        <v>-2304.3217600000007</v>
      </c>
      <c r="U578" s="11">
        <f t="shared" ref="U578:U633" si="191">IF(T578=0, "0", T578/R578)</f>
        <v>-0.47962056254533608</v>
      </c>
      <c r="V578" s="17">
        <v>45035</v>
      </c>
      <c r="W578" s="4" t="str">
        <f t="shared" ref="W578:W633" si="192">"Q"&amp;ROUNDUP(MONTH(B578)/3,0)&amp;"-"&amp;YEAR(B578)</f>
        <v>Q2-2025</v>
      </c>
      <c r="X578" t="str">
        <f t="shared" ref="X578:X633" si="193">E578 &amp; " → " &amp; F578 &amp; " → " &amp; G578</f>
        <v>Europe → United Kingdom → Birmingham</v>
      </c>
      <c r="Y578" t="str">
        <f t="shared" ref="Y578:Y633" si="194">IF(O578&lt;=_xlfn.PERCENTILE.INC($O:$O,0.33),"Low",
IF(O578&lt;=_xlfn.PERCENTILE.INC($O:$O,0.67),"Medium","High"))</f>
        <v>Low</v>
      </c>
      <c r="Z578" s="20">
        <f t="shared" ref="Z578:Z633" si="195">DATE(YEAR(B578),MONTH(B578),1)</f>
        <v>45809</v>
      </c>
      <c r="AA578" s="4">
        <f t="array" ref="AA578">MIN(IF($F$2:$F$633=F578,$Z$2:$Z$633))</f>
        <v>44927</v>
      </c>
      <c r="AB578">
        <f t="shared" si="176"/>
        <v>29</v>
      </c>
      <c r="AC578">
        <f t="shared" si="177"/>
        <v>0</v>
      </c>
      <c r="AD578">
        <f t="shared" si="178"/>
        <v>0</v>
      </c>
      <c r="AE578" s="13">
        <f t="shared" si="179"/>
        <v>0</v>
      </c>
      <c r="AH578">
        <f t="shared" si="180"/>
        <v>15.6</v>
      </c>
      <c r="AI578">
        <f t="shared" si="181"/>
        <v>628.85450000000003</v>
      </c>
      <c r="AJ578" s="11">
        <f t="shared" si="182"/>
        <v>7.8E-2</v>
      </c>
      <c r="AK578">
        <f t="shared" si="183"/>
        <v>5765.3618879999995</v>
      </c>
      <c r="AL578">
        <f t="shared" si="184"/>
        <v>9810.1301999999996</v>
      </c>
      <c r="AM578">
        <f t="shared" si="185"/>
        <v>-4044.7683120000002</v>
      </c>
    </row>
    <row r="579" spans="1:39" x14ac:dyDescent="0.25">
      <c r="A579" t="s">
        <v>632</v>
      </c>
      <c r="B579" s="4">
        <v>45849</v>
      </c>
      <c r="C579" s="4">
        <v>45854</v>
      </c>
      <c r="D579" s="13">
        <f t="shared" si="186"/>
        <v>5</v>
      </c>
      <c r="E579" s="6" t="s">
        <v>649</v>
      </c>
      <c r="F579" t="s">
        <v>658</v>
      </c>
      <c r="G579" t="s">
        <v>683</v>
      </c>
      <c r="H579" t="s">
        <v>706</v>
      </c>
      <c r="I579" t="s">
        <v>708</v>
      </c>
      <c r="J579" t="s">
        <v>723</v>
      </c>
      <c r="K579" t="s">
        <v>728</v>
      </c>
      <c r="L579" t="s">
        <v>1350</v>
      </c>
      <c r="M579" s="8">
        <v>930.03</v>
      </c>
      <c r="N579" s="8">
        <v>1086.68</v>
      </c>
      <c r="O579" s="8">
        <f t="shared" si="187"/>
        <v>1086.68</v>
      </c>
      <c r="P579" s="11">
        <v>0.109</v>
      </c>
      <c r="Q579" s="13">
        <v>26</v>
      </c>
      <c r="R579" s="8">
        <f t="shared" si="188"/>
        <v>25174.028880000002</v>
      </c>
      <c r="S579" s="8">
        <f t="shared" si="189"/>
        <v>24180.78</v>
      </c>
      <c r="T579" s="8">
        <f t="shared" si="190"/>
        <v>993.24888000000283</v>
      </c>
      <c r="U579" s="11">
        <f t="shared" si="191"/>
        <v>3.9455300728168656E-2</v>
      </c>
      <c r="V579" s="17">
        <v>45004</v>
      </c>
      <c r="W579" s="4" t="str">
        <f t="shared" si="192"/>
        <v>Q3-2025</v>
      </c>
      <c r="X579" t="str">
        <f t="shared" si="193"/>
        <v>Europe → United Kingdom → London</v>
      </c>
      <c r="Y579" t="str">
        <f t="shared" si="194"/>
        <v>Medium</v>
      </c>
      <c r="Z579" s="20">
        <f t="shared" si="195"/>
        <v>45839</v>
      </c>
      <c r="AA579" s="4">
        <f t="array" ref="AA579">MIN(IF($F$2:$F$633=F579,$Z$2:$Z$633))</f>
        <v>44927</v>
      </c>
      <c r="AB579">
        <f t="shared" ref="AB579:AB633" si="196">DATEDIF(AA579,Z579,"m")</f>
        <v>30</v>
      </c>
      <c r="AC579">
        <f t="shared" ref="AC579:AC633" si="197">IF(D579&lt;=7,1,0)</f>
        <v>1</v>
      </c>
      <c r="AD579">
        <f t="shared" ref="AD579:AD633" si="198">IF(P579&gt;20%,1,0)</f>
        <v>0</v>
      </c>
      <c r="AE579" s="13">
        <f t="shared" ref="AE579:AE633" si="199">IF(D579&lt;=7, 1,0)</f>
        <v>1</v>
      </c>
      <c r="AH579">
        <f t="shared" ref="AH579:AH633" si="200" xml:space="preserve"> Q579 * (1 + $AG$5)</f>
        <v>31.2</v>
      </c>
      <c r="AI579">
        <f t="shared" ref="AI579:AI633" si="201">M579*(1+$AG$4)</f>
        <v>1069.5345</v>
      </c>
      <c r="AJ579" s="11">
        <f t="shared" ref="AJ579:AJ633" si="202" xml:space="preserve"> MIN(P579, $AG$3)</f>
        <v>0.109</v>
      </c>
      <c r="AK579">
        <f t="shared" ref="AK579:AK633" si="203">AH579 * O579 * (1-AJ579)</f>
        <v>30208.834656000006</v>
      </c>
      <c r="AL579">
        <f t="shared" ref="AL579:AL633" si="204">AH579 * AI579</f>
        <v>33369.4764</v>
      </c>
      <c r="AM579">
        <f t="shared" ref="AM579:AM633" si="205" xml:space="preserve"> AK579 - AL579</f>
        <v>-3160.6417439999932</v>
      </c>
    </row>
    <row r="580" spans="1:39" x14ac:dyDescent="0.25">
      <c r="A580" t="s">
        <v>396</v>
      </c>
      <c r="B580" s="4">
        <v>45861</v>
      </c>
      <c r="C580" s="4">
        <v>45886</v>
      </c>
      <c r="D580" s="13">
        <f t="shared" si="186"/>
        <v>25</v>
      </c>
      <c r="E580" s="6" t="s">
        <v>649</v>
      </c>
      <c r="F580" t="s">
        <v>658</v>
      </c>
      <c r="G580" t="s">
        <v>674</v>
      </c>
      <c r="H580" t="s">
        <v>702</v>
      </c>
      <c r="I580" t="s">
        <v>708</v>
      </c>
      <c r="J580" t="s">
        <v>714</v>
      </c>
      <c r="K580" t="s">
        <v>728</v>
      </c>
      <c r="L580" t="s">
        <v>1115</v>
      </c>
      <c r="M580" s="8">
        <v>1142.06</v>
      </c>
      <c r="N580" s="8">
        <v>1455</v>
      </c>
      <c r="O580" s="8">
        <f t="shared" si="187"/>
        <v>1455</v>
      </c>
      <c r="P580" s="11">
        <v>7.8E-2</v>
      </c>
      <c r="Q580" s="13">
        <v>28</v>
      </c>
      <c r="R580" s="8">
        <f t="shared" si="188"/>
        <v>37562.28</v>
      </c>
      <c r="S580" s="8">
        <f t="shared" si="189"/>
        <v>31977.68</v>
      </c>
      <c r="T580" s="8">
        <f t="shared" si="190"/>
        <v>5584.5999999999985</v>
      </c>
      <c r="U580" s="11">
        <f t="shared" si="191"/>
        <v>0.1486757459877302</v>
      </c>
      <c r="V580" s="17">
        <v>44985</v>
      </c>
      <c r="W580" s="4" t="str">
        <f t="shared" si="192"/>
        <v>Q3-2025</v>
      </c>
      <c r="X580" t="str">
        <f t="shared" si="193"/>
        <v>Europe → United Kingdom → Birmingham</v>
      </c>
      <c r="Y580" t="str">
        <f t="shared" si="194"/>
        <v>Medium</v>
      </c>
      <c r="Z580" s="20">
        <f t="shared" si="195"/>
        <v>45839</v>
      </c>
      <c r="AA580" s="4">
        <f t="array" ref="AA580">MIN(IF($F$2:$F$633=F580,$Z$2:$Z$633))</f>
        <v>44927</v>
      </c>
      <c r="AB580">
        <f t="shared" si="196"/>
        <v>30</v>
      </c>
      <c r="AC580">
        <f t="shared" si="197"/>
        <v>0</v>
      </c>
      <c r="AD580">
        <f t="shared" si="198"/>
        <v>0</v>
      </c>
      <c r="AE580" s="13">
        <f t="shared" si="199"/>
        <v>0</v>
      </c>
      <c r="AH580">
        <f t="shared" si="200"/>
        <v>33.6</v>
      </c>
      <c r="AI580">
        <f t="shared" si="201"/>
        <v>1313.3689999999999</v>
      </c>
      <c r="AJ580" s="11">
        <f t="shared" si="202"/>
        <v>7.8E-2</v>
      </c>
      <c r="AK580">
        <f t="shared" si="203"/>
        <v>45074.736000000004</v>
      </c>
      <c r="AL580">
        <f t="shared" si="204"/>
        <v>44129.198400000001</v>
      </c>
      <c r="AM580">
        <f t="shared" si="205"/>
        <v>945.53760000000329</v>
      </c>
    </row>
    <row r="581" spans="1:39" x14ac:dyDescent="0.25">
      <c r="A581" t="s">
        <v>142</v>
      </c>
      <c r="B581" s="4">
        <v>45874</v>
      </c>
      <c r="C581" s="4">
        <v>45883</v>
      </c>
      <c r="D581" s="13">
        <f t="shared" si="186"/>
        <v>9</v>
      </c>
      <c r="E581" s="6" t="s">
        <v>649</v>
      </c>
      <c r="F581" t="s">
        <v>658</v>
      </c>
      <c r="G581" t="s">
        <v>683</v>
      </c>
      <c r="H581" t="s">
        <v>703</v>
      </c>
      <c r="I581" t="s">
        <v>711</v>
      </c>
      <c r="J581" t="s">
        <v>718</v>
      </c>
      <c r="K581" t="s">
        <v>727</v>
      </c>
      <c r="L581" t="s">
        <v>861</v>
      </c>
      <c r="M581" s="8">
        <v>41.76</v>
      </c>
      <c r="N581" s="8">
        <v>45.19</v>
      </c>
      <c r="O581" s="8">
        <f t="shared" si="187"/>
        <v>45.19</v>
      </c>
      <c r="P581" s="11">
        <v>0.17899999999999999</v>
      </c>
      <c r="Q581" s="13">
        <v>23</v>
      </c>
      <c r="R581" s="8">
        <f t="shared" si="188"/>
        <v>853.32276999999988</v>
      </c>
      <c r="S581" s="8">
        <f t="shared" si="189"/>
        <v>960.4799999999999</v>
      </c>
      <c r="T581" s="8">
        <f t="shared" si="190"/>
        <v>-107.15723000000003</v>
      </c>
      <c r="U581" s="11">
        <f t="shared" si="191"/>
        <v>-0.12557643340514638</v>
      </c>
      <c r="V581" s="17">
        <v>44976</v>
      </c>
      <c r="W581" s="4" t="str">
        <f t="shared" si="192"/>
        <v>Q3-2025</v>
      </c>
      <c r="X581" t="str">
        <f t="shared" si="193"/>
        <v>Europe → United Kingdom → London</v>
      </c>
      <c r="Y581" t="str">
        <f t="shared" si="194"/>
        <v>Low</v>
      </c>
      <c r="Z581" s="20">
        <f t="shared" si="195"/>
        <v>45870</v>
      </c>
      <c r="AA581" s="4">
        <f t="array" ref="AA581">MIN(IF($F$2:$F$633=F581,$Z$2:$Z$633))</f>
        <v>44927</v>
      </c>
      <c r="AB581">
        <f t="shared" si="196"/>
        <v>31</v>
      </c>
      <c r="AC581">
        <f t="shared" si="197"/>
        <v>0</v>
      </c>
      <c r="AD581">
        <f t="shared" si="198"/>
        <v>0</v>
      </c>
      <c r="AE581" s="13">
        <f t="shared" si="199"/>
        <v>0</v>
      </c>
      <c r="AH581">
        <f t="shared" si="200"/>
        <v>27.599999999999998</v>
      </c>
      <c r="AI581">
        <f t="shared" si="201"/>
        <v>48.023999999999994</v>
      </c>
      <c r="AJ581" s="11">
        <f t="shared" si="202"/>
        <v>0.17899999999999999</v>
      </c>
      <c r="AK581">
        <f t="shared" si="203"/>
        <v>1023.9873239999998</v>
      </c>
      <c r="AL581">
        <f t="shared" si="204"/>
        <v>1325.4623999999997</v>
      </c>
      <c r="AM581">
        <f t="shared" si="205"/>
        <v>-301.47507599999983</v>
      </c>
    </row>
    <row r="582" spans="1:39" x14ac:dyDescent="0.25">
      <c r="A582" t="s">
        <v>345</v>
      </c>
      <c r="B582" s="4">
        <v>45914</v>
      </c>
      <c r="C582" s="4">
        <v>45926</v>
      </c>
      <c r="D582" s="13">
        <f t="shared" si="186"/>
        <v>12</v>
      </c>
      <c r="E582" s="6" t="s">
        <v>649</v>
      </c>
      <c r="F582" t="s">
        <v>658</v>
      </c>
      <c r="G582" t="s">
        <v>683</v>
      </c>
      <c r="H582" t="s">
        <v>705</v>
      </c>
      <c r="I582" t="s">
        <v>711</v>
      </c>
      <c r="J582" t="s">
        <v>725</v>
      </c>
      <c r="K582" t="s">
        <v>729</v>
      </c>
      <c r="L582" t="s">
        <v>1065</v>
      </c>
      <c r="M582" s="8">
        <v>425.15</v>
      </c>
      <c r="N582" s="8">
        <v>885.92</v>
      </c>
      <c r="O582" s="8">
        <f t="shared" si="187"/>
        <v>885.92</v>
      </c>
      <c r="P582" s="11">
        <v>0.23899999999999999</v>
      </c>
      <c r="Q582" s="13">
        <v>13</v>
      </c>
      <c r="R582" s="8">
        <f t="shared" si="188"/>
        <v>8764.4065599999994</v>
      </c>
      <c r="S582" s="8">
        <f t="shared" si="189"/>
        <v>5526.95</v>
      </c>
      <c r="T582" s="8">
        <f t="shared" si="190"/>
        <v>3237.4565599999996</v>
      </c>
      <c r="U582" s="11">
        <f t="shared" si="191"/>
        <v>0.3693868532725848</v>
      </c>
      <c r="V582" s="17">
        <v>44947</v>
      </c>
      <c r="W582" s="4" t="str">
        <f t="shared" si="192"/>
        <v>Q3-2025</v>
      </c>
      <c r="X582" t="str">
        <f t="shared" si="193"/>
        <v>Europe → United Kingdom → London</v>
      </c>
      <c r="Y582" t="str">
        <f t="shared" si="194"/>
        <v>Medium</v>
      </c>
      <c r="Z582" s="20">
        <f t="shared" si="195"/>
        <v>45901</v>
      </c>
      <c r="AA582" s="4">
        <f t="array" ref="AA582">MIN(IF($F$2:$F$633=F582,$Z$2:$Z$633))</f>
        <v>44927</v>
      </c>
      <c r="AB582">
        <f t="shared" si="196"/>
        <v>32</v>
      </c>
      <c r="AC582">
        <f t="shared" si="197"/>
        <v>0</v>
      </c>
      <c r="AD582">
        <f t="shared" si="198"/>
        <v>1</v>
      </c>
      <c r="AE582" s="13">
        <f t="shared" si="199"/>
        <v>0</v>
      </c>
      <c r="AH582">
        <f t="shared" si="200"/>
        <v>15.6</v>
      </c>
      <c r="AI582">
        <f t="shared" si="201"/>
        <v>488.92249999999996</v>
      </c>
      <c r="AJ582" s="11">
        <f t="shared" si="202"/>
        <v>0.23899999999999999</v>
      </c>
      <c r="AK582">
        <f t="shared" si="203"/>
        <v>10517.287871999999</v>
      </c>
      <c r="AL582">
        <f t="shared" si="204"/>
        <v>7627.1909999999989</v>
      </c>
      <c r="AM582">
        <f t="shared" si="205"/>
        <v>2890.0968720000001</v>
      </c>
    </row>
    <row r="583" spans="1:39" x14ac:dyDescent="0.25">
      <c r="A583" t="s">
        <v>214</v>
      </c>
      <c r="B583" s="4">
        <v>44939</v>
      </c>
      <c r="C583" s="4">
        <v>44945</v>
      </c>
      <c r="D583" s="13">
        <f t="shared" si="186"/>
        <v>6</v>
      </c>
      <c r="E583" s="6" t="s">
        <v>648</v>
      </c>
      <c r="F583" t="s">
        <v>660</v>
      </c>
      <c r="G583" t="s">
        <v>677</v>
      </c>
      <c r="H583" t="s">
        <v>701</v>
      </c>
      <c r="I583" t="s">
        <v>711</v>
      </c>
      <c r="J583" t="s">
        <v>722</v>
      </c>
      <c r="K583" t="s">
        <v>730</v>
      </c>
      <c r="L583" t="s">
        <v>934</v>
      </c>
      <c r="M583" s="8">
        <v>833.57</v>
      </c>
      <c r="N583" s="8">
        <v>881.57</v>
      </c>
      <c r="O583" s="8">
        <f t="shared" si="187"/>
        <v>881.57</v>
      </c>
      <c r="P583" s="11">
        <v>5.7000000000000002E-2</v>
      </c>
      <c r="Q583" s="13">
        <v>18</v>
      </c>
      <c r="R583" s="8">
        <f t="shared" si="188"/>
        <v>14963.769179999999</v>
      </c>
      <c r="S583" s="8">
        <f t="shared" si="189"/>
        <v>15004.26</v>
      </c>
      <c r="T583" s="8">
        <f t="shared" si="190"/>
        <v>-40.490820000000895</v>
      </c>
      <c r="U583" s="11">
        <f t="shared" si="191"/>
        <v>-2.7059238560107821E-3</v>
      </c>
      <c r="V583" s="17">
        <v>45911</v>
      </c>
      <c r="W583" s="4" t="str">
        <f t="shared" si="192"/>
        <v>Q1-2023</v>
      </c>
      <c r="X583" t="str">
        <f t="shared" si="193"/>
        <v>Americas → USA → Chicago</v>
      </c>
      <c r="Y583" t="str">
        <f t="shared" si="194"/>
        <v>Medium</v>
      </c>
      <c r="Z583" s="20">
        <f t="shared" si="195"/>
        <v>44927</v>
      </c>
      <c r="AA583" s="4">
        <f t="array" ref="AA583">MIN(IF($F$2:$F$633=F583,$Z$2:$Z$633))</f>
        <v>44927</v>
      </c>
      <c r="AB583">
        <f t="shared" si="196"/>
        <v>0</v>
      </c>
      <c r="AC583">
        <f t="shared" si="197"/>
        <v>1</v>
      </c>
      <c r="AD583">
        <f t="shared" si="198"/>
        <v>0</v>
      </c>
      <c r="AE583" s="13">
        <f t="shared" si="199"/>
        <v>1</v>
      </c>
      <c r="AH583">
        <f t="shared" si="200"/>
        <v>21.599999999999998</v>
      </c>
      <c r="AI583">
        <f t="shared" si="201"/>
        <v>958.60550000000001</v>
      </c>
      <c r="AJ583" s="11">
        <f t="shared" si="202"/>
        <v>5.7000000000000002E-2</v>
      </c>
      <c r="AK583">
        <f t="shared" si="203"/>
        <v>17956.523015999999</v>
      </c>
      <c r="AL583">
        <f t="shared" si="204"/>
        <v>20705.878799999999</v>
      </c>
      <c r="AM583">
        <f t="shared" si="205"/>
        <v>-2749.3557839999994</v>
      </c>
    </row>
    <row r="584" spans="1:39" x14ac:dyDescent="0.25">
      <c r="A584" t="s">
        <v>144</v>
      </c>
      <c r="B584" s="4">
        <v>44948</v>
      </c>
      <c r="C584" s="4">
        <v>44956</v>
      </c>
      <c r="D584" s="13">
        <f t="shared" si="186"/>
        <v>8</v>
      </c>
      <c r="E584" s="6" t="s">
        <v>648</v>
      </c>
      <c r="F584" t="s">
        <v>660</v>
      </c>
      <c r="G584" t="s">
        <v>686</v>
      </c>
      <c r="H584" t="s">
        <v>705</v>
      </c>
      <c r="I584" t="s">
        <v>708</v>
      </c>
      <c r="J584" t="s">
        <v>720</v>
      </c>
      <c r="K584" t="s">
        <v>729</v>
      </c>
      <c r="L584" t="s">
        <v>863</v>
      </c>
      <c r="M584" s="8">
        <v>413.52</v>
      </c>
      <c r="N584" s="8">
        <v>1004.34</v>
      </c>
      <c r="O584" s="8">
        <f t="shared" si="187"/>
        <v>1004.34</v>
      </c>
      <c r="P584" s="11">
        <v>0.111</v>
      </c>
      <c r="Q584" s="13">
        <v>18</v>
      </c>
      <c r="R584" s="8">
        <f t="shared" si="188"/>
        <v>16071.44868</v>
      </c>
      <c r="S584" s="8">
        <f t="shared" si="189"/>
        <v>7443.36</v>
      </c>
      <c r="T584" s="8">
        <f t="shared" si="190"/>
        <v>8628.0886800000007</v>
      </c>
      <c r="U584" s="11">
        <f t="shared" si="191"/>
        <v>0.53685817948304593</v>
      </c>
      <c r="V584" s="17">
        <v>45899</v>
      </c>
      <c r="W584" s="4" t="str">
        <f t="shared" si="192"/>
        <v>Q1-2023</v>
      </c>
      <c r="X584" t="str">
        <f t="shared" si="193"/>
        <v>Americas → USA → San Francisco</v>
      </c>
      <c r="Y584" t="str">
        <f t="shared" si="194"/>
        <v>Medium</v>
      </c>
      <c r="Z584" s="20">
        <f t="shared" si="195"/>
        <v>44927</v>
      </c>
      <c r="AA584" s="4">
        <f t="array" ref="AA584">MIN(IF($F$2:$F$633=F584,$Z$2:$Z$633))</f>
        <v>44927</v>
      </c>
      <c r="AB584">
        <f t="shared" si="196"/>
        <v>0</v>
      </c>
      <c r="AC584">
        <f t="shared" si="197"/>
        <v>0</v>
      </c>
      <c r="AD584">
        <f t="shared" si="198"/>
        <v>0</v>
      </c>
      <c r="AE584" s="13">
        <f t="shared" si="199"/>
        <v>0</v>
      </c>
      <c r="AH584">
        <f t="shared" si="200"/>
        <v>21.599999999999998</v>
      </c>
      <c r="AI584">
        <f t="shared" si="201"/>
        <v>475.54799999999994</v>
      </c>
      <c r="AJ584" s="11">
        <f t="shared" si="202"/>
        <v>0.111</v>
      </c>
      <c r="AK584">
        <f t="shared" si="203"/>
        <v>19285.738416</v>
      </c>
      <c r="AL584">
        <f t="shared" si="204"/>
        <v>10271.836799999997</v>
      </c>
      <c r="AM584">
        <f t="shared" si="205"/>
        <v>9013.9016160000028</v>
      </c>
    </row>
    <row r="585" spans="1:39" x14ac:dyDescent="0.25">
      <c r="A585" t="s">
        <v>385</v>
      </c>
      <c r="B585" s="4">
        <v>44962</v>
      </c>
      <c r="C585" s="4">
        <v>44985</v>
      </c>
      <c r="D585" s="13">
        <f t="shared" si="186"/>
        <v>23</v>
      </c>
      <c r="E585" s="6" t="s">
        <v>648</v>
      </c>
      <c r="F585" t="s">
        <v>660</v>
      </c>
      <c r="G585" t="s">
        <v>697</v>
      </c>
      <c r="H585" t="s">
        <v>703</v>
      </c>
      <c r="I585" t="s">
        <v>710</v>
      </c>
      <c r="J585" t="s">
        <v>716</v>
      </c>
      <c r="K585" t="s">
        <v>730</v>
      </c>
      <c r="L585" t="s">
        <v>1105</v>
      </c>
      <c r="M585" s="8">
        <v>1214.49</v>
      </c>
      <c r="N585" s="8">
        <v>1533.95</v>
      </c>
      <c r="O585" s="8">
        <f t="shared" si="187"/>
        <v>1533.95</v>
      </c>
      <c r="P585" s="11">
        <v>0</v>
      </c>
      <c r="Q585" s="13">
        <v>11</v>
      </c>
      <c r="R585" s="8">
        <f t="shared" si="188"/>
        <v>16873.45</v>
      </c>
      <c r="S585" s="8">
        <f t="shared" si="189"/>
        <v>13359.39</v>
      </c>
      <c r="T585" s="8">
        <f t="shared" si="190"/>
        <v>3514.0600000000013</v>
      </c>
      <c r="U585" s="11">
        <f t="shared" si="191"/>
        <v>0.20825972163369086</v>
      </c>
      <c r="V585" s="17">
        <v>45902</v>
      </c>
      <c r="W585" s="4" t="str">
        <f t="shared" si="192"/>
        <v>Q1-2023</v>
      </c>
      <c r="X585" t="str">
        <f t="shared" si="193"/>
        <v>Americas → USA → Austin</v>
      </c>
      <c r="Y585" t="str">
        <f t="shared" si="194"/>
        <v>Medium</v>
      </c>
      <c r="Z585" s="20">
        <f t="shared" si="195"/>
        <v>44958</v>
      </c>
      <c r="AA585" s="4">
        <f t="array" ref="AA585">MIN(IF($F$2:$F$633=F585,$Z$2:$Z$633))</f>
        <v>44927</v>
      </c>
      <c r="AB585">
        <f t="shared" si="196"/>
        <v>1</v>
      </c>
      <c r="AC585">
        <f t="shared" si="197"/>
        <v>0</v>
      </c>
      <c r="AD585">
        <f t="shared" si="198"/>
        <v>0</v>
      </c>
      <c r="AE585" s="13">
        <f t="shared" si="199"/>
        <v>0</v>
      </c>
      <c r="AH585">
        <f t="shared" si="200"/>
        <v>13.2</v>
      </c>
      <c r="AI585">
        <f t="shared" si="201"/>
        <v>1396.6634999999999</v>
      </c>
      <c r="AJ585" s="11">
        <f t="shared" si="202"/>
        <v>0</v>
      </c>
      <c r="AK585">
        <f t="shared" si="203"/>
        <v>20248.14</v>
      </c>
      <c r="AL585">
        <f t="shared" si="204"/>
        <v>18435.958199999997</v>
      </c>
      <c r="AM585">
        <f t="shared" si="205"/>
        <v>1812.1818000000021</v>
      </c>
    </row>
    <row r="586" spans="1:39" x14ac:dyDescent="0.25">
      <c r="A586" t="s">
        <v>187</v>
      </c>
      <c r="B586" s="4">
        <v>44981</v>
      </c>
      <c r="C586" s="4">
        <v>44994</v>
      </c>
      <c r="D586" s="13">
        <f t="shared" si="186"/>
        <v>13</v>
      </c>
      <c r="E586" s="6" t="s">
        <v>648</v>
      </c>
      <c r="F586" t="s">
        <v>660</v>
      </c>
      <c r="G586" t="s">
        <v>700</v>
      </c>
      <c r="H586" t="s">
        <v>706</v>
      </c>
      <c r="I586" t="s">
        <v>708</v>
      </c>
      <c r="J586" t="s">
        <v>724</v>
      </c>
      <c r="K586" t="s">
        <v>727</v>
      </c>
      <c r="L586" t="s">
        <v>906</v>
      </c>
      <c r="M586" s="8">
        <v>6.85</v>
      </c>
      <c r="N586" s="8">
        <v>10.18</v>
      </c>
      <c r="O586" s="8">
        <f t="shared" si="187"/>
        <v>10.18</v>
      </c>
      <c r="P586" s="11">
        <v>4.7E-2</v>
      </c>
      <c r="Q586" s="13">
        <v>10</v>
      </c>
      <c r="R586" s="8">
        <f t="shared" si="188"/>
        <v>97.0154</v>
      </c>
      <c r="S586" s="8">
        <f t="shared" si="189"/>
        <v>68.5</v>
      </c>
      <c r="T586" s="8">
        <f t="shared" si="190"/>
        <v>28.5154</v>
      </c>
      <c r="U586" s="11">
        <f t="shared" si="191"/>
        <v>0.2939265312517394</v>
      </c>
      <c r="V586" s="17">
        <v>45875</v>
      </c>
      <c r="W586" s="4" t="str">
        <f t="shared" si="192"/>
        <v>Q1-2023</v>
      </c>
      <c r="X586" t="str">
        <f t="shared" si="193"/>
        <v>Americas → USA → New York</v>
      </c>
      <c r="Y586" t="str">
        <f t="shared" si="194"/>
        <v>Low</v>
      </c>
      <c r="Z586" s="20">
        <f t="shared" si="195"/>
        <v>44958</v>
      </c>
      <c r="AA586" s="4">
        <f t="array" ref="AA586">MIN(IF($F$2:$F$633=F586,$Z$2:$Z$633))</f>
        <v>44927</v>
      </c>
      <c r="AB586">
        <f t="shared" si="196"/>
        <v>1</v>
      </c>
      <c r="AC586">
        <f t="shared" si="197"/>
        <v>0</v>
      </c>
      <c r="AD586">
        <f t="shared" si="198"/>
        <v>0</v>
      </c>
      <c r="AE586" s="13">
        <f t="shared" si="199"/>
        <v>0</v>
      </c>
      <c r="AH586">
        <f t="shared" si="200"/>
        <v>12</v>
      </c>
      <c r="AI586">
        <f t="shared" si="201"/>
        <v>7.8774999999999986</v>
      </c>
      <c r="AJ586" s="11">
        <f t="shared" si="202"/>
        <v>4.7E-2</v>
      </c>
      <c r="AK586">
        <f t="shared" si="203"/>
        <v>116.41847999999999</v>
      </c>
      <c r="AL586">
        <f t="shared" si="204"/>
        <v>94.529999999999987</v>
      </c>
      <c r="AM586">
        <f t="shared" si="205"/>
        <v>21.888480000000001</v>
      </c>
    </row>
    <row r="587" spans="1:39" x14ac:dyDescent="0.25">
      <c r="A587" t="s">
        <v>606</v>
      </c>
      <c r="B587" s="4">
        <v>44983</v>
      </c>
      <c r="C587" s="4">
        <v>44984</v>
      </c>
      <c r="D587" s="13">
        <f t="shared" si="186"/>
        <v>1</v>
      </c>
      <c r="E587" s="6" t="s">
        <v>648</v>
      </c>
      <c r="F587" t="s">
        <v>660</v>
      </c>
      <c r="G587" t="s">
        <v>686</v>
      </c>
      <c r="H587" t="s">
        <v>703</v>
      </c>
      <c r="I587" t="s">
        <v>708</v>
      </c>
      <c r="J587" t="s">
        <v>716</v>
      </c>
      <c r="K587" t="s">
        <v>729</v>
      </c>
      <c r="L587" t="s">
        <v>1324</v>
      </c>
      <c r="M587" s="8">
        <v>1015.91</v>
      </c>
      <c r="N587" s="8">
        <v>2331.48</v>
      </c>
      <c r="O587" s="8">
        <f t="shared" si="187"/>
        <v>2331.48</v>
      </c>
      <c r="P587" s="11">
        <v>0.14599999999999999</v>
      </c>
      <c r="Q587" s="13">
        <v>26</v>
      </c>
      <c r="R587" s="8">
        <f t="shared" si="188"/>
        <v>51768.181920000003</v>
      </c>
      <c r="S587" s="8">
        <f t="shared" si="189"/>
        <v>26413.66</v>
      </c>
      <c r="T587" s="8">
        <f t="shared" si="190"/>
        <v>25354.521920000003</v>
      </c>
      <c r="U587" s="11">
        <f t="shared" si="191"/>
        <v>0.48977037592669626</v>
      </c>
      <c r="V587" s="17">
        <v>45870</v>
      </c>
      <c r="W587" s="4" t="str">
        <f t="shared" si="192"/>
        <v>Q1-2023</v>
      </c>
      <c r="X587" t="str">
        <f t="shared" si="193"/>
        <v>Americas → USA → San Francisco</v>
      </c>
      <c r="Y587" t="str">
        <f t="shared" si="194"/>
        <v>High</v>
      </c>
      <c r="Z587" s="20">
        <f t="shared" si="195"/>
        <v>44958</v>
      </c>
      <c r="AA587" s="4">
        <f t="array" ref="AA587">MIN(IF($F$2:$F$633=F587,$Z$2:$Z$633))</f>
        <v>44927</v>
      </c>
      <c r="AB587">
        <f t="shared" si="196"/>
        <v>1</v>
      </c>
      <c r="AC587">
        <f t="shared" si="197"/>
        <v>1</v>
      </c>
      <c r="AD587">
        <f t="shared" si="198"/>
        <v>0</v>
      </c>
      <c r="AE587" s="13">
        <f t="shared" si="199"/>
        <v>1</v>
      </c>
      <c r="AH587">
        <f t="shared" si="200"/>
        <v>31.2</v>
      </c>
      <c r="AI587">
        <f t="shared" si="201"/>
        <v>1168.2964999999999</v>
      </c>
      <c r="AJ587" s="11">
        <f t="shared" si="202"/>
        <v>0.14599999999999999</v>
      </c>
      <c r="AK587">
        <f t="shared" si="203"/>
        <v>62121.818303999993</v>
      </c>
      <c r="AL587">
        <f t="shared" si="204"/>
        <v>36450.8508</v>
      </c>
      <c r="AM587">
        <f t="shared" si="205"/>
        <v>25670.967503999993</v>
      </c>
    </row>
    <row r="588" spans="1:39" x14ac:dyDescent="0.25">
      <c r="A588" t="s">
        <v>355</v>
      </c>
      <c r="B588" s="4">
        <v>45027</v>
      </c>
      <c r="C588" s="4">
        <v>45029</v>
      </c>
      <c r="D588" s="13">
        <f t="shared" si="186"/>
        <v>2</v>
      </c>
      <c r="E588" s="6" t="s">
        <v>648</v>
      </c>
      <c r="F588" t="s">
        <v>660</v>
      </c>
      <c r="G588" t="s">
        <v>686</v>
      </c>
      <c r="H588" t="s">
        <v>702</v>
      </c>
      <c r="I588" t="s">
        <v>709</v>
      </c>
      <c r="J588" t="s">
        <v>715</v>
      </c>
      <c r="K588" t="s">
        <v>729</v>
      </c>
      <c r="L588" t="s">
        <v>1075</v>
      </c>
      <c r="M588" s="8">
        <v>32.1</v>
      </c>
      <c r="N588" s="8">
        <v>70.599999999999994</v>
      </c>
      <c r="O588" s="8">
        <f t="shared" si="187"/>
        <v>70.599999999999994</v>
      </c>
      <c r="P588" s="11">
        <v>0.28199999999999997</v>
      </c>
      <c r="Q588" s="13">
        <v>22</v>
      </c>
      <c r="R588" s="8">
        <f t="shared" si="188"/>
        <v>1115.1975999999997</v>
      </c>
      <c r="S588" s="8">
        <f t="shared" si="189"/>
        <v>706.2</v>
      </c>
      <c r="T588" s="8">
        <f t="shared" si="190"/>
        <v>408.99759999999969</v>
      </c>
      <c r="U588" s="11">
        <f t="shared" si="191"/>
        <v>0.36674899587301818</v>
      </c>
      <c r="V588" s="17">
        <v>45823</v>
      </c>
      <c r="W588" s="4" t="str">
        <f t="shared" si="192"/>
        <v>Q2-2023</v>
      </c>
      <c r="X588" t="str">
        <f t="shared" si="193"/>
        <v>Americas → USA → San Francisco</v>
      </c>
      <c r="Y588" t="str">
        <f t="shared" si="194"/>
        <v>Low</v>
      </c>
      <c r="Z588" s="20">
        <f t="shared" si="195"/>
        <v>45017</v>
      </c>
      <c r="AA588" s="4">
        <f t="array" ref="AA588">MIN(IF($F$2:$F$633=F588,$Z$2:$Z$633))</f>
        <v>44927</v>
      </c>
      <c r="AB588">
        <f t="shared" si="196"/>
        <v>3</v>
      </c>
      <c r="AC588">
        <f t="shared" si="197"/>
        <v>1</v>
      </c>
      <c r="AD588">
        <f t="shared" si="198"/>
        <v>1</v>
      </c>
      <c r="AE588" s="13">
        <f t="shared" si="199"/>
        <v>1</v>
      </c>
      <c r="AH588">
        <f t="shared" si="200"/>
        <v>26.4</v>
      </c>
      <c r="AI588">
        <f t="shared" si="201"/>
        <v>36.914999999999999</v>
      </c>
      <c r="AJ588" s="11">
        <f t="shared" si="202"/>
        <v>0.25</v>
      </c>
      <c r="AK588">
        <f t="shared" si="203"/>
        <v>1397.8799999999997</v>
      </c>
      <c r="AL588">
        <f t="shared" si="204"/>
        <v>974.55599999999993</v>
      </c>
      <c r="AM588">
        <f t="shared" si="205"/>
        <v>423.32399999999973</v>
      </c>
    </row>
    <row r="589" spans="1:39" x14ac:dyDescent="0.25">
      <c r="A589" t="s">
        <v>624</v>
      </c>
      <c r="B589" s="4">
        <v>45032</v>
      </c>
      <c r="C589" s="4">
        <v>45039</v>
      </c>
      <c r="D589" s="13">
        <f t="shared" si="186"/>
        <v>7</v>
      </c>
      <c r="E589" s="6" t="s">
        <v>648</v>
      </c>
      <c r="F589" t="s">
        <v>660</v>
      </c>
      <c r="G589" t="s">
        <v>697</v>
      </c>
      <c r="H589" t="s">
        <v>701</v>
      </c>
      <c r="I589" t="s">
        <v>710</v>
      </c>
      <c r="J589" t="s">
        <v>719</v>
      </c>
      <c r="K589" t="s">
        <v>728</v>
      </c>
      <c r="L589" t="s">
        <v>1342</v>
      </c>
      <c r="M589" s="8">
        <v>1099.1500000000001</v>
      </c>
      <c r="N589" s="8">
        <v>1431.37</v>
      </c>
      <c r="O589" s="8">
        <f t="shared" si="187"/>
        <v>1431.37</v>
      </c>
      <c r="P589" s="11">
        <v>0.104</v>
      </c>
      <c r="Q589" s="13">
        <v>8</v>
      </c>
      <c r="R589" s="8">
        <f t="shared" si="188"/>
        <v>10260.060159999999</v>
      </c>
      <c r="S589" s="8">
        <f t="shared" si="189"/>
        <v>8793.2000000000007</v>
      </c>
      <c r="T589" s="8">
        <f t="shared" si="190"/>
        <v>1466.8601599999984</v>
      </c>
      <c r="U589" s="11">
        <f t="shared" si="191"/>
        <v>0.14296798821109433</v>
      </c>
      <c r="V589" s="17">
        <v>45841</v>
      </c>
      <c r="W589" s="4" t="str">
        <f t="shared" si="192"/>
        <v>Q2-2023</v>
      </c>
      <c r="X589" t="str">
        <f t="shared" si="193"/>
        <v>Americas → USA → Austin</v>
      </c>
      <c r="Y589" t="str">
        <f t="shared" si="194"/>
        <v>Medium</v>
      </c>
      <c r="Z589" s="20">
        <f t="shared" si="195"/>
        <v>45017</v>
      </c>
      <c r="AA589" s="4">
        <f t="array" ref="AA589">MIN(IF($F$2:$F$633=F589,$Z$2:$Z$633))</f>
        <v>44927</v>
      </c>
      <c r="AB589">
        <f t="shared" si="196"/>
        <v>3</v>
      </c>
      <c r="AC589">
        <f t="shared" si="197"/>
        <v>1</v>
      </c>
      <c r="AD589">
        <f t="shared" si="198"/>
        <v>0</v>
      </c>
      <c r="AE589" s="13">
        <f t="shared" si="199"/>
        <v>1</v>
      </c>
      <c r="AH589">
        <f t="shared" si="200"/>
        <v>9.6</v>
      </c>
      <c r="AI589">
        <f t="shared" si="201"/>
        <v>1264.0225</v>
      </c>
      <c r="AJ589" s="11">
        <f t="shared" si="202"/>
        <v>0.104</v>
      </c>
      <c r="AK589">
        <f t="shared" si="203"/>
        <v>12312.072191999998</v>
      </c>
      <c r="AL589">
        <f t="shared" si="204"/>
        <v>12134.616</v>
      </c>
      <c r="AM589">
        <f t="shared" si="205"/>
        <v>177.45619199999783</v>
      </c>
    </row>
    <row r="590" spans="1:39" x14ac:dyDescent="0.25">
      <c r="A590" t="s">
        <v>600</v>
      </c>
      <c r="B590" s="4">
        <v>45049</v>
      </c>
      <c r="C590" s="4">
        <v>45062</v>
      </c>
      <c r="D590" s="13">
        <f t="shared" si="186"/>
        <v>13</v>
      </c>
      <c r="E590" s="6" t="s">
        <v>648</v>
      </c>
      <c r="F590" t="s">
        <v>660</v>
      </c>
      <c r="G590" t="s">
        <v>700</v>
      </c>
      <c r="H590" t="s">
        <v>701</v>
      </c>
      <c r="I590" t="s">
        <v>709</v>
      </c>
      <c r="J590" t="s">
        <v>716</v>
      </c>
      <c r="K590" t="s">
        <v>730</v>
      </c>
      <c r="L590" t="s">
        <v>1318</v>
      </c>
      <c r="M590" s="8">
        <v>64.5</v>
      </c>
      <c r="N590" s="8">
        <v>123.62</v>
      </c>
      <c r="O590" s="8">
        <f t="shared" si="187"/>
        <v>123.62</v>
      </c>
      <c r="P590" s="11">
        <v>0</v>
      </c>
      <c r="Q590" s="13">
        <v>3</v>
      </c>
      <c r="R590" s="8">
        <f t="shared" si="188"/>
        <v>370.86</v>
      </c>
      <c r="S590" s="8">
        <f t="shared" si="189"/>
        <v>193.5</v>
      </c>
      <c r="T590" s="8">
        <f t="shared" si="190"/>
        <v>177.36</v>
      </c>
      <c r="U590" s="11">
        <f t="shared" si="191"/>
        <v>0.47823976702798904</v>
      </c>
      <c r="V590" s="17">
        <v>45809</v>
      </c>
      <c r="W590" s="4" t="str">
        <f t="shared" si="192"/>
        <v>Q2-2023</v>
      </c>
      <c r="X590" t="str">
        <f t="shared" si="193"/>
        <v>Americas → USA → New York</v>
      </c>
      <c r="Y590" t="str">
        <f t="shared" si="194"/>
        <v>Low</v>
      </c>
      <c r="Z590" s="20">
        <f t="shared" si="195"/>
        <v>45047</v>
      </c>
      <c r="AA590" s="4">
        <f t="array" ref="AA590">MIN(IF($F$2:$F$633=F590,$Z$2:$Z$633))</f>
        <v>44927</v>
      </c>
      <c r="AB590">
        <f t="shared" si="196"/>
        <v>4</v>
      </c>
      <c r="AC590">
        <f t="shared" si="197"/>
        <v>0</v>
      </c>
      <c r="AD590">
        <f t="shared" si="198"/>
        <v>0</v>
      </c>
      <c r="AE590" s="13">
        <f t="shared" si="199"/>
        <v>0</v>
      </c>
      <c r="AH590">
        <f t="shared" si="200"/>
        <v>3.5999999999999996</v>
      </c>
      <c r="AI590">
        <f t="shared" si="201"/>
        <v>74.174999999999997</v>
      </c>
      <c r="AJ590" s="11">
        <f t="shared" si="202"/>
        <v>0</v>
      </c>
      <c r="AK590">
        <f t="shared" si="203"/>
        <v>445.03199999999998</v>
      </c>
      <c r="AL590">
        <f t="shared" si="204"/>
        <v>267.02999999999997</v>
      </c>
      <c r="AM590">
        <f t="shared" si="205"/>
        <v>178.00200000000001</v>
      </c>
    </row>
    <row r="591" spans="1:39" x14ac:dyDescent="0.25">
      <c r="A591" t="s">
        <v>208</v>
      </c>
      <c r="B591" s="4">
        <v>45050</v>
      </c>
      <c r="C591" s="4">
        <v>45072</v>
      </c>
      <c r="D591" s="13">
        <f t="shared" si="186"/>
        <v>22</v>
      </c>
      <c r="E591" s="6" t="s">
        <v>648</v>
      </c>
      <c r="F591" t="s">
        <v>660</v>
      </c>
      <c r="G591" t="s">
        <v>686</v>
      </c>
      <c r="H591" t="s">
        <v>706</v>
      </c>
      <c r="I591" t="s">
        <v>708</v>
      </c>
      <c r="J591" t="s">
        <v>713</v>
      </c>
      <c r="K591" t="s">
        <v>729</v>
      </c>
      <c r="L591" t="s">
        <v>928</v>
      </c>
      <c r="M591" s="8">
        <v>249.71</v>
      </c>
      <c r="N591" s="8">
        <v>361.33</v>
      </c>
      <c r="O591" s="8">
        <f t="shared" si="187"/>
        <v>361.33</v>
      </c>
      <c r="P591" s="11">
        <v>9.4E-2</v>
      </c>
      <c r="Q591" s="13">
        <v>12</v>
      </c>
      <c r="R591" s="8">
        <f t="shared" si="188"/>
        <v>3928.3797600000003</v>
      </c>
      <c r="S591" s="8">
        <f t="shared" si="189"/>
        <v>2996.52</v>
      </c>
      <c r="T591" s="8">
        <f t="shared" si="190"/>
        <v>931.85976000000028</v>
      </c>
      <c r="U591" s="11">
        <f t="shared" si="191"/>
        <v>0.23721223937881206</v>
      </c>
      <c r="V591" s="17">
        <v>45809</v>
      </c>
      <c r="W591" s="4" t="str">
        <f t="shared" si="192"/>
        <v>Q2-2023</v>
      </c>
      <c r="X591" t="str">
        <f t="shared" si="193"/>
        <v>Americas → USA → San Francisco</v>
      </c>
      <c r="Y591" t="str">
        <f t="shared" si="194"/>
        <v>Low</v>
      </c>
      <c r="Z591" s="20">
        <f t="shared" si="195"/>
        <v>45047</v>
      </c>
      <c r="AA591" s="4">
        <f t="array" ref="AA591">MIN(IF($F$2:$F$633=F591,$Z$2:$Z$633))</f>
        <v>44927</v>
      </c>
      <c r="AB591">
        <f t="shared" si="196"/>
        <v>4</v>
      </c>
      <c r="AC591">
        <f t="shared" si="197"/>
        <v>0</v>
      </c>
      <c r="AD591">
        <f t="shared" si="198"/>
        <v>0</v>
      </c>
      <c r="AE591" s="13">
        <f t="shared" si="199"/>
        <v>0</v>
      </c>
      <c r="AH591">
        <f t="shared" si="200"/>
        <v>14.399999999999999</v>
      </c>
      <c r="AI591">
        <f t="shared" si="201"/>
        <v>287.16649999999998</v>
      </c>
      <c r="AJ591" s="11">
        <f t="shared" si="202"/>
        <v>9.4E-2</v>
      </c>
      <c r="AK591">
        <f t="shared" si="203"/>
        <v>4714.0557119999994</v>
      </c>
      <c r="AL591">
        <f t="shared" si="204"/>
        <v>4135.1975999999995</v>
      </c>
      <c r="AM591">
        <f t="shared" si="205"/>
        <v>578.85811199999989</v>
      </c>
    </row>
    <row r="592" spans="1:39" x14ac:dyDescent="0.25">
      <c r="A592" t="s">
        <v>468</v>
      </c>
      <c r="B592" s="4">
        <v>45070</v>
      </c>
      <c r="C592" s="4">
        <v>45098</v>
      </c>
      <c r="D592" s="13">
        <f t="shared" si="186"/>
        <v>28</v>
      </c>
      <c r="E592" s="6" t="s">
        <v>648</v>
      </c>
      <c r="F592" t="s">
        <v>660</v>
      </c>
      <c r="G592" t="s">
        <v>697</v>
      </c>
      <c r="H592" t="s">
        <v>705</v>
      </c>
      <c r="I592" t="s">
        <v>709</v>
      </c>
      <c r="J592" t="s">
        <v>715</v>
      </c>
      <c r="K592" t="s">
        <v>732</v>
      </c>
      <c r="L592" t="s">
        <v>1187</v>
      </c>
      <c r="M592" s="8">
        <v>813.97</v>
      </c>
      <c r="N592" s="8">
        <v>1568.83</v>
      </c>
      <c r="O592" s="8">
        <f t="shared" si="187"/>
        <v>1568.83</v>
      </c>
      <c r="P592" s="11">
        <v>1.7000000000000001E-2</v>
      </c>
      <c r="Q592" s="13">
        <v>15</v>
      </c>
      <c r="R592" s="8">
        <f t="shared" si="188"/>
        <v>23132.398349999996</v>
      </c>
      <c r="S592" s="8">
        <f t="shared" si="189"/>
        <v>12209.550000000001</v>
      </c>
      <c r="T592" s="8">
        <f t="shared" si="190"/>
        <v>10922.848349999995</v>
      </c>
      <c r="U592" s="11">
        <f t="shared" si="191"/>
        <v>0.4721883215364911</v>
      </c>
      <c r="V592" s="17">
        <v>45784</v>
      </c>
      <c r="W592" s="4" t="str">
        <f t="shared" si="192"/>
        <v>Q2-2023</v>
      </c>
      <c r="X592" t="str">
        <f t="shared" si="193"/>
        <v>Americas → USA → Austin</v>
      </c>
      <c r="Y592" t="str">
        <f t="shared" si="194"/>
        <v>Medium</v>
      </c>
      <c r="Z592" s="20">
        <f t="shared" si="195"/>
        <v>45047</v>
      </c>
      <c r="AA592" s="4">
        <f t="array" ref="AA592">MIN(IF($F$2:$F$633=F592,$Z$2:$Z$633))</f>
        <v>44927</v>
      </c>
      <c r="AB592">
        <f t="shared" si="196"/>
        <v>4</v>
      </c>
      <c r="AC592">
        <f t="shared" si="197"/>
        <v>0</v>
      </c>
      <c r="AD592">
        <f t="shared" si="198"/>
        <v>0</v>
      </c>
      <c r="AE592" s="13">
        <f t="shared" si="199"/>
        <v>0</v>
      </c>
      <c r="AH592">
        <f t="shared" si="200"/>
        <v>18</v>
      </c>
      <c r="AI592">
        <f t="shared" si="201"/>
        <v>936.06549999999993</v>
      </c>
      <c r="AJ592" s="11">
        <f t="shared" si="202"/>
        <v>1.7000000000000001E-2</v>
      </c>
      <c r="AK592">
        <f t="shared" si="203"/>
        <v>27758.878019999996</v>
      </c>
      <c r="AL592">
        <f t="shared" si="204"/>
        <v>16849.179</v>
      </c>
      <c r="AM592">
        <f t="shared" si="205"/>
        <v>10909.699019999996</v>
      </c>
    </row>
    <row r="593" spans="1:39" x14ac:dyDescent="0.25">
      <c r="A593" t="s">
        <v>294</v>
      </c>
      <c r="B593" s="4">
        <v>45092</v>
      </c>
      <c r="C593" s="4">
        <v>45100</v>
      </c>
      <c r="D593" s="13">
        <f t="shared" si="186"/>
        <v>8</v>
      </c>
      <c r="E593" s="6" t="s">
        <v>648</v>
      </c>
      <c r="F593" t="s">
        <v>660</v>
      </c>
      <c r="G593" t="s">
        <v>686</v>
      </c>
      <c r="H593" t="s">
        <v>704</v>
      </c>
      <c r="I593" t="s">
        <v>710</v>
      </c>
      <c r="J593" t="s">
        <v>719</v>
      </c>
      <c r="K593" t="s">
        <v>732</v>
      </c>
      <c r="L593" t="s">
        <v>1014</v>
      </c>
      <c r="M593" s="8">
        <v>1097.0899999999999</v>
      </c>
      <c r="N593" s="8">
        <v>2182.31</v>
      </c>
      <c r="O593" s="8">
        <f t="shared" si="187"/>
        <v>2182.31</v>
      </c>
      <c r="P593" s="11">
        <v>0.112</v>
      </c>
      <c r="Q593" s="13">
        <v>9</v>
      </c>
      <c r="R593" s="8">
        <f t="shared" si="188"/>
        <v>17441.021520000002</v>
      </c>
      <c r="S593" s="8">
        <f t="shared" si="189"/>
        <v>9873.81</v>
      </c>
      <c r="T593" s="8">
        <f t="shared" si="190"/>
        <v>7567.2115200000026</v>
      </c>
      <c r="U593" s="11">
        <f t="shared" si="191"/>
        <v>0.43387432962699546</v>
      </c>
      <c r="V593" s="17">
        <v>45746</v>
      </c>
      <c r="W593" s="4" t="str">
        <f t="shared" si="192"/>
        <v>Q2-2023</v>
      </c>
      <c r="X593" t="str">
        <f t="shared" si="193"/>
        <v>Americas → USA → San Francisco</v>
      </c>
      <c r="Y593" t="str">
        <f t="shared" si="194"/>
        <v>High</v>
      </c>
      <c r="Z593" s="20">
        <f t="shared" si="195"/>
        <v>45078</v>
      </c>
      <c r="AA593" s="4">
        <f t="array" ref="AA593">MIN(IF($F$2:$F$633=F593,$Z$2:$Z$633))</f>
        <v>44927</v>
      </c>
      <c r="AB593">
        <f t="shared" si="196"/>
        <v>5</v>
      </c>
      <c r="AC593">
        <f t="shared" si="197"/>
        <v>0</v>
      </c>
      <c r="AD593">
        <f t="shared" si="198"/>
        <v>0</v>
      </c>
      <c r="AE593" s="13">
        <f t="shared" si="199"/>
        <v>0</v>
      </c>
      <c r="AH593">
        <f t="shared" si="200"/>
        <v>10.799999999999999</v>
      </c>
      <c r="AI593">
        <f t="shared" si="201"/>
        <v>1261.6534999999999</v>
      </c>
      <c r="AJ593" s="11">
        <f t="shared" si="202"/>
        <v>0.112</v>
      </c>
      <c r="AK593">
        <f t="shared" si="203"/>
        <v>20929.225823999997</v>
      </c>
      <c r="AL593">
        <f t="shared" si="204"/>
        <v>13625.857799999998</v>
      </c>
      <c r="AM593">
        <f t="shared" si="205"/>
        <v>7303.3680239999994</v>
      </c>
    </row>
    <row r="594" spans="1:39" x14ac:dyDescent="0.25">
      <c r="A594" t="s">
        <v>54</v>
      </c>
      <c r="B594" s="4">
        <v>45094</v>
      </c>
      <c r="C594" s="4">
        <v>45101</v>
      </c>
      <c r="D594" s="13">
        <f t="shared" si="186"/>
        <v>7</v>
      </c>
      <c r="E594" s="6" t="s">
        <v>648</v>
      </c>
      <c r="F594" t="s">
        <v>660</v>
      </c>
      <c r="G594" t="s">
        <v>686</v>
      </c>
      <c r="H594" t="s">
        <v>701</v>
      </c>
      <c r="I594" t="s">
        <v>707</v>
      </c>
      <c r="J594" t="s">
        <v>714</v>
      </c>
      <c r="K594" t="s">
        <v>728</v>
      </c>
      <c r="L594" t="s">
        <v>773</v>
      </c>
      <c r="M594" s="8">
        <v>313.99</v>
      </c>
      <c r="N594" s="8">
        <v>454.42</v>
      </c>
      <c r="O594" s="8">
        <f t="shared" si="187"/>
        <v>454.42</v>
      </c>
      <c r="P594" s="11">
        <v>0.129</v>
      </c>
      <c r="Q594" s="13">
        <v>9</v>
      </c>
      <c r="R594" s="8">
        <f t="shared" si="188"/>
        <v>3562.1983800000003</v>
      </c>
      <c r="S594" s="8">
        <f t="shared" si="189"/>
        <v>2825.91</v>
      </c>
      <c r="T594" s="8">
        <f t="shared" si="190"/>
        <v>736.28838000000042</v>
      </c>
      <c r="U594" s="11">
        <f t="shared" si="191"/>
        <v>0.20669493988147858</v>
      </c>
      <c r="V594" s="17">
        <v>45748</v>
      </c>
      <c r="W594" s="4" t="str">
        <f t="shared" si="192"/>
        <v>Q2-2023</v>
      </c>
      <c r="X594" t="str">
        <f t="shared" si="193"/>
        <v>Americas → USA → San Francisco</v>
      </c>
      <c r="Y594" t="str">
        <f t="shared" si="194"/>
        <v>Low</v>
      </c>
      <c r="Z594" s="20">
        <f t="shared" si="195"/>
        <v>45078</v>
      </c>
      <c r="AA594" s="4">
        <f t="array" ref="AA594">MIN(IF($F$2:$F$633=F594,$Z$2:$Z$633))</f>
        <v>44927</v>
      </c>
      <c r="AB594">
        <f t="shared" si="196"/>
        <v>5</v>
      </c>
      <c r="AC594">
        <f t="shared" si="197"/>
        <v>1</v>
      </c>
      <c r="AD594">
        <f t="shared" si="198"/>
        <v>0</v>
      </c>
      <c r="AE594" s="13">
        <f t="shared" si="199"/>
        <v>1</v>
      </c>
      <c r="AH594">
        <f t="shared" si="200"/>
        <v>10.799999999999999</v>
      </c>
      <c r="AI594">
        <f t="shared" si="201"/>
        <v>361.08850000000001</v>
      </c>
      <c r="AJ594" s="11">
        <f t="shared" si="202"/>
        <v>0.129</v>
      </c>
      <c r="AK594">
        <f t="shared" si="203"/>
        <v>4274.6380559999998</v>
      </c>
      <c r="AL594">
        <f t="shared" si="204"/>
        <v>3899.7557999999999</v>
      </c>
      <c r="AM594">
        <f t="shared" si="205"/>
        <v>374.88225599999987</v>
      </c>
    </row>
    <row r="595" spans="1:39" x14ac:dyDescent="0.25">
      <c r="A595" t="s">
        <v>311</v>
      </c>
      <c r="B595" s="4">
        <v>45097</v>
      </c>
      <c r="C595" s="4">
        <v>45115</v>
      </c>
      <c r="D595" s="13">
        <f t="shared" si="186"/>
        <v>18</v>
      </c>
      <c r="E595" s="6" t="s">
        <v>648</v>
      </c>
      <c r="F595" t="s">
        <v>660</v>
      </c>
      <c r="G595" t="s">
        <v>697</v>
      </c>
      <c r="H595" t="s">
        <v>703</v>
      </c>
      <c r="I595" t="s">
        <v>711</v>
      </c>
      <c r="J595" t="s">
        <v>721</v>
      </c>
      <c r="K595" t="s">
        <v>732</v>
      </c>
      <c r="L595" t="s">
        <v>1031</v>
      </c>
      <c r="M595" s="8">
        <v>337</v>
      </c>
      <c r="N595" s="8">
        <v>511.03</v>
      </c>
      <c r="O595" s="8">
        <f t="shared" si="187"/>
        <v>511.03</v>
      </c>
      <c r="P595" s="11">
        <v>0.108</v>
      </c>
      <c r="Q595" s="13">
        <v>7</v>
      </c>
      <c r="R595" s="8">
        <f t="shared" si="188"/>
        <v>3190.8713200000002</v>
      </c>
      <c r="S595" s="8">
        <f t="shared" si="189"/>
        <v>2359</v>
      </c>
      <c r="T595" s="8">
        <f t="shared" si="190"/>
        <v>831.8713200000002</v>
      </c>
      <c r="U595" s="11">
        <f t="shared" si="191"/>
        <v>0.26070349963219458</v>
      </c>
      <c r="V595" s="17">
        <v>45769</v>
      </c>
      <c r="W595" s="4" t="str">
        <f t="shared" si="192"/>
        <v>Q2-2023</v>
      </c>
      <c r="X595" t="str">
        <f t="shared" si="193"/>
        <v>Americas → USA → Austin</v>
      </c>
      <c r="Y595" t="str">
        <f t="shared" si="194"/>
        <v>Low</v>
      </c>
      <c r="Z595" s="20">
        <f t="shared" si="195"/>
        <v>45078</v>
      </c>
      <c r="AA595" s="4">
        <f t="array" ref="AA595">MIN(IF($F$2:$F$633=F595,$Z$2:$Z$633))</f>
        <v>44927</v>
      </c>
      <c r="AB595">
        <f t="shared" si="196"/>
        <v>5</v>
      </c>
      <c r="AC595">
        <f t="shared" si="197"/>
        <v>0</v>
      </c>
      <c r="AD595">
        <f t="shared" si="198"/>
        <v>0</v>
      </c>
      <c r="AE595" s="13">
        <f t="shared" si="199"/>
        <v>0</v>
      </c>
      <c r="AH595">
        <f t="shared" si="200"/>
        <v>8.4</v>
      </c>
      <c r="AI595">
        <f t="shared" si="201"/>
        <v>387.54999999999995</v>
      </c>
      <c r="AJ595" s="11">
        <f t="shared" si="202"/>
        <v>0.108</v>
      </c>
      <c r="AK595">
        <f t="shared" si="203"/>
        <v>3829.045584</v>
      </c>
      <c r="AL595">
        <f t="shared" si="204"/>
        <v>3255.4199999999996</v>
      </c>
      <c r="AM595">
        <f t="shared" si="205"/>
        <v>573.62558400000034</v>
      </c>
    </row>
    <row r="596" spans="1:39" x14ac:dyDescent="0.25">
      <c r="A596" t="s">
        <v>397</v>
      </c>
      <c r="B596" s="4">
        <v>45097</v>
      </c>
      <c r="C596" s="4">
        <v>45115</v>
      </c>
      <c r="D596" s="13">
        <f t="shared" si="186"/>
        <v>18</v>
      </c>
      <c r="E596" s="6" t="s">
        <v>648</v>
      </c>
      <c r="F596" t="s">
        <v>660</v>
      </c>
      <c r="G596" t="s">
        <v>700</v>
      </c>
      <c r="H596" t="s">
        <v>704</v>
      </c>
      <c r="I596" t="s">
        <v>709</v>
      </c>
      <c r="J596" t="s">
        <v>719</v>
      </c>
      <c r="K596" t="s">
        <v>729</v>
      </c>
      <c r="L596" t="s">
        <v>1116</v>
      </c>
      <c r="M596" s="8">
        <v>1145.53</v>
      </c>
      <c r="N596" s="8">
        <v>1278.3</v>
      </c>
      <c r="O596" s="8">
        <f t="shared" si="187"/>
        <v>1278.3</v>
      </c>
      <c r="P596" s="11">
        <v>0.09</v>
      </c>
      <c r="Q596" s="13">
        <v>41</v>
      </c>
      <c r="R596" s="8">
        <f t="shared" si="188"/>
        <v>47693.373</v>
      </c>
      <c r="S596" s="8">
        <f t="shared" si="189"/>
        <v>46966.729999999996</v>
      </c>
      <c r="T596" s="8">
        <f t="shared" si="190"/>
        <v>726.64300000000367</v>
      </c>
      <c r="U596" s="11">
        <f t="shared" si="191"/>
        <v>1.5235722581416158E-2</v>
      </c>
      <c r="V596" s="17">
        <v>45757</v>
      </c>
      <c r="W596" s="4" t="str">
        <f t="shared" si="192"/>
        <v>Q2-2023</v>
      </c>
      <c r="X596" t="str">
        <f t="shared" si="193"/>
        <v>Americas → USA → New York</v>
      </c>
      <c r="Y596" t="str">
        <f t="shared" si="194"/>
        <v>Medium</v>
      </c>
      <c r="Z596" s="20">
        <f t="shared" si="195"/>
        <v>45078</v>
      </c>
      <c r="AA596" s="4">
        <f t="array" ref="AA596">MIN(IF($F$2:$F$633=F596,$Z$2:$Z$633))</f>
        <v>44927</v>
      </c>
      <c r="AB596">
        <f t="shared" si="196"/>
        <v>5</v>
      </c>
      <c r="AC596">
        <f t="shared" si="197"/>
        <v>0</v>
      </c>
      <c r="AD596">
        <f t="shared" si="198"/>
        <v>0</v>
      </c>
      <c r="AE596" s="13">
        <f t="shared" si="199"/>
        <v>0</v>
      </c>
      <c r="AH596">
        <f t="shared" si="200"/>
        <v>49.199999999999996</v>
      </c>
      <c r="AI596">
        <f t="shared" si="201"/>
        <v>1317.3594999999998</v>
      </c>
      <c r="AJ596" s="11">
        <f t="shared" si="202"/>
        <v>0.09</v>
      </c>
      <c r="AK596">
        <f t="shared" si="203"/>
        <v>57232.047599999998</v>
      </c>
      <c r="AL596">
        <f t="shared" si="204"/>
        <v>64814.087399999982</v>
      </c>
      <c r="AM596">
        <f t="shared" si="205"/>
        <v>-7582.0397999999841</v>
      </c>
    </row>
    <row r="597" spans="1:39" x14ac:dyDescent="0.25">
      <c r="A597" t="s">
        <v>157</v>
      </c>
      <c r="B597" s="4">
        <v>45133</v>
      </c>
      <c r="C597" s="4">
        <v>45163</v>
      </c>
      <c r="D597" s="13">
        <f t="shared" si="186"/>
        <v>30</v>
      </c>
      <c r="E597" s="6" t="s">
        <v>648</v>
      </c>
      <c r="F597" t="s">
        <v>660</v>
      </c>
      <c r="G597" t="s">
        <v>700</v>
      </c>
      <c r="H597" t="s">
        <v>704</v>
      </c>
      <c r="I597" t="s">
        <v>707</v>
      </c>
      <c r="J597" t="s">
        <v>724</v>
      </c>
      <c r="K597" t="s">
        <v>733</v>
      </c>
      <c r="L597" t="s">
        <v>876</v>
      </c>
      <c r="M597" s="8">
        <v>1261.48</v>
      </c>
      <c r="N597" s="8">
        <v>1643.18</v>
      </c>
      <c r="O597" s="8">
        <f t="shared" si="187"/>
        <v>1643.18</v>
      </c>
      <c r="P597" s="11">
        <v>0.151</v>
      </c>
      <c r="Q597" s="13">
        <v>23</v>
      </c>
      <c r="R597" s="8">
        <f t="shared" si="188"/>
        <v>32086.37586</v>
      </c>
      <c r="S597" s="8">
        <f t="shared" si="189"/>
        <v>29014.04</v>
      </c>
      <c r="T597" s="8">
        <f t="shared" si="190"/>
        <v>3072.3358599999992</v>
      </c>
      <c r="U597" s="11">
        <f t="shared" si="191"/>
        <v>9.5752037357079045E-2</v>
      </c>
      <c r="V597" s="17">
        <v>45724</v>
      </c>
      <c r="W597" s="4" t="str">
        <f t="shared" si="192"/>
        <v>Q3-2023</v>
      </c>
      <c r="X597" t="str">
        <f t="shared" si="193"/>
        <v>Americas → USA → New York</v>
      </c>
      <c r="Y597" t="str">
        <f t="shared" si="194"/>
        <v>High</v>
      </c>
      <c r="Z597" s="20">
        <f t="shared" si="195"/>
        <v>45108</v>
      </c>
      <c r="AA597" s="4">
        <f t="array" ref="AA597">MIN(IF($F$2:$F$633=F597,$Z$2:$Z$633))</f>
        <v>44927</v>
      </c>
      <c r="AB597">
        <f t="shared" si="196"/>
        <v>6</v>
      </c>
      <c r="AC597">
        <f t="shared" si="197"/>
        <v>0</v>
      </c>
      <c r="AD597">
        <f t="shared" si="198"/>
        <v>0</v>
      </c>
      <c r="AE597" s="13">
        <f t="shared" si="199"/>
        <v>0</v>
      </c>
      <c r="AH597">
        <f t="shared" si="200"/>
        <v>27.599999999999998</v>
      </c>
      <c r="AI597">
        <f t="shared" si="201"/>
        <v>1450.702</v>
      </c>
      <c r="AJ597" s="11">
        <f t="shared" si="202"/>
        <v>0.151</v>
      </c>
      <c r="AK597">
        <f t="shared" si="203"/>
        <v>38503.651031999994</v>
      </c>
      <c r="AL597">
        <f t="shared" si="204"/>
        <v>40039.375199999995</v>
      </c>
      <c r="AM597">
        <f t="shared" si="205"/>
        <v>-1535.7241680000006</v>
      </c>
    </row>
    <row r="598" spans="1:39" x14ac:dyDescent="0.25">
      <c r="A598" t="s">
        <v>216</v>
      </c>
      <c r="B598" s="4">
        <v>45153</v>
      </c>
      <c r="C598" s="4">
        <v>45176</v>
      </c>
      <c r="D598" s="13">
        <f t="shared" si="186"/>
        <v>23</v>
      </c>
      <c r="E598" s="6" t="s">
        <v>648</v>
      </c>
      <c r="F598" t="s">
        <v>660</v>
      </c>
      <c r="G598" t="s">
        <v>700</v>
      </c>
      <c r="H598" t="s">
        <v>706</v>
      </c>
      <c r="I598" t="s">
        <v>708</v>
      </c>
      <c r="J598" t="s">
        <v>723</v>
      </c>
      <c r="K598" t="s">
        <v>730</v>
      </c>
      <c r="L598" t="s">
        <v>936</v>
      </c>
      <c r="M598" s="8">
        <v>590.33000000000004</v>
      </c>
      <c r="N598" s="8">
        <v>973.04</v>
      </c>
      <c r="O598" s="8">
        <f t="shared" si="187"/>
        <v>973.04</v>
      </c>
      <c r="P598" s="11">
        <v>0</v>
      </c>
      <c r="Q598" s="13">
        <v>26</v>
      </c>
      <c r="R598" s="8">
        <f t="shared" si="188"/>
        <v>25299.040000000001</v>
      </c>
      <c r="S598" s="8">
        <f t="shared" si="189"/>
        <v>15348.580000000002</v>
      </c>
      <c r="T598" s="8">
        <f t="shared" si="190"/>
        <v>9950.4599999999991</v>
      </c>
      <c r="U598" s="11">
        <f t="shared" si="191"/>
        <v>0.39331373838691108</v>
      </c>
      <c r="V598" s="17">
        <v>45678</v>
      </c>
      <c r="W598" s="4" t="str">
        <f t="shared" si="192"/>
        <v>Q3-2023</v>
      </c>
      <c r="X598" t="str">
        <f t="shared" si="193"/>
        <v>Americas → USA → New York</v>
      </c>
      <c r="Y598" t="str">
        <f t="shared" si="194"/>
        <v>Medium</v>
      </c>
      <c r="Z598" s="20">
        <f t="shared" si="195"/>
        <v>45139</v>
      </c>
      <c r="AA598" s="4">
        <f t="array" ref="AA598">MIN(IF($F$2:$F$633=F598,$Z$2:$Z$633))</f>
        <v>44927</v>
      </c>
      <c r="AB598">
        <f t="shared" si="196"/>
        <v>7</v>
      </c>
      <c r="AC598">
        <f t="shared" si="197"/>
        <v>0</v>
      </c>
      <c r="AD598">
        <f t="shared" si="198"/>
        <v>0</v>
      </c>
      <c r="AE598" s="13">
        <f t="shared" si="199"/>
        <v>0</v>
      </c>
      <c r="AH598">
        <f t="shared" si="200"/>
        <v>31.2</v>
      </c>
      <c r="AI598">
        <f t="shared" si="201"/>
        <v>678.87950000000001</v>
      </c>
      <c r="AJ598" s="11">
        <f t="shared" si="202"/>
        <v>0</v>
      </c>
      <c r="AK598">
        <f t="shared" si="203"/>
        <v>30358.847999999998</v>
      </c>
      <c r="AL598">
        <f t="shared" si="204"/>
        <v>21181.040399999998</v>
      </c>
      <c r="AM598">
        <f t="shared" si="205"/>
        <v>9177.8076000000001</v>
      </c>
    </row>
    <row r="599" spans="1:39" x14ac:dyDescent="0.25">
      <c r="A599" t="s">
        <v>382</v>
      </c>
      <c r="B599" s="4">
        <v>45194</v>
      </c>
      <c r="C599" s="4">
        <v>45208</v>
      </c>
      <c r="D599" s="13">
        <f t="shared" si="186"/>
        <v>14</v>
      </c>
      <c r="E599" s="6" t="s">
        <v>648</v>
      </c>
      <c r="F599" t="s">
        <v>660</v>
      </c>
      <c r="G599" t="s">
        <v>700</v>
      </c>
      <c r="H599" t="s">
        <v>705</v>
      </c>
      <c r="I599" t="s">
        <v>709</v>
      </c>
      <c r="J599" t="s">
        <v>713</v>
      </c>
      <c r="K599" t="s">
        <v>731</v>
      </c>
      <c r="L599" t="s">
        <v>1102</v>
      </c>
      <c r="M599" s="8">
        <v>1279.56</v>
      </c>
      <c r="N599" s="8">
        <v>3083.8</v>
      </c>
      <c r="O599" s="8">
        <f t="shared" si="187"/>
        <v>3083.8</v>
      </c>
      <c r="P599" s="11">
        <v>0.106</v>
      </c>
      <c r="Q599" s="13">
        <v>5</v>
      </c>
      <c r="R599" s="8">
        <f t="shared" si="188"/>
        <v>13784.586000000001</v>
      </c>
      <c r="S599" s="8">
        <f t="shared" si="189"/>
        <v>6397.7999999999993</v>
      </c>
      <c r="T599" s="8">
        <f t="shared" si="190"/>
        <v>7386.7860000000019</v>
      </c>
      <c r="U599" s="11">
        <f t="shared" si="191"/>
        <v>0.53587289455047848</v>
      </c>
      <c r="V599" s="17">
        <v>45640</v>
      </c>
      <c r="W599" s="4" t="str">
        <f t="shared" si="192"/>
        <v>Q3-2023</v>
      </c>
      <c r="X599" t="str">
        <f t="shared" si="193"/>
        <v>Americas → USA → New York</v>
      </c>
      <c r="Y599" t="str">
        <f t="shared" si="194"/>
        <v>High</v>
      </c>
      <c r="Z599" s="20">
        <f t="shared" si="195"/>
        <v>45170</v>
      </c>
      <c r="AA599" s="4">
        <f t="array" ref="AA599">MIN(IF($F$2:$F$633=F599,$Z$2:$Z$633))</f>
        <v>44927</v>
      </c>
      <c r="AB599">
        <f t="shared" si="196"/>
        <v>8</v>
      </c>
      <c r="AC599">
        <f t="shared" si="197"/>
        <v>0</v>
      </c>
      <c r="AD599">
        <f t="shared" si="198"/>
        <v>0</v>
      </c>
      <c r="AE599" s="13">
        <f t="shared" si="199"/>
        <v>0</v>
      </c>
      <c r="AH599">
        <f t="shared" si="200"/>
        <v>6</v>
      </c>
      <c r="AI599">
        <f t="shared" si="201"/>
        <v>1471.4939999999999</v>
      </c>
      <c r="AJ599" s="11">
        <f t="shared" si="202"/>
        <v>0.106</v>
      </c>
      <c r="AK599">
        <f t="shared" si="203"/>
        <v>16541.503200000003</v>
      </c>
      <c r="AL599">
        <f t="shared" si="204"/>
        <v>8828.9639999999999</v>
      </c>
      <c r="AM599">
        <f t="shared" si="205"/>
        <v>7712.5392000000029</v>
      </c>
    </row>
    <row r="600" spans="1:39" x14ac:dyDescent="0.25">
      <c r="A600" t="s">
        <v>235</v>
      </c>
      <c r="B600" s="4">
        <v>45194</v>
      </c>
      <c r="C600" s="4">
        <v>45201</v>
      </c>
      <c r="D600" s="13">
        <f t="shared" si="186"/>
        <v>7</v>
      </c>
      <c r="E600" s="6" t="s">
        <v>648</v>
      </c>
      <c r="F600" t="s">
        <v>660</v>
      </c>
      <c r="G600" t="s">
        <v>700</v>
      </c>
      <c r="H600" t="s">
        <v>702</v>
      </c>
      <c r="I600" t="s">
        <v>709</v>
      </c>
      <c r="J600" t="s">
        <v>714</v>
      </c>
      <c r="K600" t="s">
        <v>733</v>
      </c>
      <c r="L600" t="s">
        <v>955</v>
      </c>
      <c r="M600" s="8">
        <v>145.58000000000001</v>
      </c>
      <c r="N600" s="8">
        <v>228.15</v>
      </c>
      <c r="O600" s="8">
        <f t="shared" si="187"/>
        <v>228.15</v>
      </c>
      <c r="P600" s="11">
        <v>0.20399999999999999</v>
      </c>
      <c r="Q600" s="13">
        <v>5</v>
      </c>
      <c r="R600" s="8">
        <f t="shared" si="188"/>
        <v>908.03700000000003</v>
      </c>
      <c r="S600" s="8">
        <f t="shared" si="189"/>
        <v>727.90000000000009</v>
      </c>
      <c r="T600" s="8">
        <f t="shared" si="190"/>
        <v>180.13699999999994</v>
      </c>
      <c r="U600" s="11">
        <f t="shared" si="191"/>
        <v>0.19838068272548359</v>
      </c>
      <c r="V600" s="17">
        <v>45649</v>
      </c>
      <c r="W600" s="4" t="str">
        <f t="shared" si="192"/>
        <v>Q3-2023</v>
      </c>
      <c r="X600" t="str">
        <f t="shared" si="193"/>
        <v>Americas → USA → New York</v>
      </c>
      <c r="Y600" t="str">
        <f t="shared" si="194"/>
        <v>Low</v>
      </c>
      <c r="Z600" s="20">
        <f t="shared" si="195"/>
        <v>45170</v>
      </c>
      <c r="AA600" s="4">
        <f t="array" ref="AA600">MIN(IF($F$2:$F$633=F600,$Z$2:$Z$633))</f>
        <v>44927</v>
      </c>
      <c r="AB600">
        <f t="shared" si="196"/>
        <v>8</v>
      </c>
      <c r="AC600">
        <f t="shared" si="197"/>
        <v>1</v>
      </c>
      <c r="AD600">
        <f t="shared" si="198"/>
        <v>1</v>
      </c>
      <c r="AE600" s="13">
        <f t="shared" si="199"/>
        <v>1</v>
      </c>
      <c r="AH600">
        <f t="shared" si="200"/>
        <v>6</v>
      </c>
      <c r="AI600">
        <f t="shared" si="201"/>
        <v>167.417</v>
      </c>
      <c r="AJ600" s="11">
        <f t="shared" si="202"/>
        <v>0.20399999999999999</v>
      </c>
      <c r="AK600">
        <f t="shared" si="203"/>
        <v>1089.6444000000001</v>
      </c>
      <c r="AL600">
        <f t="shared" si="204"/>
        <v>1004.502</v>
      </c>
      <c r="AM600">
        <f t="shared" si="205"/>
        <v>85.14240000000018</v>
      </c>
    </row>
    <row r="601" spans="1:39" x14ac:dyDescent="0.25">
      <c r="A601" t="s">
        <v>241</v>
      </c>
      <c r="B601" s="4">
        <v>45203</v>
      </c>
      <c r="C601" s="4">
        <v>45228</v>
      </c>
      <c r="D601" s="13">
        <f t="shared" si="186"/>
        <v>25</v>
      </c>
      <c r="E601" s="6" t="s">
        <v>648</v>
      </c>
      <c r="F601" t="s">
        <v>660</v>
      </c>
      <c r="G601" t="s">
        <v>686</v>
      </c>
      <c r="H601" t="s">
        <v>705</v>
      </c>
      <c r="I601" t="s">
        <v>710</v>
      </c>
      <c r="J601" t="s">
        <v>719</v>
      </c>
      <c r="K601" t="s">
        <v>733</v>
      </c>
      <c r="L601" t="s">
        <v>961</v>
      </c>
      <c r="M601" s="8">
        <v>1239.8399999999999</v>
      </c>
      <c r="N601" s="8">
        <v>1482.75</v>
      </c>
      <c r="O601" s="8">
        <f t="shared" si="187"/>
        <v>1482.75</v>
      </c>
      <c r="P601" s="11">
        <v>6.7000000000000004E-2</v>
      </c>
      <c r="Q601" s="13">
        <v>4</v>
      </c>
      <c r="R601" s="8">
        <f t="shared" si="188"/>
        <v>5533.6230000000005</v>
      </c>
      <c r="S601" s="8">
        <f t="shared" si="189"/>
        <v>4959.3599999999997</v>
      </c>
      <c r="T601" s="8">
        <f t="shared" si="190"/>
        <v>574.26300000000083</v>
      </c>
      <c r="U601" s="11">
        <f t="shared" si="191"/>
        <v>0.10377703721413634</v>
      </c>
      <c r="V601" s="17">
        <v>45661</v>
      </c>
      <c r="W601" s="4" t="str">
        <f t="shared" si="192"/>
        <v>Q4-2023</v>
      </c>
      <c r="X601" t="str">
        <f t="shared" si="193"/>
        <v>Americas → USA → San Francisco</v>
      </c>
      <c r="Y601" t="str">
        <f t="shared" si="194"/>
        <v>Medium</v>
      </c>
      <c r="Z601" s="20">
        <f t="shared" si="195"/>
        <v>45200</v>
      </c>
      <c r="AA601" s="4">
        <f t="array" ref="AA601">MIN(IF($F$2:$F$633=F601,$Z$2:$Z$633))</f>
        <v>44927</v>
      </c>
      <c r="AB601">
        <f t="shared" si="196"/>
        <v>9</v>
      </c>
      <c r="AC601">
        <f t="shared" si="197"/>
        <v>0</v>
      </c>
      <c r="AD601">
        <f t="shared" si="198"/>
        <v>0</v>
      </c>
      <c r="AE601" s="13">
        <f t="shared" si="199"/>
        <v>0</v>
      </c>
      <c r="AH601">
        <f t="shared" si="200"/>
        <v>4.8</v>
      </c>
      <c r="AI601">
        <f t="shared" si="201"/>
        <v>1425.8159999999998</v>
      </c>
      <c r="AJ601" s="11">
        <f t="shared" si="202"/>
        <v>6.7000000000000004E-2</v>
      </c>
      <c r="AK601">
        <f t="shared" si="203"/>
        <v>6640.3476000000001</v>
      </c>
      <c r="AL601">
        <f t="shared" si="204"/>
        <v>6843.9167999999991</v>
      </c>
      <c r="AM601">
        <f t="shared" si="205"/>
        <v>-203.569199999999</v>
      </c>
    </row>
    <row r="602" spans="1:39" x14ac:dyDescent="0.25">
      <c r="A602" t="s">
        <v>335</v>
      </c>
      <c r="B602" s="4">
        <v>45292</v>
      </c>
      <c r="C602" s="4">
        <v>45293</v>
      </c>
      <c r="D602" s="13">
        <f t="shared" si="186"/>
        <v>1</v>
      </c>
      <c r="E602" s="6" t="s">
        <v>648</v>
      </c>
      <c r="F602" t="s">
        <v>660</v>
      </c>
      <c r="G602" t="s">
        <v>677</v>
      </c>
      <c r="H602" t="s">
        <v>702</v>
      </c>
      <c r="I602" t="s">
        <v>709</v>
      </c>
      <c r="J602" t="s">
        <v>717</v>
      </c>
      <c r="K602" t="s">
        <v>729</v>
      </c>
      <c r="L602" t="s">
        <v>1055</v>
      </c>
      <c r="M602" s="8">
        <v>404.77</v>
      </c>
      <c r="N602" s="8">
        <v>433.88</v>
      </c>
      <c r="O602" s="8">
        <f t="shared" si="187"/>
        <v>433.88</v>
      </c>
      <c r="P602" s="11">
        <v>0.215</v>
      </c>
      <c r="Q602" s="13">
        <v>22</v>
      </c>
      <c r="R602" s="8">
        <f t="shared" si="188"/>
        <v>7493.1076000000012</v>
      </c>
      <c r="S602" s="8">
        <f t="shared" si="189"/>
        <v>8904.9399999999987</v>
      </c>
      <c r="T602" s="8">
        <f t="shared" si="190"/>
        <v>-1411.8323999999975</v>
      </c>
      <c r="U602" s="11">
        <f t="shared" si="191"/>
        <v>-0.18841747314558746</v>
      </c>
      <c r="V602" s="17">
        <v>45558</v>
      </c>
      <c r="W602" s="4" t="str">
        <f t="shared" si="192"/>
        <v>Q1-2024</v>
      </c>
      <c r="X602" t="str">
        <f t="shared" si="193"/>
        <v>Americas → USA → Chicago</v>
      </c>
      <c r="Y602" t="str">
        <f t="shared" si="194"/>
        <v>Low</v>
      </c>
      <c r="Z602" s="20">
        <f t="shared" si="195"/>
        <v>45292</v>
      </c>
      <c r="AA602" s="4">
        <f t="array" ref="AA602">MIN(IF($F$2:$F$633=F602,$Z$2:$Z$633))</f>
        <v>44927</v>
      </c>
      <c r="AB602">
        <f t="shared" si="196"/>
        <v>12</v>
      </c>
      <c r="AC602">
        <f t="shared" si="197"/>
        <v>1</v>
      </c>
      <c r="AD602">
        <f t="shared" si="198"/>
        <v>1</v>
      </c>
      <c r="AE602" s="13">
        <f t="shared" si="199"/>
        <v>1</v>
      </c>
      <c r="AH602">
        <f t="shared" si="200"/>
        <v>26.4</v>
      </c>
      <c r="AI602">
        <f t="shared" si="201"/>
        <v>465.48549999999994</v>
      </c>
      <c r="AJ602" s="11">
        <f t="shared" si="202"/>
        <v>0.215</v>
      </c>
      <c r="AK602">
        <f t="shared" si="203"/>
        <v>8991.72912</v>
      </c>
      <c r="AL602">
        <f t="shared" si="204"/>
        <v>12288.817199999998</v>
      </c>
      <c r="AM602">
        <f t="shared" si="205"/>
        <v>-3297.0880799999977</v>
      </c>
    </row>
    <row r="603" spans="1:39" x14ac:dyDescent="0.25">
      <c r="A603" t="s">
        <v>215</v>
      </c>
      <c r="B603" s="4">
        <v>45303</v>
      </c>
      <c r="C603" s="4">
        <v>45320</v>
      </c>
      <c r="D603" s="13">
        <f t="shared" si="186"/>
        <v>17</v>
      </c>
      <c r="E603" s="6" t="s">
        <v>648</v>
      </c>
      <c r="F603" t="s">
        <v>660</v>
      </c>
      <c r="G603" t="s">
        <v>677</v>
      </c>
      <c r="H603" t="s">
        <v>702</v>
      </c>
      <c r="I603" t="s">
        <v>710</v>
      </c>
      <c r="J603" t="s">
        <v>720</v>
      </c>
      <c r="K603" t="s">
        <v>728</v>
      </c>
      <c r="L603" t="s">
        <v>935</v>
      </c>
      <c r="M603" s="8">
        <v>493.76</v>
      </c>
      <c r="N603" s="8">
        <v>625.04</v>
      </c>
      <c r="O603" s="8">
        <f t="shared" si="187"/>
        <v>625.04</v>
      </c>
      <c r="P603" s="11">
        <v>0.25800000000000001</v>
      </c>
      <c r="Q603" s="13">
        <v>10</v>
      </c>
      <c r="R603" s="8">
        <f t="shared" si="188"/>
        <v>4637.7968000000001</v>
      </c>
      <c r="S603" s="8">
        <f t="shared" si="189"/>
        <v>4937.6000000000004</v>
      </c>
      <c r="T603" s="8">
        <f t="shared" si="190"/>
        <v>-299.80320000000029</v>
      </c>
      <c r="U603" s="11">
        <f t="shared" si="191"/>
        <v>-6.464345311549663E-2</v>
      </c>
      <c r="V603" s="17">
        <v>45541</v>
      </c>
      <c r="W603" s="4" t="str">
        <f t="shared" si="192"/>
        <v>Q1-2024</v>
      </c>
      <c r="X603" t="str">
        <f t="shared" si="193"/>
        <v>Americas → USA → Chicago</v>
      </c>
      <c r="Y603" t="str">
        <f t="shared" si="194"/>
        <v>Low</v>
      </c>
      <c r="Z603" s="20">
        <f t="shared" si="195"/>
        <v>45292</v>
      </c>
      <c r="AA603" s="4">
        <f t="array" ref="AA603">MIN(IF($F$2:$F$633=F603,$Z$2:$Z$633))</f>
        <v>44927</v>
      </c>
      <c r="AB603">
        <f t="shared" si="196"/>
        <v>12</v>
      </c>
      <c r="AC603">
        <f t="shared" si="197"/>
        <v>0</v>
      </c>
      <c r="AD603">
        <f t="shared" si="198"/>
        <v>1</v>
      </c>
      <c r="AE603" s="13">
        <f t="shared" si="199"/>
        <v>0</v>
      </c>
      <c r="AH603">
        <f t="shared" si="200"/>
        <v>12</v>
      </c>
      <c r="AI603">
        <f t="shared" si="201"/>
        <v>567.82399999999996</v>
      </c>
      <c r="AJ603" s="11">
        <f t="shared" si="202"/>
        <v>0.25</v>
      </c>
      <c r="AK603">
        <f t="shared" si="203"/>
        <v>5625.36</v>
      </c>
      <c r="AL603">
        <f t="shared" si="204"/>
        <v>6813.887999999999</v>
      </c>
      <c r="AM603">
        <f t="shared" si="205"/>
        <v>-1188.5279999999993</v>
      </c>
    </row>
    <row r="604" spans="1:39" x14ac:dyDescent="0.25">
      <c r="A604" t="s">
        <v>538</v>
      </c>
      <c r="B604" s="4">
        <v>45304</v>
      </c>
      <c r="C604" s="4">
        <v>45306</v>
      </c>
      <c r="D604" s="13">
        <f t="shared" si="186"/>
        <v>2</v>
      </c>
      <c r="E604" s="6" t="s">
        <v>648</v>
      </c>
      <c r="F604" t="s">
        <v>660</v>
      </c>
      <c r="G604" t="s">
        <v>686</v>
      </c>
      <c r="H604" t="s">
        <v>703</v>
      </c>
      <c r="I604" t="s">
        <v>711</v>
      </c>
      <c r="J604" t="s">
        <v>718</v>
      </c>
      <c r="K604" t="s">
        <v>727</v>
      </c>
      <c r="L604" t="s">
        <v>1257</v>
      </c>
      <c r="M604" s="8">
        <v>1061.3699999999999</v>
      </c>
      <c r="N604" s="8">
        <v>1938.33</v>
      </c>
      <c r="O604" s="8">
        <f t="shared" si="187"/>
        <v>1938.33</v>
      </c>
      <c r="P604" s="11">
        <v>0.17</v>
      </c>
      <c r="Q604" s="13">
        <v>4</v>
      </c>
      <c r="R604" s="8">
        <f t="shared" si="188"/>
        <v>6435.2555999999995</v>
      </c>
      <c r="S604" s="8">
        <f t="shared" si="189"/>
        <v>4245.4799999999996</v>
      </c>
      <c r="T604" s="8">
        <f t="shared" si="190"/>
        <v>2189.7755999999999</v>
      </c>
      <c r="U604" s="11">
        <f t="shared" si="191"/>
        <v>0.34027795259600879</v>
      </c>
      <c r="V604" s="17">
        <v>45557</v>
      </c>
      <c r="W604" s="4" t="str">
        <f t="shared" si="192"/>
        <v>Q1-2024</v>
      </c>
      <c r="X604" t="str">
        <f t="shared" si="193"/>
        <v>Americas → USA → San Francisco</v>
      </c>
      <c r="Y604" t="str">
        <f t="shared" si="194"/>
        <v>High</v>
      </c>
      <c r="Z604" s="20">
        <f t="shared" si="195"/>
        <v>45292</v>
      </c>
      <c r="AA604" s="4">
        <f t="array" ref="AA604">MIN(IF($F$2:$F$633=F604,$Z$2:$Z$633))</f>
        <v>44927</v>
      </c>
      <c r="AB604">
        <f t="shared" si="196"/>
        <v>12</v>
      </c>
      <c r="AC604">
        <f t="shared" si="197"/>
        <v>1</v>
      </c>
      <c r="AD604">
        <f t="shared" si="198"/>
        <v>0</v>
      </c>
      <c r="AE604" s="13">
        <f t="shared" si="199"/>
        <v>1</v>
      </c>
      <c r="AH604">
        <f t="shared" si="200"/>
        <v>4.8</v>
      </c>
      <c r="AI604">
        <f t="shared" si="201"/>
        <v>1220.5754999999997</v>
      </c>
      <c r="AJ604" s="11">
        <f t="shared" si="202"/>
        <v>0.17</v>
      </c>
      <c r="AK604">
        <f t="shared" si="203"/>
        <v>7722.3067199999987</v>
      </c>
      <c r="AL604">
        <f t="shared" si="204"/>
        <v>5858.7623999999987</v>
      </c>
      <c r="AM604">
        <f t="shared" si="205"/>
        <v>1863.54432</v>
      </c>
    </row>
    <row r="605" spans="1:39" x14ac:dyDescent="0.25">
      <c r="A605" t="s">
        <v>625</v>
      </c>
      <c r="B605" s="4">
        <v>45323</v>
      </c>
      <c r="C605" s="4">
        <v>45323</v>
      </c>
      <c r="D605" s="13">
        <f t="shared" si="186"/>
        <v>0</v>
      </c>
      <c r="E605" s="6" t="s">
        <v>648</v>
      </c>
      <c r="F605" t="s">
        <v>660</v>
      </c>
      <c r="G605" t="s">
        <v>697</v>
      </c>
      <c r="H605" t="s">
        <v>704</v>
      </c>
      <c r="I605" t="s">
        <v>710</v>
      </c>
      <c r="J605" t="s">
        <v>722</v>
      </c>
      <c r="K605" t="s">
        <v>728</v>
      </c>
      <c r="L605" t="s">
        <v>1343</v>
      </c>
      <c r="M605" s="8">
        <v>714.43</v>
      </c>
      <c r="N605" s="8">
        <v>1595.52</v>
      </c>
      <c r="O605" s="8">
        <f t="shared" si="187"/>
        <v>1595.52</v>
      </c>
      <c r="P605" s="11">
        <v>0.19400000000000001</v>
      </c>
      <c r="Q605" s="13">
        <v>14</v>
      </c>
      <c r="R605" s="8">
        <f t="shared" si="188"/>
        <v>18003.847679999999</v>
      </c>
      <c r="S605" s="8">
        <f t="shared" si="189"/>
        <v>10002.019999999999</v>
      </c>
      <c r="T605" s="8">
        <f t="shared" si="190"/>
        <v>8001.8276800000003</v>
      </c>
      <c r="U605" s="11">
        <f t="shared" si="191"/>
        <v>0.44445097638151093</v>
      </c>
      <c r="V605" s="17">
        <v>45542</v>
      </c>
      <c r="W605" s="4" t="str">
        <f t="shared" si="192"/>
        <v>Q1-2024</v>
      </c>
      <c r="X605" t="str">
        <f t="shared" si="193"/>
        <v>Americas → USA → Austin</v>
      </c>
      <c r="Y605" t="str">
        <f t="shared" si="194"/>
        <v>Medium</v>
      </c>
      <c r="Z605" s="20">
        <f t="shared" si="195"/>
        <v>45323</v>
      </c>
      <c r="AA605" s="4">
        <f t="array" ref="AA605">MIN(IF($F$2:$F$633=F605,$Z$2:$Z$633))</f>
        <v>44927</v>
      </c>
      <c r="AB605">
        <f t="shared" si="196"/>
        <v>13</v>
      </c>
      <c r="AC605">
        <f t="shared" si="197"/>
        <v>1</v>
      </c>
      <c r="AD605">
        <f t="shared" si="198"/>
        <v>0</v>
      </c>
      <c r="AE605" s="13">
        <f t="shared" si="199"/>
        <v>1</v>
      </c>
      <c r="AH605">
        <f t="shared" si="200"/>
        <v>16.8</v>
      </c>
      <c r="AI605">
        <f t="shared" si="201"/>
        <v>821.59449999999993</v>
      </c>
      <c r="AJ605" s="11">
        <f t="shared" si="202"/>
        <v>0.19400000000000001</v>
      </c>
      <c r="AK605">
        <f t="shared" si="203"/>
        <v>21604.617216000002</v>
      </c>
      <c r="AL605">
        <f t="shared" si="204"/>
        <v>13802.7876</v>
      </c>
      <c r="AM605">
        <f t="shared" si="205"/>
        <v>7801.8296160000027</v>
      </c>
    </row>
    <row r="606" spans="1:39" x14ac:dyDescent="0.25">
      <c r="A606" t="s">
        <v>583</v>
      </c>
      <c r="B606" s="4">
        <v>45342</v>
      </c>
      <c r="C606" s="4">
        <v>45342</v>
      </c>
      <c r="D606" s="13">
        <f t="shared" si="186"/>
        <v>0</v>
      </c>
      <c r="E606" s="6" t="s">
        <v>648</v>
      </c>
      <c r="F606" t="s">
        <v>660</v>
      </c>
      <c r="G606" t="s">
        <v>700</v>
      </c>
      <c r="H606" t="s">
        <v>706</v>
      </c>
      <c r="I606" t="s">
        <v>708</v>
      </c>
      <c r="J606" t="s">
        <v>712</v>
      </c>
      <c r="K606" t="s">
        <v>729</v>
      </c>
      <c r="L606" t="s">
        <v>1301</v>
      </c>
      <c r="M606" s="8">
        <v>1407.05</v>
      </c>
      <c r="N606" s="8">
        <v>2858.93</v>
      </c>
      <c r="O606" s="8">
        <f t="shared" si="187"/>
        <v>2858.93</v>
      </c>
      <c r="P606" s="11">
        <v>0</v>
      </c>
      <c r="Q606" s="13">
        <v>12</v>
      </c>
      <c r="R606" s="8">
        <f t="shared" si="188"/>
        <v>34307.159999999996</v>
      </c>
      <c r="S606" s="8">
        <f t="shared" si="189"/>
        <v>16884.599999999999</v>
      </c>
      <c r="T606" s="8">
        <f t="shared" si="190"/>
        <v>17422.559999999998</v>
      </c>
      <c r="U606" s="11">
        <f t="shared" si="191"/>
        <v>0.50784034586366222</v>
      </c>
      <c r="V606" s="17">
        <v>45512</v>
      </c>
      <c r="W606" s="4" t="str">
        <f t="shared" si="192"/>
        <v>Q1-2024</v>
      </c>
      <c r="X606" t="str">
        <f t="shared" si="193"/>
        <v>Americas → USA → New York</v>
      </c>
      <c r="Y606" t="str">
        <f t="shared" si="194"/>
        <v>High</v>
      </c>
      <c r="Z606" s="20">
        <f t="shared" si="195"/>
        <v>45323</v>
      </c>
      <c r="AA606" s="4">
        <f t="array" ref="AA606">MIN(IF($F$2:$F$633=F606,$Z$2:$Z$633))</f>
        <v>44927</v>
      </c>
      <c r="AB606">
        <f t="shared" si="196"/>
        <v>13</v>
      </c>
      <c r="AC606">
        <f t="shared" si="197"/>
        <v>1</v>
      </c>
      <c r="AD606">
        <f t="shared" si="198"/>
        <v>0</v>
      </c>
      <c r="AE606" s="13">
        <f t="shared" si="199"/>
        <v>1</v>
      </c>
      <c r="AH606">
        <f t="shared" si="200"/>
        <v>14.399999999999999</v>
      </c>
      <c r="AI606">
        <f t="shared" si="201"/>
        <v>1618.1074999999998</v>
      </c>
      <c r="AJ606" s="11">
        <f t="shared" si="202"/>
        <v>0</v>
      </c>
      <c r="AK606">
        <f t="shared" si="203"/>
        <v>41168.591999999997</v>
      </c>
      <c r="AL606">
        <f t="shared" si="204"/>
        <v>23300.747999999996</v>
      </c>
      <c r="AM606">
        <f t="shared" si="205"/>
        <v>17867.844000000001</v>
      </c>
    </row>
    <row r="607" spans="1:39" x14ac:dyDescent="0.25">
      <c r="A607" t="s">
        <v>525</v>
      </c>
      <c r="B607" s="4">
        <v>45353</v>
      </c>
      <c r="C607" s="4">
        <v>45374</v>
      </c>
      <c r="D607" s="13">
        <f t="shared" si="186"/>
        <v>21</v>
      </c>
      <c r="E607" s="6" t="s">
        <v>648</v>
      </c>
      <c r="F607" t="s">
        <v>660</v>
      </c>
      <c r="G607" t="s">
        <v>677</v>
      </c>
      <c r="H607" t="s">
        <v>705</v>
      </c>
      <c r="I607" t="s">
        <v>708</v>
      </c>
      <c r="J607" t="s">
        <v>721</v>
      </c>
      <c r="K607" t="s">
        <v>727</v>
      </c>
      <c r="L607" t="s">
        <v>1244</v>
      </c>
      <c r="M607" s="8">
        <v>225.01</v>
      </c>
      <c r="N607" s="8">
        <v>333.48</v>
      </c>
      <c r="O607" s="8">
        <f t="shared" si="187"/>
        <v>333.48</v>
      </c>
      <c r="P607" s="11">
        <v>0.11899999999999999</v>
      </c>
      <c r="Q607" s="13">
        <v>12</v>
      </c>
      <c r="R607" s="8">
        <f t="shared" si="188"/>
        <v>3525.5505600000001</v>
      </c>
      <c r="S607" s="8">
        <f t="shared" si="189"/>
        <v>2700.12</v>
      </c>
      <c r="T607" s="8">
        <f t="shared" si="190"/>
        <v>825.43056000000024</v>
      </c>
      <c r="U607" s="11">
        <f t="shared" si="191"/>
        <v>0.23412813004729685</v>
      </c>
      <c r="V607" s="17">
        <v>45504</v>
      </c>
      <c r="W607" s="4" t="str">
        <f t="shared" si="192"/>
        <v>Q1-2024</v>
      </c>
      <c r="X607" t="str">
        <f t="shared" si="193"/>
        <v>Americas → USA → Chicago</v>
      </c>
      <c r="Y607" t="str">
        <f t="shared" si="194"/>
        <v>Low</v>
      </c>
      <c r="Z607" s="20">
        <f t="shared" si="195"/>
        <v>45352</v>
      </c>
      <c r="AA607" s="4">
        <f t="array" ref="AA607">MIN(IF($F$2:$F$633=F607,$Z$2:$Z$633))</f>
        <v>44927</v>
      </c>
      <c r="AB607">
        <f t="shared" si="196"/>
        <v>14</v>
      </c>
      <c r="AC607">
        <f t="shared" si="197"/>
        <v>0</v>
      </c>
      <c r="AD607">
        <f t="shared" si="198"/>
        <v>0</v>
      </c>
      <c r="AE607" s="13">
        <f t="shared" si="199"/>
        <v>0</v>
      </c>
      <c r="AH607">
        <f t="shared" si="200"/>
        <v>14.399999999999999</v>
      </c>
      <c r="AI607">
        <f t="shared" si="201"/>
        <v>258.76149999999996</v>
      </c>
      <c r="AJ607" s="11">
        <f t="shared" si="202"/>
        <v>0.11899999999999999</v>
      </c>
      <c r="AK607">
        <f t="shared" si="203"/>
        <v>4230.660672</v>
      </c>
      <c r="AL607">
        <f t="shared" si="204"/>
        <v>3726.1655999999989</v>
      </c>
      <c r="AM607">
        <f t="shared" si="205"/>
        <v>504.49507200000107</v>
      </c>
    </row>
    <row r="608" spans="1:39" x14ac:dyDescent="0.25">
      <c r="A608" t="s">
        <v>407</v>
      </c>
      <c r="B608" s="4">
        <v>45360</v>
      </c>
      <c r="C608" s="4">
        <v>45377</v>
      </c>
      <c r="D608" s="13">
        <f t="shared" si="186"/>
        <v>17</v>
      </c>
      <c r="E608" s="6" t="s">
        <v>648</v>
      </c>
      <c r="F608" t="s">
        <v>660</v>
      </c>
      <c r="G608" t="s">
        <v>686</v>
      </c>
      <c r="H608" t="s">
        <v>702</v>
      </c>
      <c r="I608" t="s">
        <v>711</v>
      </c>
      <c r="J608" t="s">
        <v>714</v>
      </c>
      <c r="K608" t="s">
        <v>730</v>
      </c>
      <c r="L608" t="s">
        <v>1126</v>
      </c>
      <c r="M608" s="8">
        <v>1137.4100000000001</v>
      </c>
      <c r="N608" s="8">
        <v>1680.93</v>
      </c>
      <c r="O608" s="8">
        <f t="shared" si="187"/>
        <v>1680.93</v>
      </c>
      <c r="P608" s="11">
        <v>0.254</v>
      </c>
      <c r="Q608" s="13">
        <v>9</v>
      </c>
      <c r="R608" s="8">
        <f t="shared" si="188"/>
        <v>11285.764020000001</v>
      </c>
      <c r="S608" s="8">
        <f t="shared" si="189"/>
        <v>10236.69</v>
      </c>
      <c r="T608" s="8">
        <f t="shared" si="190"/>
        <v>1049.07402</v>
      </c>
      <c r="U608" s="11">
        <f t="shared" si="191"/>
        <v>9.2955516183121464E-2</v>
      </c>
      <c r="V608" s="17">
        <v>45484</v>
      </c>
      <c r="W608" s="4" t="str">
        <f t="shared" si="192"/>
        <v>Q1-2024</v>
      </c>
      <c r="X608" t="str">
        <f t="shared" si="193"/>
        <v>Americas → USA → San Francisco</v>
      </c>
      <c r="Y608" t="str">
        <f t="shared" si="194"/>
        <v>High</v>
      </c>
      <c r="Z608" s="20">
        <f t="shared" si="195"/>
        <v>45352</v>
      </c>
      <c r="AA608" s="4">
        <f t="array" ref="AA608">MIN(IF($F$2:$F$633=F608,$Z$2:$Z$633))</f>
        <v>44927</v>
      </c>
      <c r="AB608">
        <f t="shared" si="196"/>
        <v>14</v>
      </c>
      <c r="AC608">
        <f t="shared" si="197"/>
        <v>0</v>
      </c>
      <c r="AD608">
        <f t="shared" si="198"/>
        <v>1</v>
      </c>
      <c r="AE608" s="13">
        <f t="shared" si="199"/>
        <v>0</v>
      </c>
      <c r="AH608">
        <f t="shared" si="200"/>
        <v>10.799999999999999</v>
      </c>
      <c r="AI608">
        <f t="shared" si="201"/>
        <v>1308.0215000000001</v>
      </c>
      <c r="AJ608" s="11">
        <f t="shared" si="202"/>
        <v>0.25</v>
      </c>
      <c r="AK608">
        <f t="shared" si="203"/>
        <v>13615.532999999999</v>
      </c>
      <c r="AL608">
        <f t="shared" si="204"/>
        <v>14126.6322</v>
      </c>
      <c r="AM608">
        <f t="shared" si="205"/>
        <v>-511.09920000000056</v>
      </c>
    </row>
    <row r="609" spans="1:39" x14ac:dyDescent="0.25">
      <c r="A609" t="s">
        <v>572</v>
      </c>
      <c r="B609" s="4">
        <v>45362</v>
      </c>
      <c r="C609" s="4">
        <v>45380</v>
      </c>
      <c r="D609" s="13">
        <f t="shared" si="186"/>
        <v>18</v>
      </c>
      <c r="E609" s="6" t="s">
        <v>648</v>
      </c>
      <c r="F609" t="s">
        <v>660</v>
      </c>
      <c r="G609" t="s">
        <v>700</v>
      </c>
      <c r="H609" t="s">
        <v>701</v>
      </c>
      <c r="I609" t="s">
        <v>707</v>
      </c>
      <c r="J609" t="s">
        <v>724</v>
      </c>
      <c r="K609" t="s">
        <v>732</v>
      </c>
      <c r="L609" t="s">
        <v>1290</v>
      </c>
      <c r="M609" s="8">
        <v>710.98</v>
      </c>
      <c r="N609" s="8">
        <v>1481.45</v>
      </c>
      <c r="O609" s="8">
        <f t="shared" si="187"/>
        <v>1481.45</v>
      </c>
      <c r="P609" s="11">
        <v>0.21099999999999999</v>
      </c>
      <c r="Q609" s="13">
        <v>9</v>
      </c>
      <c r="R609" s="8">
        <f t="shared" si="188"/>
        <v>10519.776450000001</v>
      </c>
      <c r="S609" s="8">
        <f t="shared" si="189"/>
        <v>6398.82</v>
      </c>
      <c r="T609" s="8">
        <f t="shared" si="190"/>
        <v>4120.9564500000015</v>
      </c>
      <c r="U609" s="11">
        <f t="shared" si="191"/>
        <v>0.39173422264120461</v>
      </c>
      <c r="V609" s="17">
        <v>45492</v>
      </c>
      <c r="W609" s="4" t="str">
        <f t="shared" si="192"/>
        <v>Q1-2024</v>
      </c>
      <c r="X609" t="str">
        <f t="shared" si="193"/>
        <v>Americas → USA → New York</v>
      </c>
      <c r="Y609" t="str">
        <f t="shared" si="194"/>
        <v>Medium</v>
      </c>
      <c r="Z609" s="20">
        <f t="shared" si="195"/>
        <v>45352</v>
      </c>
      <c r="AA609" s="4">
        <f t="array" ref="AA609">MIN(IF($F$2:$F$633=F609,$Z$2:$Z$633))</f>
        <v>44927</v>
      </c>
      <c r="AB609">
        <f t="shared" si="196"/>
        <v>14</v>
      </c>
      <c r="AC609">
        <f t="shared" si="197"/>
        <v>0</v>
      </c>
      <c r="AD609">
        <f t="shared" si="198"/>
        <v>1</v>
      </c>
      <c r="AE609" s="13">
        <f t="shared" si="199"/>
        <v>0</v>
      </c>
      <c r="AH609">
        <f t="shared" si="200"/>
        <v>10.799999999999999</v>
      </c>
      <c r="AI609">
        <f t="shared" si="201"/>
        <v>817.62699999999995</v>
      </c>
      <c r="AJ609" s="11">
        <f t="shared" si="202"/>
        <v>0.21099999999999999</v>
      </c>
      <c r="AK609">
        <f t="shared" si="203"/>
        <v>12623.731739999999</v>
      </c>
      <c r="AL609">
        <f t="shared" si="204"/>
        <v>8830.3715999999986</v>
      </c>
      <c r="AM609">
        <f t="shared" si="205"/>
        <v>3793.3601400000007</v>
      </c>
    </row>
    <row r="610" spans="1:39" x14ac:dyDescent="0.25">
      <c r="A610" t="s">
        <v>312</v>
      </c>
      <c r="B610" s="4">
        <v>45377</v>
      </c>
      <c r="C610" s="4">
        <v>45387</v>
      </c>
      <c r="D610" s="13">
        <f t="shared" si="186"/>
        <v>10</v>
      </c>
      <c r="E610" s="6" t="s">
        <v>648</v>
      </c>
      <c r="F610" t="s">
        <v>660</v>
      </c>
      <c r="G610" t="s">
        <v>697</v>
      </c>
      <c r="H610" t="s">
        <v>704</v>
      </c>
      <c r="I610" t="s">
        <v>711</v>
      </c>
      <c r="J610" t="s">
        <v>713</v>
      </c>
      <c r="K610" t="s">
        <v>732</v>
      </c>
      <c r="L610" t="s">
        <v>1032</v>
      </c>
      <c r="M610" s="8">
        <v>5.66</v>
      </c>
      <c r="N610" s="8">
        <v>4.22</v>
      </c>
      <c r="O610" s="8">
        <f t="shared" si="187"/>
        <v>4.22</v>
      </c>
      <c r="P610" s="11">
        <v>0.11899999999999999</v>
      </c>
      <c r="Q610" s="13">
        <v>18</v>
      </c>
      <c r="R610" s="8">
        <f t="shared" si="188"/>
        <v>66.920760000000001</v>
      </c>
      <c r="S610" s="8">
        <f t="shared" si="189"/>
        <v>101.88</v>
      </c>
      <c r="T610" s="8">
        <f t="shared" si="190"/>
        <v>-34.959239999999994</v>
      </c>
      <c r="U610" s="11">
        <f t="shared" si="191"/>
        <v>-0.52239753403876454</v>
      </c>
      <c r="V610" s="17">
        <v>45452</v>
      </c>
      <c r="W610" s="4" t="str">
        <f t="shared" si="192"/>
        <v>Q1-2024</v>
      </c>
      <c r="X610" t="str">
        <f t="shared" si="193"/>
        <v>Americas → USA → Austin</v>
      </c>
      <c r="Y610" t="str">
        <f t="shared" si="194"/>
        <v>Low</v>
      </c>
      <c r="Z610" s="20">
        <f t="shared" si="195"/>
        <v>45352</v>
      </c>
      <c r="AA610" s="4">
        <f t="array" ref="AA610">MIN(IF($F$2:$F$633=F610,$Z$2:$Z$633))</f>
        <v>44927</v>
      </c>
      <c r="AB610">
        <f t="shared" si="196"/>
        <v>14</v>
      </c>
      <c r="AC610">
        <f t="shared" si="197"/>
        <v>0</v>
      </c>
      <c r="AD610">
        <f t="shared" si="198"/>
        <v>0</v>
      </c>
      <c r="AE610" s="13">
        <f t="shared" si="199"/>
        <v>0</v>
      </c>
      <c r="AH610">
        <f t="shared" si="200"/>
        <v>21.599999999999998</v>
      </c>
      <c r="AI610">
        <f t="shared" si="201"/>
        <v>6.5089999999999995</v>
      </c>
      <c r="AJ610" s="11">
        <f t="shared" si="202"/>
        <v>0.11899999999999999</v>
      </c>
      <c r="AK610">
        <f t="shared" si="203"/>
        <v>80.304911999999987</v>
      </c>
      <c r="AL610">
        <f t="shared" si="204"/>
        <v>140.59439999999998</v>
      </c>
      <c r="AM610">
        <f t="shared" si="205"/>
        <v>-60.289487999999992</v>
      </c>
    </row>
    <row r="611" spans="1:39" x14ac:dyDescent="0.25">
      <c r="A611" t="s">
        <v>290</v>
      </c>
      <c r="B611" s="4">
        <v>45378</v>
      </c>
      <c r="C611" s="4">
        <v>45393</v>
      </c>
      <c r="D611" s="13">
        <f t="shared" si="186"/>
        <v>15</v>
      </c>
      <c r="E611" s="6" t="s">
        <v>648</v>
      </c>
      <c r="F611" t="s">
        <v>660</v>
      </c>
      <c r="G611" t="s">
        <v>686</v>
      </c>
      <c r="H611" t="s">
        <v>705</v>
      </c>
      <c r="I611" t="s">
        <v>711</v>
      </c>
      <c r="J611" t="s">
        <v>719</v>
      </c>
      <c r="K611" t="s">
        <v>729</v>
      </c>
      <c r="L611" t="s">
        <v>1010</v>
      </c>
      <c r="M611" s="8">
        <v>1338.35</v>
      </c>
      <c r="N611" s="8">
        <v>2247.14</v>
      </c>
      <c r="O611" s="8">
        <f t="shared" si="187"/>
        <v>2247.14</v>
      </c>
      <c r="P611" s="11">
        <v>0.115</v>
      </c>
      <c r="Q611" s="13">
        <v>40</v>
      </c>
      <c r="R611" s="8">
        <f t="shared" si="188"/>
        <v>79548.755999999994</v>
      </c>
      <c r="S611" s="8">
        <f t="shared" si="189"/>
        <v>53534</v>
      </c>
      <c r="T611" s="8">
        <f t="shared" si="190"/>
        <v>26014.755999999994</v>
      </c>
      <c r="U611" s="11">
        <f t="shared" si="191"/>
        <v>0.32702907384246205</v>
      </c>
      <c r="V611" s="17">
        <v>45458</v>
      </c>
      <c r="W611" s="4" t="str">
        <f t="shared" si="192"/>
        <v>Q1-2024</v>
      </c>
      <c r="X611" t="str">
        <f t="shared" si="193"/>
        <v>Americas → USA → San Francisco</v>
      </c>
      <c r="Y611" t="str">
        <f t="shared" si="194"/>
        <v>High</v>
      </c>
      <c r="Z611" s="20">
        <f t="shared" si="195"/>
        <v>45352</v>
      </c>
      <c r="AA611" s="4">
        <f t="array" ref="AA611">MIN(IF($F$2:$F$633=F611,$Z$2:$Z$633))</f>
        <v>44927</v>
      </c>
      <c r="AB611">
        <f t="shared" si="196"/>
        <v>14</v>
      </c>
      <c r="AC611">
        <f t="shared" si="197"/>
        <v>0</v>
      </c>
      <c r="AD611">
        <f t="shared" si="198"/>
        <v>0</v>
      </c>
      <c r="AE611" s="13">
        <f t="shared" si="199"/>
        <v>0</v>
      </c>
      <c r="AH611">
        <f t="shared" si="200"/>
        <v>48</v>
      </c>
      <c r="AI611">
        <f t="shared" si="201"/>
        <v>1539.1024999999997</v>
      </c>
      <c r="AJ611" s="11">
        <f t="shared" si="202"/>
        <v>0.115</v>
      </c>
      <c r="AK611">
        <f t="shared" si="203"/>
        <v>95458.507200000007</v>
      </c>
      <c r="AL611">
        <f t="shared" si="204"/>
        <v>73876.919999999984</v>
      </c>
      <c r="AM611">
        <f t="shared" si="205"/>
        <v>21581.587200000024</v>
      </c>
    </row>
    <row r="612" spans="1:39" x14ac:dyDescent="0.25">
      <c r="A612" t="s">
        <v>253</v>
      </c>
      <c r="B612" s="4">
        <v>45381</v>
      </c>
      <c r="C612" s="4">
        <v>45406</v>
      </c>
      <c r="D612" s="13">
        <f t="shared" si="186"/>
        <v>25</v>
      </c>
      <c r="E612" s="6" t="s">
        <v>648</v>
      </c>
      <c r="F612" t="s">
        <v>660</v>
      </c>
      <c r="G612" t="s">
        <v>697</v>
      </c>
      <c r="H612" t="s">
        <v>703</v>
      </c>
      <c r="I612" t="s">
        <v>708</v>
      </c>
      <c r="J612" t="s">
        <v>715</v>
      </c>
      <c r="K612" t="s">
        <v>731</v>
      </c>
      <c r="L612" t="s">
        <v>973</v>
      </c>
      <c r="M612" s="8">
        <v>160.82</v>
      </c>
      <c r="N612" s="8">
        <v>258.52</v>
      </c>
      <c r="O612" s="8">
        <f t="shared" si="187"/>
        <v>258.52</v>
      </c>
      <c r="P612" s="11">
        <v>0.13</v>
      </c>
      <c r="Q612" s="13">
        <v>17</v>
      </c>
      <c r="R612" s="8">
        <f t="shared" si="188"/>
        <v>3823.5108</v>
      </c>
      <c r="S612" s="8">
        <f t="shared" si="189"/>
        <v>2733.94</v>
      </c>
      <c r="T612" s="8">
        <f t="shared" si="190"/>
        <v>1089.5708</v>
      </c>
      <c r="U612" s="11">
        <f t="shared" si="191"/>
        <v>0.28496605789631874</v>
      </c>
      <c r="V612" s="17">
        <v>45459</v>
      </c>
      <c r="W612" s="4" t="str">
        <f>"Q"&amp;ROUNDUP(MONTH(B612)/3,0)&amp;"-"&amp;YEAR(B612)</f>
        <v>Q1-2024</v>
      </c>
      <c r="X612" t="str">
        <f t="shared" si="193"/>
        <v>Americas → USA → Austin</v>
      </c>
      <c r="Y612" t="str">
        <f t="shared" si="194"/>
        <v>Low</v>
      </c>
      <c r="Z612" s="20">
        <f t="shared" si="195"/>
        <v>45352</v>
      </c>
      <c r="AA612" s="4">
        <f t="array" ref="AA612">MIN(IF($F$2:$F$633=F612,$Z$2:$Z$633))</f>
        <v>44927</v>
      </c>
      <c r="AB612">
        <f t="shared" si="196"/>
        <v>14</v>
      </c>
      <c r="AC612">
        <f t="shared" si="197"/>
        <v>0</v>
      </c>
      <c r="AD612">
        <f t="shared" si="198"/>
        <v>0</v>
      </c>
      <c r="AE612" s="13">
        <f t="shared" si="199"/>
        <v>0</v>
      </c>
      <c r="AH612">
        <f t="shared" si="200"/>
        <v>20.399999999999999</v>
      </c>
      <c r="AI612">
        <f t="shared" si="201"/>
        <v>184.94299999999998</v>
      </c>
      <c r="AJ612" s="11">
        <f t="shared" si="202"/>
        <v>0.13</v>
      </c>
      <c r="AK612">
        <f t="shared" si="203"/>
        <v>4588.2129599999989</v>
      </c>
      <c r="AL612">
        <f t="shared" si="204"/>
        <v>3772.8371999999995</v>
      </c>
      <c r="AM612">
        <f t="shared" si="205"/>
        <v>815.37575999999945</v>
      </c>
    </row>
    <row r="613" spans="1:39" x14ac:dyDescent="0.25">
      <c r="A613" t="s">
        <v>388</v>
      </c>
      <c r="B613" s="4">
        <v>45429</v>
      </c>
      <c r="C613" s="4">
        <v>45439</v>
      </c>
      <c r="D613" s="13">
        <f t="shared" si="186"/>
        <v>10</v>
      </c>
      <c r="E613" s="6" t="s">
        <v>648</v>
      </c>
      <c r="F613" t="s">
        <v>660</v>
      </c>
      <c r="G613" t="s">
        <v>697</v>
      </c>
      <c r="H613" t="s">
        <v>703</v>
      </c>
      <c r="I613" t="s">
        <v>708</v>
      </c>
      <c r="J613" t="s">
        <v>712</v>
      </c>
      <c r="K613" t="s">
        <v>730</v>
      </c>
      <c r="L613" t="s">
        <v>1108</v>
      </c>
      <c r="M613" s="8">
        <v>1484.23</v>
      </c>
      <c r="N613" s="8">
        <v>3472.81</v>
      </c>
      <c r="O613" s="8">
        <f t="shared" si="187"/>
        <v>3472.81</v>
      </c>
      <c r="P613" s="11">
        <v>0.25600000000000001</v>
      </c>
      <c r="Q613" s="13">
        <v>12</v>
      </c>
      <c r="R613" s="8">
        <f t="shared" si="188"/>
        <v>31005.24768</v>
      </c>
      <c r="S613" s="8">
        <f t="shared" si="189"/>
        <v>17810.760000000002</v>
      </c>
      <c r="T613" s="8">
        <f t="shared" si="190"/>
        <v>13194.487679999998</v>
      </c>
      <c r="U613" s="11">
        <f t="shared" si="191"/>
        <v>0.42555659661803413</v>
      </c>
      <c r="V613" s="17">
        <v>45435</v>
      </c>
      <c r="W613" s="4" t="str">
        <f t="shared" si="192"/>
        <v>Q2-2024</v>
      </c>
      <c r="X613" t="str">
        <f t="shared" si="193"/>
        <v>Americas → USA → Austin</v>
      </c>
      <c r="Y613" t="str">
        <f t="shared" si="194"/>
        <v>High</v>
      </c>
      <c r="Z613" s="20">
        <f t="shared" si="195"/>
        <v>45413</v>
      </c>
      <c r="AA613" s="4">
        <f t="array" ref="AA613">MIN(IF($F$2:$F$633=F613,$Z$2:$Z$633))</f>
        <v>44927</v>
      </c>
      <c r="AB613">
        <f t="shared" si="196"/>
        <v>16</v>
      </c>
      <c r="AC613">
        <f t="shared" si="197"/>
        <v>0</v>
      </c>
      <c r="AD613">
        <f t="shared" si="198"/>
        <v>1</v>
      </c>
      <c r="AE613" s="13">
        <f t="shared" si="199"/>
        <v>0</v>
      </c>
      <c r="AH613">
        <f t="shared" si="200"/>
        <v>14.399999999999999</v>
      </c>
      <c r="AI613">
        <f t="shared" si="201"/>
        <v>1706.8644999999999</v>
      </c>
      <c r="AJ613" s="11">
        <f t="shared" si="202"/>
        <v>0.25</v>
      </c>
      <c r="AK613">
        <f t="shared" si="203"/>
        <v>37506.347999999998</v>
      </c>
      <c r="AL613">
        <f t="shared" si="204"/>
        <v>24578.848799999996</v>
      </c>
      <c r="AM613">
        <f t="shared" si="205"/>
        <v>12927.499200000002</v>
      </c>
    </row>
    <row r="614" spans="1:39" x14ac:dyDescent="0.25">
      <c r="A614" t="s">
        <v>38</v>
      </c>
      <c r="B614" s="4">
        <v>45430</v>
      </c>
      <c r="C614" s="4">
        <v>45435</v>
      </c>
      <c r="D614" s="13">
        <f t="shared" si="186"/>
        <v>5</v>
      </c>
      <c r="E614" s="6" t="s">
        <v>648</v>
      </c>
      <c r="F614" t="s">
        <v>660</v>
      </c>
      <c r="G614" t="s">
        <v>677</v>
      </c>
      <c r="H614" t="s">
        <v>706</v>
      </c>
      <c r="I614" t="s">
        <v>707</v>
      </c>
      <c r="J614" t="s">
        <v>722</v>
      </c>
      <c r="K614" t="s">
        <v>731</v>
      </c>
      <c r="L614" t="s">
        <v>757</v>
      </c>
      <c r="M614" s="8">
        <v>1274.5899999999999</v>
      </c>
      <c r="N614" s="8">
        <v>2553.69</v>
      </c>
      <c r="O614" s="8">
        <f t="shared" si="187"/>
        <v>2553.69</v>
      </c>
      <c r="P614" s="11">
        <v>0.01</v>
      </c>
      <c r="Q614" s="13">
        <v>8</v>
      </c>
      <c r="R614" s="8">
        <f t="shared" si="188"/>
        <v>20225.2248</v>
      </c>
      <c r="S614" s="8">
        <f t="shared" si="189"/>
        <v>10196.719999999999</v>
      </c>
      <c r="T614" s="8">
        <f t="shared" si="190"/>
        <v>10028.504800000001</v>
      </c>
      <c r="U614" s="11">
        <f t="shared" si="191"/>
        <v>0.49584145042481803</v>
      </c>
      <c r="V614" s="17">
        <v>45432</v>
      </c>
      <c r="W614" s="4" t="str">
        <f t="shared" si="192"/>
        <v>Q2-2024</v>
      </c>
      <c r="X614" t="str">
        <f t="shared" si="193"/>
        <v>Americas → USA → Chicago</v>
      </c>
      <c r="Y614" t="str">
        <f t="shared" si="194"/>
        <v>High</v>
      </c>
      <c r="Z614" s="20">
        <f t="shared" si="195"/>
        <v>45413</v>
      </c>
      <c r="AA614" s="4">
        <f t="array" ref="AA614">MIN(IF($F$2:$F$633=F614,$Z$2:$Z$633))</f>
        <v>44927</v>
      </c>
      <c r="AB614">
        <f t="shared" si="196"/>
        <v>16</v>
      </c>
      <c r="AC614">
        <f t="shared" si="197"/>
        <v>1</v>
      </c>
      <c r="AD614">
        <f t="shared" si="198"/>
        <v>0</v>
      </c>
      <c r="AE614" s="13">
        <f t="shared" si="199"/>
        <v>1</v>
      </c>
      <c r="AH614">
        <f t="shared" si="200"/>
        <v>9.6</v>
      </c>
      <c r="AI614">
        <f t="shared" si="201"/>
        <v>1465.7784999999999</v>
      </c>
      <c r="AJ614" s="11">
        <f t="shared" si="202"/>
        <v>0.01</v>
      </c>
      <c r="AK614">
        <f t="shared" si="203"/>
        <v>24270.269759999999</v>
      </c>
      <c r="AL614">
        <f t="shared" si="204"/>
        <v>14071.473599999999</v>
      </c>
      <c r="AM614">
        <f t="shared" si="205"/>
        <v>10198.79616</v>
      </c>
    </row>
    <row r="615" spans="1:39" x14ac:dyDescent="0.25">
      <c r="A615" t="s">
        <v>143</v>
      </c>
      <c r="B615" s="4">
        <v>45442</v>
      </c>
      <c r="C615" s="4">
        <v>45456</v>
      </c>
      <c r="D615" s="13">
        <f t="shared" si="186"/>
        <v>14</v>
      </c>
      <c r="E615" s="6" t="s">
        <v>648</v>
      </c>
      <c r="F615" t="s">
        <v>660</v>
      </c>
      <c r="G615" t="s">
        <v>686</v>
      </c>
      <c r="H615" t="s">
        <v>705</v>
      </c>
      <c r="I615" t="s">
        <v>707</v>
      </c>
      <c r="J615" t="s">
        <v>721</v>
      </c>
      <c r="K615" t="s">
        <v>730</v>
      </c>
      <c r="L615" t="s">
        <v>862</v>
      </c>
      <c r="M615" s="8">
        <v>157.78</v>
      </c>
      <c r="N615" s="8">
        <v>361.1</v>
      </c>
      <c r="O615" s="8">
        <f t="shared" si="187"/>
        <v>361.1</v>
      </c>
      <c r="P615" s="11">
        <v>0.187</v>
      </c>
      <c r="Q615" s="13">
        <v>9</v>
      </c>
      <c r="R615" s="8">
        <f t="shared" si="188"/>
        <v>2642.1686999999997</v>
      </c>
      <c r="S615" s="8">
        <f t="shared" si="189"/>
        <v>1420.02</v>
      </c>
      <c r="T615" s="8">
        <f t="shared" si="190"/>
        <v>1222.1486999999997</v>
      </c>
      <c r="U615" s="11">
        <f t="shared" si="191"/>
        <v>0.46255513510549112</v>
      </c>
      <c r="V615" s="17">
        <v>45417</v>
      </c>
      <c r="W615" s="4" t="str">
        <f t="shared" si="192"/>
        <v>Q2-2024</v>
      </c>
      <c r="X615" t="str">
        <f t="shared" si="193"/>
        <v>Americas → USA → San Francisco</v>
      </c>
      <c r="Y615" t="str">
        <f t="shared" si="194"/>
        <v>Low</v>
      </c>
      <c r="Z615" s="20">
        <f t="shared" si="195"/>
        <v>45413</v>
      </c>
      <c r="AA615" s="4">
        <f t="array" ref="AA615">MIN(IF($F$2:$F$633=F615,$Z$2:$Z$633))</f>
        <v>44927</v>
      </c>
      <c r="AB615">
        <f t="shared" si="196"/>
        <v>16</v>
      </c>
      <c r="AC615">
        <f t="shared" si="197"/>
        <v>0</v>
      </c>
      <c r="AD615">
        <f t="shared" si="198"/>
        <v>0</v>
      </c>
      <c r="AE615" s="13">
        <f t="shared" si="199"/>
        <v>0</v>
      </c>
      <c r="AH615">
        <f t="shared" si="200"/>
        <v>10.799999999999999</v>
      </c>
      <c r="AI615">
        <f t="shared" si="201"/>
        <v>181.44699999999997</v>
      </c>
      <c r="AJ615" s="11">
        <f t="shared" si="202"/>
        <v>0.187</v>
      </c>
      <c r="AK615">
        <f t="shared" si="203"/>
        <v>3170.6024399999997</v>
      </c>
      <c r="AL615">
        <f t="shared" si="204"/>
        <v>1959.6275999999996</v>
      </c>
      <c r="AM615">
        <f t="shared" si="205"/>
        <v>1210.9748400000001</v>
      </c>
    </row>
    <row r="616" spans="1:39" x14ac:dyDescent="0.25">
      <c r="A616" t="s">
        <v>267</v>
      </c>
      <c r="B616" s="4">
        <v>45502</v>
      </c>
      <c r="C616" s="4">
        <v>45504</v>
      </c>
      <c r="D616" s="13">
        <f t="shared" si="186"/>
        <v>2</v>
      </c>
      <c r="E616" s="6" t="s">
        <v>648</v>
      </c>
      <c r="F616" t="s">
        <v>660</v>
      </c>
      <c r="G616" t="s">
        <v>700</v>
      </c>
      <c r="H616" t="s">
        <v>702</v>
      </c>
      <c r="I616" t="s">
        <v>709</v>
      </c>
      <c r="J616" t="s">
        <v>714</v>
      </c>
      <c r="K616" t="s">
        <v>728</v>
      </c>
      <c r="L616" t="s">
        <v>987</v>
      </c>
      <c r="M616" s="8">
        <v>798.97</v>
      </c>
      <c r="N616" s="8">
        <v>1814.06</v>
      </c>
      <c r="O616" s="8">
        <f t="shared" si="187"/>
        <v>1814.06</v>
      </c>
      <c r="P616" s="11">
        <v>0.122</v>
      </c>
      <c r="Q616" s="13">
        <v>16</v>
      </c>
      <c r="R616" s="8">
        <f t="shared" si="188"/>
        <v>25483.91488</v>
      </c>
      <c r="S616" s="8">
        <f t="shared" si="189"/>
        <v>12783.52</v>
      </c>
      <c r="T616" s="8">
        <f t="shared" si="190"/>
        <v>12700.39488</v>
      </c>
      <c r="U616" s="11">
        <f t="shared" si="191"/>
        <v>0.49836906691159061</v>
      </c>
      <c r="V616" s="17">
        <v>45369</v>
      </c>
      <c r="W616" s="4" t="str">
        <f t="shared" si="192"/>
        <v>Q3-2024</v>
      </c>
      <c r="X616" t="str">
        <f t="shared" si="193"/>
        <v>Americas → USA → New York</v>
      </c>
      <c r="Y616" t="str">
        <f t="shared" si="194"/>
        <v>High</v>
      </c>
      <c r="Z616" s="20">
        <f t="shared" si="195"/>
        <v>45474</v>
      </c>
      <c r="AA616" s="4">
        <f t="array" ref="AA616">MIN(IF($F$2:$F$633=F616,$Z$2:$Z$633))</f>
        <v>44927</v>
      </c>
      <c r="AB616">
        <f t="shared" si="196"/>
        <v>18</v>
      </c>
      <c r="AC616">
        <f t="shared" si="197"/>
        <v>1</v>
      </c>
      <c r="AD616">
        <f t="shared" si="198"/>
        <v>0</v>
      </c>
      <c r="AE616" s="13">
        <f t="shared" si="199"/>
        <v>1</v>
      </c>
      <c r="AH616">
        <f t="shared" si="200"/>
        <v>19.2</v>
      </c>
      <c r="AI616">
        <f t="shared" si="201"/>
        <v>918.81549999999993</v>
      </c>
      <c r="AJ616" s="11">
        <f t="shared" si="202"/>
        <v>0.122</v>
      </c>
      <c r="AK616">
        <f t="shared" si="203"/>
        <v>30580.697855999999</v>
      </c>
      <c r="AL616">
        <f t="shared" si="204"/>
        <v>17641.257599999997</v>
      </c>
      <c r="AM616">
        <f t="shared" si="205"/>
        <v>12939.440256000002</v>
      </c>
    </row>
    <row r="617" spans="1:39" x14ac:dyDescent="0.25">
      <c r="A617" t="s">
        <v>509</v>
      </c>
      <c r="B617" s="4">
        <v>45508</v>
      </c>
      <c r="C617" s="4">
        <v>45521</v>
      </c>
      <c r="D617" s="13">
        <f t="shared" si="186"/>
        <v>13</v>
      </c>
      <c r="E617" s="6" t="s">
        <v>648</v>
      </c>
      <c r="F617" t="s">
        <v>660</v>
      </c>
      <c r="G617" t="s">
        <v>697</v>
      </c>
      <c r="H617" t="s">
        <v>704</v>
      </c>
      <c r="I617" t="s">
        <v>707</v>
      </c>
      <c r="J617" t="s">
        <v>726</v>
      </c>
      <c r="K617" t="s">
        <v>732</v>
      </c>
      <c r="L617" t="s">
        <v>1228</v>
      </c>
      <c r="M617" s="8">
        <v>352.79</v>
      </c>
      <c r="N617" s="8">
        <v>754.22</v>
      </c>
      <c r="O617" s="8">
        <f t="shared" si="187"/>
        <v>754.22</v>
      </c>
      <c r="P617" s="11">
        <v>0.113</v>
      </c>
      <c r="Q617" s="13">
        <v>7</v>
      </c>
      <c r="R617" s="8">
        <f t="shared" si="188"/>
        <v>4682.9519799999998</v>
      </c>
      <c r="S617" s="8">
        <f t="shared" si="189"/>
        <v>2469.5300000000002</v>
      </c>
      <c r="T617" s="8">
        <f t="shared" si="190"/>
        <v>2213.4219799999996</v>
      </c>
      <c r="U617" s="11">
        <f t="shared" si="191"/>
        <v>0.47265528014233443</v>
      </c>
      <c r="V617" s="17">
        <v>45353</v>
      </c>
      <c r="W617" s="4" t="str">
        <f t="shared" si="192"/>
        <v>Q3-2024</v>
      </c>
      <c r="X617" t="str">
        <f t="shared" si="193"/>
        <v>Americas → USA → Austin</v>
      </c>
      <c r="Y617" t="str">
        <f t="shared" si="194"/>
        <v>Low</v>
      </c>
      <c r="Z617" s="20">
        <f t="shared" si="195"/>
        <v>45505</v>
      </c>
      <c r="AA617" s="4">
        <f t="array" ref="AA617">MIN(IF($F$2:$F$633=F617,$Z$2:$Z$633))</f>
        <v>44927</v>
      </c>
      <c r="AB617">
        <f t="shared" si="196"/>
        <v>19</v>
      </c>
      <c r="AC617">
        <f t="shared" si="197"/>
        <v>0</v>
      </c>
      <c r="AD617">
        <f t="shared" si="198"/>
        <v>0</v>
      </c>
      <c r="AE617" s="13">
        <f t="shared" si="199"/>
        <v>0</v>
      </c>
      <c r="AH617">
        <f t="shared" si="200"/>
        <v>8.4</v>
      </c>
      <c r="AI617">
        <f t="shared" si="201"/>
        <v>405.70850000000002</v>
      </c>
      <c r="AJ617" s="11">
        <f t="shared" si="202"/>
        <v>0.113</v>
      </c>
      <c r="AK617">
        <f t="shared" si="203"/>
        <v>5619.5423760000003</v>
      </c>
      <c r="AL617">
        <f t="shared" si="204"/>
        <v>3407.9514000000004</v>
      </c>
      <c r="AM617">
        <f t="shared" si="205"/>
        <v>2211.590976</v>
      </c>
    </row>
    <row r="618" spans="1:39" x14ac:dyDescent="0.25">
      <c r="A618" t="s">
        <v>206</v>
      </c>
      <c r="B618" s="4">
        <v>45516</v>
      </c>
      <c r="C618" s="4">
        <v>45538</v>
      </c>
      <c r="D618" s="13">
        <f t="shared" si="186"/>
        <v>22</v>
      </c>
      <c r="E618" s="6" t="s">
        <v>648</v>
      </c>
      <c r="F618" t="s">
        <v>660</v>
      </c>
      <c r="G618" t="s">
        <v>697</v>
      </c>
      <c r="H618" t="s">
        <v>704</v>
      </c>
      <c r="I618" t="s">
        <v>710</v>
      </c>
      <c r="J618" t="s">
        <v>714</v>
      </c>
      <c r="K618" t="s">
        <v>731</v>
      </c>
      <c r="L618" t="s">
        <v>926</v>
      </c>
      <c r="M618" s="8">
        <v>797.8</v>
      </c>
      <c r="N618" s="8">
        <v>886.22</v>
      </c>
      <c r="O618" s="8">
        <f t="shared" si="187"/>
        <v>886.22</v>
      </c>
      <c r="P618" s="11">
        <v>0.23599999999999999</v>
      </c>
      <c r="Q618" s="13">
        <v>36</v>
      </c>
      <c r="R618" s="8">
        <f t="shared" si="188"/>
        <v>24374.594880000001</v>
      </c>
      <c r="S618" s="8">
        <f t="shared" si="189"/>
        <v>28720.799999999999</v>
      </c>
      <c r="T618" s="8">
        <f t="shared" si="190"/>
        <v>-4346.2051199999987</v>
      </c>
      <c r="U618" s="11">
        <f t="shared" si="191"/>
        <v>-0.17830881462428633</v>
      </c>
      <c r="V618" s="17">
        <v>45340</v>
      </c>
      <c r="W618" s="4" t="str">
        <f t="shared" si="192"/>
        <v>Q3-2024</v>
      </c>
      <c r="X618" t="str">
        <f t="shared" si="193"/>
        <v>Americas → USA → Austin</v>
      </c>
      <c r="Y618" t="str">
        <f t="shared" si="194"/>
        <v>Medium</v>
      </c>
      <c r="Z618" s="20">
        <f t="shared" si="195"/>
        <v>45505</v>
      </c>
      <c r="AA618" s="4">
        <f t="array" ref="AA618">MIN(IF($F$2:$F$633=F618,$Z$2:$Z$633))</f>
        <v>44927</v>
      </c>
      <c r="AB618">
        <f t="shared" si="196"/>
        <v>19</v>
      </c>
      <c r="AC618">
        <f t="shared" si="197"/>
        <v>0</v>
      </c>
      <c r="AD618">
        <f t="shared" si="198"/>
        <v>1</v>
      </c>
      <c r="AE618" s="13">
        <f t="shared" si="199"/>
        <v>0</v>
      </c>
      <c r="AH618">
        <f t="shared" si="200"/>
        <v>43.199999999999996</v>
      </c>
      <c r="AI618">
        <f t="shared" si="201"/>
        <v>917.46999999999991</v>
      </c>
      <c r="AJ618" s="11">
        <f t="shared" si="202"/>
        <v>0.23599999999999999</v>
      </c>
      <c r="AK618">
        <f t="shared" si="203"/>
        <v>29249.513855999998</v>
      </c>
      <c r="AL618">
        <f t="shared" si="204"/>
        <v>39634.703999999991</v>
      </c>
      <c r="AM618">
        <f t="shared" si="205"/>
        <v>-10385.190143999993</v>
      </c>
    </row>
    <row r="619" spans="1:39" x14ac:dyDescent="0.25">
      <c r="A619" t="s">
        <v>415</v>
      </c>
      <c r="B619" s="4">
        <v>45516</v>
      </c>
      <c r="C619" s="4">
        <v>45519</v>
      </c>
      <c r="D619" s="13">
        <f t="shared" si="186"/>
        <v>3</v>
      </c>
      <c r="E619" s="6" t="s">
        <v>648</v>
      </c>
      <c r="F619" t="s">
        <v>660</v>
      </c>
      <c r="G619" t="s">
        <v>677</v>
      </c>
      <c r="H619" t="s">
        <v>701</v>
      </c>
      <c r="I619" t="s">
        <v>709</v>
      </c>
      <c r="J619" t="s">
        <v>726</v>
      </c>
      <c r="K619" t="s">
        <v>728</v>
      </c>
      <c r="L619" t="s">
        <v>1134</v>
      </c>
      <c r="M619" s="8">
        <v>850.7</v>
      </c>
      <c r="N619" s="8">
        <v>1118.56</v>
      </c>
      <c r="O619" s="8">
        <f t="shared" si="187"/>
        <v>1118.56</v>
      </c>
      <c r="P619" s="11">
        <v>0.18</v>
      </c>
      <c r="Q619" s="13">
        <v>19</v>
      </c>
      <c r="R619" s="8">
        <f t="shared" si="188"/>
        <v>17427.164800000002</v>
      </c>
      <c r="S619" s="8">
        <f t="shared" si="189"/>
        <v>16163.300000000001</v>
      </c>
      <c r="T619" s="8">
        <f t="shared" si="190"/>
        <v>1263.8648000000012</v>
      </c>
      <c r="U619" s="11">
        <f t="shared" si="191"/>
        <v>7.2522685962090688E-2</v>
      </c>
      <c r="V619" s="17">
        <v>45339</v>
      </c>
      <c r="W619" s="4" t="str">
        <f t="shared" si="192"/>
        <v>Q3-2024</v>
      </c>
      <c r="X619" t="str">
        <f t="shared" si="193"/>
        <v>Americas → USA → Chicago</v>
      </c>
      <c r="Y619" t="str">
        <f t="shared" si="194"/>
        <v>Medium</v>
      </c>
      <c r="Z619" s="20">
        <f t="shared" si="195"/>
        <v>45505</v>
      </c>
      <c r="AA619" s="4">
        <f t="array" ref="AA619">MIN(IF($F$2:$F$633=F619,$Z$2:$Z$633))</f>
        <v>44927</v>
      </c>
      <c r="AB619">
        <f t="shared" si="196"/>
        <v>19</v>
      </c>
      <c r="AC619">
        <f t="shared" si="197"/>
        <v>1</v>
      </c>
      <c r="AD619">
        <f t="shared" si="198"/>
        <v>0</v>
      </c>
      <c r="AE619" s="13">
        <f t="shared" si="199"/>
        <v>1</v>
      </c>
      <c r="AH619">
        <f t="shared" si="200"/>
        <v>22.8</v>
      </c>
      <c r="AI619">
        <f t="shared" si="201"/>
        <v>978.30499999999995</v>
      </c>
      <c r="AJ619" s="11">
        <f t="shared" si="202"/>
        <v>0.18</v>
      </c>
      <c r="AK619">
        <f t="shared" si="203"/>
        <v>20912.597760000001</v>
      </c>
      <c r="AL619">
        <f t="shared" si="204"/>
        <v>22305.353999999999</v>
      </c>
      <c r="AM619">
        <f t="shared" si="205"/>
        <v>-1392.7562399999988</v>
      </c>
    </row>
    <row r="620" spans="1:39" x14ac:dyDescent="0.25">
      <c r="A620" t="s">
        <v>551</v>
      </c>
      <c r="B620" s="4">
        <v>45520</v>
      </c>
      <c r="C620" s="4">
        <v>45530</v>
      </c>
      <c r="D620" s="13">
        <f t="shared" si="186"/>
        <v>10</v>
      </c>
      <c r="E620" s="6" t="s">
        <v>648</v>
      </c>
      <c r="F620" t="s">
        <v>660</v>
      </c>
      <c r="G620" t="s">
        <v>677</v>
      </c>
      <c r="H620" t="s">
        <v>701</v>
      </c>
      <c r="I620" t="s">
        <v>710</v>
      </c>
      <c r="J620" t="s">
        <v>716</v>
      </c>
      <c r="K620" t="s">
        <v>731</v>
      </c>
      <c r="L620" t="s">
        <v>1121</v>
      </c>
      <c r="M620" s="8">
        <v>1291.7</v>
      </c>
      <c r="N620" s="8">
        <v>2657.84</v>
      </c>
      <c r="O620" s="8">
        <f t="shared" si="187"/>
        <v>2657.84</v>
      </c>
      <c r="P620" s="11">
        <v>8.6999999999999994E-2</v>
      </c>
      <c r="Q620" s="13">
        <v>21</v>
      </c>
      <c r="R620" s="8">
        <f t="shared" si="188"/>
        <v>50958.766320000002</v>
      </c>
      <c r="S620" s="8">
        <f t="shared" si="189"/>
        <v>27125.7</v>
      </c>
      <c r="T620" s="8">
        <f t="shared" si="190"/>
        <v>23833.066320000002</v>
      </c>
      <c r="U620" s="11">
        <f t="shared" si="191"/>
        <v>0.46769315745083367</v>
      </c>
      <c r="V620" s="17">
        <v>45333</v>
      </c>
      <c r="W620" s="4" t="str">
        <f t="shared" si="192"/>
        <v>Q3-2024</v>
      </c>
      <c r="X620" t="str">
        <f t="shared" si="193"/>
        <v>Americas → USA → Chicago</v>
      </c>
      <c r="Y620" t="str">
        <f t="shared" si="194"/>
        <v>High</v>
      </c>
      <c r="Z620" s="20">
        <f t="shared" si="195"/>
        <v>45505</v>
      </c>
      <c r="AA620" s="4">
        <f t="array" ref="AA620">MIN(IF($F$2:$F$633=F620,$Z$2:$Z$633))</f>
        <v>44927</v>
      </c>
      <c r="AB620">
        <f t="shared" si="196"/>
        <v>19</v>
      </c>
      <c r="AC620">
        <f t="shared" si="197"/>
        <v>0</v>
      </c>
      <c r="AD620">
        <f t="shared" si="198"/>
        <v>0</v>
      </c>
      <c r="AE620" s="13">
        <f t="shared" si="199"/>
        <v>0</v>
      </c>
      <c r="AH620">
        <f t="shared" si="200"/>
        <v>25.2</v>
      </c>
      <c r="AI620">
        <f t="shared" si="201"/>
        <v>1485.4549999999999</v>
      </c>
      <c r="AJ620" s="11">
        <f t="shared" si="202"/>
        <v>8.6999999999999994E-2</v>
      </c>
      <c r="AK620">
        <f t="shared" si="203"/>
        <v>61150.519584000001</v>
      </c>
      <c r="AL620">
        <f t="shared" si="204"/>
        <v>37433.466</v>
      </c>
      <c r="AM620">
        <f t="shared" si="205"/>
        <v>23717.053584000001</v>
      </c>
    </row>
    <row r="621" spans="1:39" x14ac:dyDescent="0.25">
      <c r="A621" t="s">
        <v>264</v>
      </c>
      <c r="B621" s="4">
        <v>45537</v>
      </c>
      <c r="C621" s="4">
        <v>45543</v>
      </c>
      <c r="D621" s="13">
        <f t="shared" si="186"/>
        <v>6</v>
      </c>
      <c r="E621" s="6" t="s">
        <v>648</v>
      </c>
      <c r="F621" t="s">
        <v>660</v>
      </c>
      <c r="G621" t="s">
        <v>697</v>
      </c>
      <c r="H621" t="s">
        <v>704</v>
      </c>
      <c r="I621" t="s">
        <v>711</v>
      </c>
      <c r="J621" t="s">
        <v>722</v>
      </c>
      <c r="K621" t="s">
        <v>727</v>
      </c>
      <c r="L621" t="s">
        <v>984</v>
      </c>
      <c r="M621" s="8">
        <v>462.94</v>
      </c>
      <c r="N621" s="8">
        <v>1015.7</v>
      </c>
      <c r="O621" s="8">
        <f t="shared" si="187"/>
        <v>1015.7</v>
      </c>
      <c r="P621" s="11">
        <v>0.14299999999999999</v>
      </c>
      <c r="Q621" s="13">
        <v>14</v>
      </c>
      <c r="R621" s="8">
        <f t="shared" si="188"/>
        <v>12186.368600000002</v>
      </c>
      <c r="S621" s="8">
        <f t="shared" si="189"/>
        <v>6481.16</v>
      </c>
      <c r="T621" s="8">
        <f t="shared" si="190"/>
        <v>5705.2086000000018</v>
      </c>
      <c r="U621" s="11">
        <f t="shared" si="191"/>
        <v>0.46816314090483041</v>
      </c>
      <c r="V621" s="17">
        <v>45319</v>
      </c>
      <c r="W621" s="4" t="str">
        <f t="shared" si="192"/>
        <v>Q3-2024</v>
      </c>
      <c r="X621" t="str">
        <f t="shared" si="193"/>
        <v>Americas → USA → Austin</v>
      </c>
      <c r="Y621" t="str">
        <f t="shared" si="194"/>
        <v>Medium</v>
      </c>
      <c r="Z621" s="20">
        <f t="shared" si="195"/>
        <v>45536</v>
      </c>
      <c r="AA621" s="4">
        <f t="array" ref="AA621">MIN(IF($F$2:$F$633=F621,$Z$2:$Z$633))</f>
        <v>44927</v>
      </c>
      <c r="AB621">
        <f t="shared" si="196"/>
        <v>20</v>
      </c>
      <c r="AC621">
        <f t="shared" si="197"/>
        <v>1</v>
      </c>
      <c r="AD621">
        <f t="shared" si="198"/>
        <v>0</v>
      </c>
      <c r="AE621" s="13">
        <f t="shared" si="199"/>
        <v>1</v>
      </c>
      <c r="AH621">
        <f t="shared" si="200"/>
        <v>16.8</v>
      </c>
      <c r="AI621">
        <f t="shared" si="201"/>
        <v>532.38099999999997</v>
      </c>
      <c r="AJ621" s="11">
        <f t="shared" si="202"/>
        <v>0.14299999999999999</v>
      </c>
      <c r="AK621">
        <f t="shared" si="203"/>
        <v>14623.642320000001</v>
      </c>
      <c r="AL621">
        <f t="shared" si="204"/>
        <v>8944.0007999999998</v>
      </c>
      <c r="AM621">
        <f t="shared" si="205"/>
        <v>5679.641520000001</v>
      </c>
    </row>
    <row r="622" spans="1:39" x14ac:dyDescent="0.25">
      <c r="A622" t="s">
        <v>626</v>
      </c>
      <c r="B622" s="4">
        <v>45584</v>
      </c>
      <c r="C622" s="4">
        <v>45602</v>
      </c>
      <c r="D622" s="13">
        <f t="shared" si="186"/>
        <v>18</v>
      </c>
      <c r="E622" s="6" t="s">
        <v>648</v>
      </c>
      <c r="F622" t="s">
        <v>660</v>
      </c>
      <c r="G622" t="s">
        <v>677</v>
      </c>
      <c r="H622" t="s">
        <v>702</v>
      </c>
      <c r="J622" t="s">
        <v>712</v>
      </c>
      <c r="K622" t="s">
        <v>732</v>
      </c>
      <c r="L622" t="s">
        <v>1344</v>
      </c>
      <c r="M622" s="8">
        <v>942.02</v>
      </c>
      <c r="N622" s="8">
        <v>1028.46</v>
      </c>
      <c r="O622" s="8">
        <f t="shared" si="187"/>
        <v>1028.46</v>
      </c>
      <c r="P622" s="11">
        <v>0</v>
      </c>
      <c r="Q622" s="13">
        <v>9</v>
      </c>
      <c r="R622" s="8">
        <f t="shared" si="188"/>
        <v>9256.14</v>
      </c>
      <c r="S622" s="8">
        <f t="shared" si="189"/>
        <v>8478.18</v>
      </c>
      <c r="T622" s="8">
        <f t="shared" si="190"/>
        <v>777.95999999999913</v>
      </c>
      <c r="U622" s="11">
        <f t="shared" si="191"/>
        <v>8.4047994088248354E-2</v>
      </c>
      <c r="V622" s="17">
        <v>45267</v>
      </c>
      <c r="W622" s="4" t="str">
        <f t="shared" si="192"/>
        <v>Q4-2024</v>
      </c>
      <c r="X622" t="str">
        <f t="shared" si="193"/>
        <v>Americas → USA → Chicago</v>
      </c>
      <c r="Y622" t="str">
        <f t="shared" si="194"/>
        <v>Medium</v>
      </c>
      <c r="Z622" s="20">
        <f t="shared" si="195"/>
        <v>45566</v>
      </c>
      <c r="AA622" s="4">
        <f t="array" ref="AA622">MIN(IF($F$2:$F$633=F622,$Z$2:$Z$633))</f>
        <v>44927</v>
      </c>
      <c r="AB622">
        <f t="shared" si="196"/>
        <v>21</v>
      </c>
      <c r="AC622">
        <f t="shared" si="197"/>
        <v>0</v>
      </c>
      <c r="AD622">
        <f t="shared" si="198"/>
        <v>0</v>
      </c>
      <c r="AE622" s="13">
        <f t="shared" si="199"/>
        <v>0</v>
      </c>
      <c r="AH622">
        <f t="shared" si="200"/>
        <v>10.799999999999999</v>
      </c>
      <c r="AI622">
        <f t="shared" si="201"/>
        <v>1083.3229999999999</v>
      </c>
      <c r="AJ622" s="11">
        <f t="shared" si="202"/>
        <v>0</v>
      </c>
      <c r="AK622">
        <f t="shared" si="203"/>
        <v>11107.367999999999</v>
      </c>
      <c r="AL622">
        <f t="shared" si="204"/>
        <v>11699.888399999998</v>
      </c>
      <c r="AM622">
        <f t="shared" si="205"/>
        <v>-592.52039999999943</v>
      </c>
    </row>
    <row r="623" spans="1:39" x14ac:dyDescent="0.25">
      <c r="A623" t="s">
        <v>575</v>
      </c>
      <c r="B623" s="4">
        <v>45590</v>
      </c>
      <c r="C623" s="4">
        <v>45601</v>
      </c>
      <c r="D623" s="13">
        <f t="shared" si="186"/>
        <v>11</v>
      </c>
      <c r="E623" s="6" t="s">
        <v>648</v>
      </c>
      <c r="F623" t="s">
        <v>660</v>
      </c>
      <c r="G623" t="s">
        <v>700</v>
      </c>
      <c r="H623" t="s">
        <v>701</v>
      </c>
      <c r="I623" t="s">
        <v>710</v>
      </c>
      <c r="J623" t="s">
        <v>725</v>
      </c>
      <c r="K623" t="s">
        <v>727</v>
      </c>
      <c r="L623" t="s">
        <v>1293</v>
      </c>
      <c r="M623" s="8">
        <v>446.66</v>
      </c>
      <c r="N623" s="8">
        <v>527.64</v>
      </c>
      <c r="O623" s="8">
        <f t="shared" si="187"/>
        <v>527.64</v>
      </c>
      <c r="P623" s="11">
        <v>0.14499999999999999</v>
      </c>
      <c r="Q623" s="13">
        <v>15</v>
      </c>
      <c r="R623" s="8">
        <f t="shared" si="188"/>
        <v>6766.9829999999993</v>
      </c>
      <c r="S623" s="8">
        <f t="shared" si="189"/>
        <v>6699.9000000000005</v>
      </c>
      <c r="T623" s="8">
        <f t="shared" si="190"/>
        <v>67.082999999998719</v>
      </c>
      <c r="U623" s="11">
        <f t="shared" si="191"/>
        <v>9.9132804087137105E-3</v>
      </c>
      <c r="V623" s="17">
        <v>45263</v>
      </c>
      <c r="W623" s="4" t="str">
        <f t="shared" si="192"/>
        <v>Q4-2024</v>
      </c>
      <c r="X623" t="str">
        <f t="shared" si="193"/>
        <v>Americas → USA → New York</v>
      </c>
      <c r="Y623" t="str">
        <f t="shared" si="194"/>
        <v>Low</v>
      </c>
      <c r="Z623" s="20">
        <f t="shared" si="195"/>
        <v>45566</v>
      </c>
      <c r="AA623" s="4">
        <f t="array" ref="AA623">MIN(IF($F$2:$F$633=F623,$Z$2:$Z$633))</f>
        <v>44927</v>
      </c>
      <c r="AB623">
        <f t="shared" si="196"/>
        <v>21</v>
      </c>
      <c r="AC623">
        <f t="shared" si="197"/>
        <v>0</v>
      </c>
      <c r="AD623">
        <f t="shared" si="198"/>
        <v>0</v>
      </c>
      <c r="AE623" s="13">
        <f t="shared" si="199"/>
        <v>0</v>
      </c>
      <c r="AH623">
        <f t="shared" si="200"/>
        <v>18</v>
      </c>
      <c r="AI623">
        <f t="shared" si="201"/>
        <v>513.65899999999999</v>
      </c>
      <c r="AJ623" s="11">
        <f t="shared" si="202"/>
        <v>0.14499999999999999</v>
      </c>
      <c r="AK623">
        <f t="shared" si="203"/>
        <v>8120.3796000000002</v>
      </c>
      <c r="AL623">
        <f t="shared" si="204"/>
        <v>9245.8619999999992</v>
      </c>
      <c r="AM623">
        <f t="shared" si="205"/>
        <v>-1125.482399999999</v>
      </c>
    </row>
    <row r="624" spans="1:39" x14ac:dyDescent="0.25">
      <c r="A624" t="s">
        <v>149</v>
      </c>
      <c r="B624" s="4">
        <v>45647</v>
      </c>
      <c r="C624" s="4">
        <v>45652</v>
      </c>
      <c r="D624" s="13">
        <f t="shared" si="186"/>
        <v>5</v>
      </c>
      <c r="E624" s="6" t="s">
        <v>648</v>
      </c>
      <c r="F624" t="s">
        <v>660</v>
      </c>
      <c r="G624" t="s">
        <v>686</v>
      </c>
      <c r="H624" t="s">
        <v>704</v>
      </c>
      <c r="I624" t="s">
        <v>709</v>
      </c>
      <c r="J624" t="s">
        <v>724</v>
      </c>
      <c r="K624" t="s">
        <v>728</v>
      </c>
      <c r="L624" t="s">
        <v>868</v>
      </c>
      <c r="M624" s="8">
        <v>699.57</v>
      </c>
      <c r="N624" s="8">
        <v>572.71</v>
      </c>
      <c r="O624" s="8">
        <f t="shared" si="187"/>
        <v>572.71</v>
      </c>
      <c r="P624" s="11">
        <v>0.192</v>
      </c>
      <c r="Q624" s="13">
        <v>26</v>
      </c>
      <c r="R624" s="8">
        <f t="shared" si="188"/>
        <v>12031.491680000001</v>
      </c>
      <c r="S624" s="8">
        <f t="shared" si="189"/>
        <v>18188.82</v>
      </c>
      <c r="T624" s="8">
        <f t="shared" si="190"/>
        <v>-6157.3283199999987</v>
      </c>
      <c r="U624" s="11">
        <f t="shared" si="191"/>
        <v>-0.51176765805651114</v>
      </c>
      <c r="V624" s="17">
        <v>45190</v>
      </c>
      <c r="W624" s="4" t="str">
        <f t="shared" si="192"/>
        <v>Q4-2024</v>
      </c>
      <c r="X624" t="str">
        <f t="shared" si="193"/>
        <v>Americas → USA → San Francisco</v>
      </c>
      <c r="Y624" t="str">
        <f t="shared" si="194"/>
        <v>Low</v>
      </c>
      <c r="Z624" s="20">
        <f t="shared" si="195"/>
        <v>45627</v>
      </c>
      <c r="AA624" s="4">
        <f t="array" ref="AA624">MIN(IF($F$2:$F$633=F624,$Z$2:$Z$633))</f>
        <v>44927</v>
      </c>
      <c r="AB624">
        <f t="shared" si="196"/>
        <v>23</v>
      </c>
      <c r="AC624">
        <f t="shared" si="197"/>
        <v>1</v>
      </c>
      <c r="AD624">
        <f t="shared" si="198"/>
        <v>0</v>
      </c>
      <c r="AE624" s="13">
        <f t="shared" si="199"/>
        <v>1</v>
      </c>
      <c r="AH624">
        <f t="shared" si="200"/>
        <v>31.2</v>
      </c>
      <c r="AI624">
        <f t="shared" si="201"/>
        <v>804.50549999999998</v>
      </c>
      <c r="AJ624" s="11">
        <f t="shared" si="202"/>
        <v>0.192</v>
      </c>
      <c r="AK624">
        <f t="shared" si="203"/>
        <v>14437.790016000001</v>
      </c>
      <c r="AL624">
        <f t="shared" si="204"/>
        <v>25100.571599999999</v>
      </c>
      <c r="AM624">
        <f t="shared" si="205"/>
        <v>-10662.781583999998</v>
      </c>
    </row>
    <row r="625" spans="1:39" x14ac:dyDescent="0.25">
      <c r="A625" t="s">
        <v>344</v>
      </c>
      <c r="B625" s="4">
        <v>45668</v>
      </c>
      <c r="C625" s="4">
        <v>45680</v>
      </c>
      <c r="D625" s="13">
        <f t="shared" si="186"/>
        <v>12</v>
      </c>
      <c r="E625" s="6" t="s">
        <v>648</v>
      </c>
      <c r="F625" t="s">
        <v>660</v>
      </c>
      <c r="G625" t="s">
        <v>697</v>
      </c>
      <c r="H625" t="s">
        <v>704</v>
      </c>
      <c r="I625" t="s">
        <v>710</v>
      </c>
      <c r="J625" t="s">
        <v>722</v>
      </c>
      <c r="K625" t="s">
        <v>730</v>
      </c>
      <c r="L625" t="s">
        <v>1064</v>
      </c>
      <c r="M625" s="8">
        <v>100.69</v>
      </c>
      <c r="N625" s="8">
        <v>226.14</v>
      </c>
      <c r="O625" s="8">
        <f t="shared" si="187"/>
        <v>226.14</v>
      </c>
      <c r="P625" s="11">
        <v>6.5000000000000002E-2</v>
      </c>
      <c r="Q625" s="13">
        <v>12</v>
      </c>
      <c r="R625" s="8">
        <f t="shared" si="188"/>
        <v>2537.2908000000002</v>
      </c>
      <c r="S625" s="8">
        <f t="shared" si="189"/>
        <v>1208.28</v>
      </c>
      <c r="T625" s="8">
        <f t="shared" si="190"/>
        <v>1329.0108000000002</v>
      </c>
      <c r="U625" s="11">
        <f t="shared" si="191"/>
        <v>0.52379128162999689</v>
      </c>
      <c r="V625" s="17">
        <v>45163</v>
      </c>
      <c r="W625" s="4" t="str">
        <f t="shared" si="192"/>
        <v>Q1-2025</v>
      </c>
      <c r="X625" t="str">
        <f t="shared" si="193"/>
        <v>Americas → USA → Austin</v>
      </c>
      <c r="Y625" t="str">
        <f t="shared" si="194"/>
        <v>Low</v>
      </c>
      <c r="Z625" s="20">
        <f t="shared" si="195"/>
        <v>45658</v>
      </c>
      <c r="AA625" s="4">
        <f t="array" ref="AA625">MIN(IF($F$2:$F$633=F625,$Z$2:$Z$633))</f>
        <v>44927</v>
      </c>
      <c r="AB625">
        <f t="shared" si="196"/>
        <v>24</v>
      </c>
      <c r="AC625">
        <f t="shared" si="197"/>
        <v>0</v>
      </c>
      <c r="AD625">
        <f t="shared" si="198"/>
        <v>0</v>
      </c>
      <c r="AE625" s="13">
        <f t="shared" si="199"/>
        <v>0</v>
      </c>
      <c r="AH625">
        <f t="shared" si="200"/>
        <v>14.399999999999999</v>
      </c>
      <c r="AI625">
        <f t="shared" si="201"/>
        <v>115.79349999999999</v>
      </c>
      <c r="AJ625" s="11">
        <f t="shared" si="202"/>
        <v>6.5000000000000002E-2</v>
      </c>
      <c r="AK625">
        <f t="shared" si="203"/>
        <v>3044.7489599999994</v>
      </c>
      <c r="AL625">
        <f t="shared" si="204"/>
        <v>1667.4263999999998</v>
      </c>
      <c r="AM625">
        <f t="shared" si="205"/>
        <v>1377.3225599999996</v>
      </c>
    </row>
    <row r="626" spans="1:39" x14ac:dyDescent="0.25">
      <c r="A626" t="s">
        <v>128</v>
      </c>
      <c r="B626" s="4">
        <v>45674</v>
      </c>
      <c r="C626" s="4">
        <v>45681</v>
      </c>
      <c r="D626" s="13">
        <f t="shared" si="186"/>
        <v>7</v>
      </c>
      <c r="E626" s="6" t="s">
        <v>648</v>
      </c>
      <c r="F626" t="s">
        <v>660</v>
      </c>
      <c r="G626" t="s">
        <v>697</v>
      </c>
      <c r="H626" t="s">
        <v>706</v>
      </c>
      <c r="I626" t="s">
        <v>708</v>
      </c>
      <c r="J626" t="s">
        <v>715</v>
      </c>
      <c r="K626" t="s">
        <v>733</v>
      </c>
      <c r="L626" t="s">
        <v>847</v>
      </c>
      <c r="M626" s="8">
        <v>142.09</v>
      </c>
      <c r="N626" s="8">
        <v>218.5</v>
      </c>
      <c r="O626" s="8">
        <f t="shared" si="187"/>
        <v>218.5</v>
      </c>
      <c r="P626" s="11">
        <v>0.11899999999999999</v>
      </c>
      <c r="Q626" s="13">
        <v>11</v>
      </c>
      <c r="R626" s="8">
        <f t="shared" si="188"/>
        <v>2117.4834999999998</v>
      </c>
      <c r="S626" s="8">
        <f t="shared" si="189"/>
        <v>1562.99</v>
      </c>
      <c r="T626" s="8">
        <f t="shared" si="190"/>
        <v>554.49349999999981</v>
      </c>
      <c r="U626" s="11">
        <f t="shared" si="191"/>
        <v>0.26186437816398561</v>
      </c>
      <c r="V626" s="17">
        <v>45167</v>
      </c>
      <c r="W626" s="4" t="str">
        <f t="shared" si="192"/>
        <v>Q1-2025</v>
      </c>
      <c r="X626" t="str">
        <f t="shared" si="193"/>
        <v>Americas → USA → Austin</v>
      </c>
      <c r="Y626" t="str">
        <f t="shared" si="194"/>
        <v>Low</v>
      </c>
      <c r="Z626" s="20">
        <f t="shared" si="195"/>
        <v>45658</v>
      </c>
      <c r="AA626" s="4">
        <f t="array" ref="AA626">MIN(IF($F$2:$F$633=F626,$Z$2:$Z$633))</f>
        <v>44927</v>
      </c>
      <c r="AB626">
        <f t="shared" si="196"/>
        <v>24</v>
      </c>
      <c r="AC626">
        <f t="shared" si="197"/>
        <v>1</v>
      </c>
      <c r="AD626">
        <f t="shared" si="198"/>
        <v>0</v>
      </c>
      <c r="AE626" s="13">
        <f t="shared" si="199"/>
        <v>1</v>
      </c>
      <c r="AH626">
        <f t="shared" si="200"/>
        <v>13.2</v>
      </c>
      <c r="AI626">
        <f t="shared" si="201"/>
        <v>163.40349999999998</v>
      </c>
      <c r="AJ626" s="11">
        <f t="shared" si="202"/>
        <v>0.11899999999999999</v>
      </c>
      <c r="AK626">
        <f t="shared" si="203"/>
        <v>2540.9802</v>
      </c>
      <c r="AL626">
        <f t="shared" si="204"/>
        <v>2156.9261999999994</v>
      </c>
      <c r="AM626">
        <f t="shared" si="205"/>
        <v>384.05400000000054</v>
      </c>
    </row>
    <row r="627" spans="1:39" x14ac:dyDescent="0.25">
      <c r="A627" t="s">
        <v>435</v>
      </c>
      <c r="B627" s="4">
        <v>45713</v>
      </c>
      <c r="C627" s="4">
        <v>45733</v>
      </c>
      <c r="D627" s="13">
        <f t="shared" si="186"/>
        <v>20</v>
      </c>
      <c r="E627" s="6" t="s">
        <v>648</v>
      </c>
      <c r="F627" t="s">
        <v>660</v>
      </c>
      <c r="G627" t="s">
        <v>686</v>
      </c>
      <c r="H627" t="s">
        <v>703</v>
      </c>
      <c r="I627" t="s">
        <v>709</v>
      </c>
      <c r="J627" t="s">
        <v>722</v>
      </c>
      <c r="K627" t="s">
        <v>730</v>
      </c>
      <c r="L627" t="s">
        <v>1154</v>
      </c>
      <c r="M627" s="8">
        <v>1205.26</v>
      </c>
      <c r="N627" s="8">
        <v>1696.35</v>
      </c>
      <c r="O627" s="8">
        <f t="shared" si="187"/>
        <v>1696.35</v>
      </c>
      <c r="P627" s="11">
        <v>1.9E-2</v>
      </c>
      <c r="Q627" s="13">
        <v>6</v>
      </c>
      <c r="R627" s="8">
        <f t="shared" si="188"/>
        <v>9984.7160999999978</v>
      </c>
      <c r="S627" s="8">
        <f t="shared" si="189"/>
        <v>7231.5599999999995</v>
      </c>
      <c r="T627" s="8">
        <f t="shared" si="190"/>
        <v>2753.1560999999983</v>
      </c>
      <c r="U627" s="11">
        <f t="shared" si="191"/>
        <v>0.27573704374028213</v>
      </c>
      <c r="V627" s="17">
        <v>45123</v>
      </c>
      <c r="W627" s="4" t="str">
        <f t="shared" si="192"/>
        <v>Q1-2025</v>
      </c>
      <c r="X627" t="str">
        <f t="shared" si="193"/>
        <v>Americas → USA → San Francisco</v>
      </c>
      <c r="Y627" t="str">
        <f t="shared" si="194"/>
        <v>High</v>
      </c>
      <c r="Z627" s="20">
        <f t="shared" si="195"/>
        <v>45689</v>
      </c>
      <c r="AA627" s="4">
        <f t="array" ref="AA627">MIN(IF($F$2:$F$633=F627,$Z$2:$Z$633))</f>
        <v>44927</v>
      </c>
      <c r="AB627">
        <f t="shared" si="196"/>
        <v>25</v>
      </c>
      <c r="AC627">
        <f t="shared" si="197"/>
        <v>0</v>
      </c>
      <c r="AD627">
        <f t="shared" si="198"/>
        <v>0</v>
      </c>
      <c r="AE627" s="13">
        <f t="shared" si="199"/>
        <v>0</v>
      </c>
      <c r="AH627">
        <f t="shared" si="200"/>
        <v>7.1999999999999993</v>
      </c>
      <c r="AI627">
        <f t="shared" si="201"/>
        <v>1386.049</v>
      </c>
      <c r="AJ627" s="11">
        <f t="shared" si="202"/>
        <v>1.9E-2</v>
      </c>
      <c r="AK627">
        <f t="shared" si="203"/>
        <v>11981.659319999997</v>
      </c>
      <c r="AL627">
        <f t="shared" si="204"/>
        <v>9979.5527999999995</v>
      </c>
      <c r="AM627">
        <f t="shared" si="205"/>
        <v>2002.1065199999975</v>
      </c>
    </row>
    <row r="628" spans="1:39" x14ac:dyDescent="0.25">
      <c r="A628" t="s">
        <v>332</v>
      </c>
      <c r="B628" s="4">
        <v>45748</v>
      </c>
      <c r="C628" s="4">
        <v>45774</v>
      </c>
      <c r="D628" s="13">
        <f t="shared" si="186"/>
        <v>26</v>
      </c>
      <c r="E628" s="6" t="s">
        <v>648</v>
      </c>
      <c r="F628" t="s">
        <v>660</v>
      </c>
      <c r="G628" t="s">
        <v>686</v>
      </c>
      <c r="H628" t="s">
        <v>701</v>
      </c>
      <c r="I628" t="s">
        <v>711</v>
      </c>
      <c r="J628" t="s">
        <v>714</v>
      </c>
      <c r="K628" t="s">
        <v>732</v>
      </c>
      <c r="L628" t="s">
        <v>1052</v>
      </c>
      <c r="M628" s="8">
        <v>156.55000000000001</v>
      </c>
      <c r="N628" s="8">
        <v>227.45</v>
      </c>
      <c r="O628" s="8">
        <f t="shared" si="187"/>
        <v>227.45</v>
      </c>
      <c r="P628" s="11">
        <v>1.4E-2</v>
      </c>
      <c r="Q628" s="13">
        <v>13</v>
      </c>
      <c r="R628" s="8">
        <f t="shared" si="188"/>
        <v>2915.4540999999999</v>
      </c>
      <c r="S628" s="8">
        <f t="shared" si="189"/>
        <v>2035.15</v>
      </c>
      <c r="T628" s="8">
        <f t="shared" si="190"/>
        <v>880.30409999999983</v>
      </c>
      <c r="U628" s="11">
        <f t="shared" si="191"/>
        <v>0.3019440779396938</v>
      </c>
      <c r="V628" s="17">
        <v>45108</v>
      </c>
      <c r="W628" s="4" t="str">
        <f t="shared" si="192"/>
        <v>Q2-2025</v>
      </c>
      <c r="X628" t="str">
        <f t="shared" si="193"/>
        <v>Americas → USA → San Francisco</v>
      </c>
      <c r="Y628" t="str">
        <f t="shared" si="194"/>
        <v>Low</v>
      </c>
      <c r="Z628" s="20">
        <f t="shared" si="195"/>
        <v>45748</v>
      </c>
      <c r="AA628" s="4">
        <f t="array" ref="AA628">MIN(IF($F$2:$F$633=F628,$Z$2:$Z$633))</f>
        <v>44927</v>
      </c>
      <c r="AB628">
        <f t="shared" si="196"/>
        <v>27</v>
      </c>
      <c r="AC628">
        <f t="shared" si="197"/>
        <v>0</v>
      </c>
      <c r="AD628">
        <f t="shared" si="198"/>
        <v>0</v>
      </c>
      <c r="AE628" s="13">
        <f t="shared" si="199"/>
        <v>0</v>
      </c>
      <c r="AH628">
        <f t="shared" si="200"/>
        <v>15.6</v>
      </c>
      <c r="AI628">
        <f t="shared" si="201"/>
        <v>180.0325</v>
      </c>
      <c r="AJ628" s="11">
        <f t="shared" si="202"/>
        <v>1.4E-2</v>
      </c>
      <c r="AK628">
        <f t="shared" si="203"/>
        <v>3498.5449199999998</v>
      </c>
      <c r="AL628">
        <f t="shared" si="204"/>
        <v>2808.5070000000001</v>
      </c>
      <c r="AM628">
        <f t="shared" si="205"/>
        <v>690.03791999999976</v>
      </c>
    </row>
    <row r="629" spans="1:39" x14ac:dyDescent="0.25">
      <c r="A629" t="s">
        <v>98</v>
      </c>
      <c r="B629" s="4">
        <v>45769</v>
      </c>
      <c r="C629" s="4">
        <v>45770</v>
      </c>
      <c r="D629" s="13">
        <f t="shared" si="186"/>
        <v>1</v>
      </c>
      <c r="E629" s="6" t="s">
        <v>648</v>
      </c>
      <c r="F629" t="s">
        <v>660</v>
      </c>
      <c r="G629" t="s">
        <v>686</v>
      </c>
      <c r="H629" t="s">
        <v>703</v>
      </c>
      <c r="I629" t="s">
        <v>710</v>
      </c>
      <c r="J629" t="s">
        <v>726</v>
      </c>
      <c r="K629" t="s">
        <v>732</v>
      </c>
      <c r="L629" t="s">
        <v>817</v>
      </c>
      <c r="M629" s="8">
        <v>23.24</v>
      </c>
      <c r="N629" s="8">
        <v>44.57</v>
      </c>
      <c r="O629" s="8">
        <f t="shared" si="187"/>
        <v>44.57</v>
      </c>
      <c r="P629" s="11">
        <v>0.215</v>
      </c>
      <c r="Q629" s="13">
        <v>15</v>
      </c>
      <c r="R629" s="8">
        <f t="shared" si="188"/>
        <v>524.81174999999996</v>
      </c>
      <c r="S629" s="8">
        <f t="shared" si="189"/>
        <v>348.59999999999997</v>
      </c>
      <c r="T629" s="8">
        <f t="shared" si="190"/>
        <v>176.21174999999999</v>
      </c>
      <c r="U629" s="11">
        <f t="shared" si="191"/>
        <v>0.33576182316802167</v>
      </c>
      <c r="V629" s="17">
        <v>45066</v>
      </c>
      <c r="W629" s="4" t="str">
        <f t="shared" si="192"/>
        <v>Q2-2025</v>
      </c>
      <c r="X629" t="str">
        <f t="shared" si="193"/>
        <v>Americas → USA → San Francisco</v>
      </c>
      <c r="Y629" t="str">
        <f t="shared" si="194"/>
        <v>Low</v>
      </c>
      <c r="Z629" s="20">
        <f t="shared" si="195"/>
        <v>45748</v>
      </c>
      <c r="AA629" s="4">
        <f t="array" ref="AA629">MIN(IF($F$2:$F$633=F629,$Z$2:$Z$633))</f>
        <v>44927</v>
      </c>
      <c r="AB629">
        <f t="shared" si="196"/>
        <v>27</v>
      </c>
      <c r="AC629">
        <f t="shared" si="197"/>
        <v>1</v>
      </c>
      <c r="AD629">
        <f t="shared" si="198"/>
        <v>1</v>
      </c>
      <c r="AE629" s="13">
        <f t="shared" si="199"/>
        <v>1</v>
      </c>
      <c r="AH629">
        <f t="shared" si="200"/>
        <v>18</v>
      </c>
      <c r="AI629">
        <f t="shared" si="201"/>
        <v>26.725999999999996</v>
      </c>
      <c r="AJ629" s="11">
        <f t="shared" si="202"/>
        <v>0.215</v>
      </c>
      <c r="AK629">
        <f t="shared" si="203"/>
        <v>629.77409999999998</v>
      </c>
      <c r="AL629">
        <f t="shared" si="204"/>
        <v>481.06799999999993</v>
      </c>
      <c r="AM629">
        <f t="shared" si="205"/>
        <v>148.70610000000005</v>
      </c>
    </row>
    <row r="630" spans="1:39" x14ac:dyDescent="0.25">
      <c r="A630" t="s">
        <v>520</v>
      </c>
      <c r="B630" s="4">
        <v>45774</v>
      </c>
      <c r="C630" s="4">
        <v>45794</v>
      </c>
      <c r="D630" s="13">
        <f t="shared" si="186"/>
        <v>20</v>
      </c>
      <c r="E630" s="6" t="s">
        <v>648</v>
      </c>
      <c r="F630" t="s">
        <v>660</v>
      </c>
      <c r="G630" t="s">
        <v>697</v>
      </c>
      <c r="H630" t="s">
        <v>701</v>
      </c>
      <c r="I630" t="s">
        <v>711</v>
      </c>
      <c r="J630" t="s">
        <v>725</v>
      </c>
      <c r="K630" t="s">
        <v>730</v>
      </c>
      <c r="L630" t="s">
        <v>1239</v>
      </c>
      <c r="M630" s="8">
        <v>932.26</v>
      </c>
      <c r="N630" s="8">
        <v>1624.67</v>
      </c>
      <c r="O630" s="8">
        <f t="shared" si="187"/>
        <v>1624.67</v>
      </c>
      <c r="P630" s="11">
        <v>0.23499999999999999</v>
      </c>
      <c r="Q630" s="13">
        <v>28</v>
      </c>
      <c r="R630" s="8">
        <f t="shared" si="188"/>
        <v>34800.431400000001</v>
      </c>
      <c r="S630" s="8">
        <f t="shared" si="189"/>
        <v>26103.279999999999</v>
      </c>
      <c r="T630" s="8">
        <f t="shared" si="190"/>
        <v>8697.1514000000025</v>
      </c>
      <c r="U630" s="11">
        <f t="shared" si="191"/>
        <v>0.24991504559337163</v>
      </c>
      <c r="V630" s="17">
        <v>45069</v>
      </c>
      <c r="W630" s="4" t="str">
        <f t="shared" si="192"/>
        <v>Q2-2025</v>
      </c>
      <c r="X630" t="str">
        <f t="shared" si="193"/>
        <v>Americas → USA → Austin</v>
      </c>
      <c r="Y630" t="str">
        <f t="shared" si="194"/>
        <v>Medium</v>
      </c>
      <c r="Z630" s="20">
        <f t="shared" si="195"/>
        <v>45748</v>
      </c>
      <c r="AA630" s="4">
        <f t="array" ref="AA630">MIN(IF($F$2:$F$633=F630,$Z$2:$Z$633))</f>
        <v>44927</v>
      </c>
      <c r="AB630">
        <f t="shared" si="196"/>
        <v>27</v>
      </c>
      <c r="AC630">
        <f t="shared" si="197"/>
        <v>0</v>
      </c>
      <c r="AD630">
        <f t="shared" si="198"/>
        <v>1</v>
      </c>
      <c r="AE630" s="13">
        <f t="shared" si="199"/>
        <v>0</v>
      </c>
      <c r="AH630">
        <f t="shared" si="200"/>
        <v>33.6</v>
      </c>
      <c r="AI630">
        <f t="shared" si="201"/>
        <v>1072.0989999999999</v>
      </c>
      <c r="AJ630" s="11">
        <f t="shared" si="202"/>
        <v>0.23499999999999999</v>
      </c>
      <c r="AK630">
        <f t="shared" si="203"/>
        <v>41760.517680000004</v>
      </c>
      <c r="AL630">
        <f t="shared" si="204"/>
        <v>36022.526400000002</v>
      </c>
      <c r="AM630">
        <f t="shared" si="205"/>
        <v>5737.991280000002</v>
      </c>
    </row>
    <row r="631" spans="1:39" x14ac:dyDescent="0.25">
      <c r="A631" t="s">
        <v>321</v>
      </c>
      <c r="B631" s="4">
        <v>45795</v>
      </c>
      <c r="C631" s="4">
        <v>45817</v>
      </c>
      <c r="D631" s="13">
        <f t="shared" si="186"/>
        <v>22</v>
      </c>
      <c r="E631" s="6" t="s">
        <v>648</v>
      </c>
      <c r="F631" t="s">
        <v>660</v>
      </c>
      <c r="G631" t="s">
        <v>700</v>
      </c>
      <c r="H631" t="s">
        <v>704</v>
      </c>
      <c r="I631" t="s">
        <v>707</v>
      </c>
      <c r="J631" t="s">
        <v>722</v>
      </c>
      <c r="K631" t="s">
        <v>729</v>
      </c>
      <c r="L631" t="s">
        <v>1041</v>
      </c>
      <c r="M631" s="8">
        <v>382.96</v>
      </c>
      <c r="N631" s="8">
        <v>552.84</v>
      </c>
      <c r="O631" s="8">
        <f t="shared" si="187"/>
        <v>552.84</v>
      </c>
      <c r="P631" s="11">
        <v>0.17599999999999999</v>
      </c>
      <c r="Q631" s="13">
        <v>8</v>
      </c>
      <c r="R631" s="8">
        <f t="shared" si="188"/>
        <v>3644.3212800000006</v>
      </c>
      <c r="S631" s="8">
        <f t="shared" si="189"/>
        <v>3063.68</v>
      </c>
      <c r="T631" s="8">
        <f t="shared" si="190"/>
        <v>580.64128000000073</v>
      </c>
      <c r="U631" s="11">
        <f t="shared" si="191"/>
        <v>0.15932768693763483</v>
      </c>
      <c r="V631" s="17">
        <v>45048</v>
      </c>
      <c r="W631" s="4" t="str">
        <f t="shared" si="192"/>
        <v>Q2-2025</v>
      </c>
      <c r="X631" t="str">
        <f t="shared" si="193"/>
        <v>Americas → USA → New York</v>
      </c>
      <c r="Y631" t="str">
        <f t="shared" si="194"/>
        <v>Low</v>
      </c>
      <c r="Z631" s="20">
        <f t="shared" si="195"/>
        <v>45778</v>
      </c>
      <c r="AA631" s="4">
        <f t="array" ref="AA631">MIN(IF($F$2:$F$633=F631,$Z$2:$Z$633))</f>
        <v>44927</v>
      </c>
      <c r="AB631">
        <f t="shared" si="196"/>
        <v>28</v>
      </c>
      <c r="AC631">
        <f t="shared" si="197"/>
        <v>0</v>
      </c>
      <c r="AD631">
        <f t="shared" si="198"/>
        <v>0</v>
      </c>
      <c r="AE631" s="13">
        <f t="shared" si="199"/>
        <v>0</v>
      </c>
      <c r="AH631">
        <f t="shared" si="200"/>
        <v>9.6</v>
      </c>
      <c r="AI631">
        <f t="shared" si="201"/>
        <v>440.40399999999994</v>
      </c>
      <c r="AJ631" s="11">
        <f t="shared" si="202"/>
        <v>0.17599999999999999</v>
      </c>
      <c r="AK631">
        <f t="shared" si="203"/>
        <v>4373.1855360000009</v>
      </c>
      <c r="AL631">
        <f t="shared" si="204"/>
        <v>4227.8783999999996</v>
      </c>
      <c r="AM631">
        <f t="shared" si="205"/>
        <v>145.30713600000126</v>
      </c>
    </row>
    <row r="632" spans="1:39" x14ac:dyDescent="0.25">
      <c r="A632" t="s">
        <v>242</v>
      </c>
      <c r="B632" s="4">
        <v>45879</v>
      </c>
      <c r="C632" s="4">
        <v>45899</v>
      </c>
      <c r="D632" s="13">
        <f t="shared" si="186"/>
        <v>20</v>
      </c>
      <c r="E632" s="6" t="s">
        <v>648</v>
      </c>
      <c r="F632" t="s">
        <v>660</v>
      </c>
      <c r="G632" t="s">
        <v>686</v>
      </c>
      <c r="H632" t="s">
        <v>701</v>
      </c>
      <c r="I632" t="s">
        <v>709</v>
      </c>
      <c r="J632" t="s">
        <v>723</v>
      </c>
      <c r="K632" t="s">
        <v>728</v>
      </c>
      <c r="L632" t="s">
        <v>962</v>
      </c>
      <c r="M632" s="8">
        <v>933.29</v>
      </c>
      <c r="N632" s="8">
        <v>1456.81</v>
      </c>
      <c r="O632" s="8">
        <f t="shared" si="187"/>
        <v>1456.81</v>
      </c>
      <c r="P632" s="11">
        <v>0.123</v>
      </c>
      <c r="Q632" s="13">
        <v>13</v>
      </c>
      <c r="R632" s="8">
        <f t="shared" si="188"/>
        <v>16609.090809999998</v>
      </c>
      <c r="S632" s="8">
        <f t="shared" si="189"/>
        <v>12132.77</v>
      </c>
      <c r="T632" s="8">
        <f t="shared" si="190"/>
        <v>4476.3208099999974</v>
      </c>
      <c r="U632" s="11">
        <f t="shared" si="191"/>
        <v>0.26951028573489977</v>
      </c>
      <c r="V632" s="17">
        <v>44987</v>
      </c>
      <c r="W632" s="4" t="str">
        <f t="shared" si="192"/>
        <v>Q3-2025</v>
      </c>
      <c r="X632" t="str">
        <f t="shared" si="193"/>
        <v>Americas → USA → San Francisco</v>
      </c>
      <c r="Y632" t="str">
        <f t="shared" si="194"/>
        <v>Medium</v>
      </c>
      <c r="Z632" s="20">
        <f t="shared" si="195"/>
        <v>45870</v>
      </c>
      <c r="AA632" s="4">
        <f t="array" ref="AA632">MIN(IF($F$2:$F$633=F632,$Z$2:$Z$633))</f>
        <v>44927</v>
      </c>
      <c r="AB632">
        <f t="shared" si="196"/>
        <v>31</v>
      </c>
      <c r="AC632">
        <f t="shared" si="197"/>
        <v>0</v>
      </c>
      <c r="AD632">
        <f t="shared" si="198"/>
        <v>0</v>
      </c>
      <c r="AE632" s="13">
        <f t="shared" si="199"/>
        <v>0</v>
      </c>
      <c r="AH632">
        <f t="shared" si="200"/>
        <v>15.6</v>
      </c>
      <c r="AI632">
        <f t="shared" si="201"/>
        <v>1073.2834999999998</v>
      </c>
      <c r="AJ632" s="11">
        <f t="shared" si="202"/>
        <v>0.123</v>
      </c>
      <c r="AK632">
        <f t="shared" si="203"/>
        <v>19930.908971999997</v>
      </c>
      <c r="AL632">
        <f t="shared" si="204"/>
        <v>16743.222599999997</v>
      </c>
      <c r="AM632">
        <f t="shared" si="205"/>
        <v>3187.6863720000001</v>
      </c>
    </row>
    <row r="633" spans="1:39" x14ac:dyDescent="0.25">
      <c r="A633" t="s">
        <v>559</v>
      </c>
      <c r="B633" s="4">
        <v>45889</v>
      </c>
      <c r="C633" s="4">
        <v>45895</v>
      </c>
      <c r="D633" s="13">
        <f t="shared" si="186"/>
        <v>6</v>
      </c>
      <c r="E633" s="6" t="s">
        <v>648</v>
      </c>
      <c r="F633" t="s">
        <v>660</v>
      </c>
      <c r="G633" t="s">
        <v>700</v>
      </c>
      <c r="H633" t="s">
        <v>701</v>
      </c>
      <c r="I633" t="s">
        <v>707</v>
      </c>
      <c r="J633" t="s">
        <v>724</v>
      </c>
      <c r="K633" t="s">
        <v>729</v>
      </c>
      <c r="L633" t="s">
        <v>1277</v>
      </c>
      <c r="M633" s="8">
        <v>1304.95</v>
      </c>
      <c r="N633" s="8">
        <v>1712.03</v>
      </c>
      <c r="O633" s="8">
        <f t="shared" si="187"/>
        <v>1712.03</v>
      </c>
      <c r="P633" s="11">
        <v>0.21199999999999999</v>
      </c>
      <c r="Q633" s="13">
        <v>8</v>
      </c>
      <c r="R633" s="8">
        <f t="shared" si="188"/>
        <v>10792.637119999999</v>
      </c>
      <c r="S633" s="8">
        <f t="shared" si="189"/>
        <v>10439.6</v>
      </c>
      <c r="T633" s="8">
        <f t="shared" si="190"/>
        <v>353.03711999999905</v>
      </c>
      <c r="U633" s="11">
        <f t="shared" si="191"/>
        <v>3.2710922833287949E-2</v>
      </c>
      <c r="V633" s="17">
        <v>44984</v>
      </c>
      <c r="W633" s="4" t="str">
        <f t="shared" si="192"/>
        <v>Q3-2025</v>
      </c>
      <c r="X633" t="str">
        <f t="shared" si="193"/>
        <v>Americas → USA → New York</v>
      </c>
      <c r="Y633" t="str">
        <f t="shared" si="194"/>
        <v>High</v>
      </c>
      <c r="Z633" s="20">
        <f t="shared" si="195"/>
        <v>45870</v>
      </c>
      <c r="AA633" s="4">
        <f t="array" ref="AA633">MIN(IF($F$2:$F$633=F633,$Z$2:$Z$633))</f>
        <v>44927</v>
      </c>
      <c r="AB633">
        <f t="shared" si="196"/>
        <v>31</v>
      </c>
      <c r="AC633">
        <f t="shared" si="197"/>
        <v>1</v>
      </c>
      <c r="AD633">
        <f t="shared" si="198"/>
        <v>1</v>
      </c>
      <c r="AE633" s="13">
        <f t="shared" si="199"/>
        <v>1</v>
      </c>
      <c r="AH633">
        <f t="shared" si="200"/>
        <v>9.6</v>
      </c>
      <c r="AI633">
        <f t="shared" si="201"/>
        <v>1500.6924999999999</v>
      </c>
      <c r="AJ633" s="11">
        <f t="shared" si="202"/>
        <v>0.21199999999999999</v>
      </c>
      <c r="AK633">
        <f t="shared" si="203"/>
        <v>12951.164543999999</v>
      </c>
      <c r="AL633">
        <f t="shared" si="204"/>
        <v>14406.647999999999</v>
      </c>
      <c r="AM633">
        <f t="shared" si="205"/>
        <v>-1455.4834559999999</v>
      </c>
    </row>
    <row r="634" spans="1:39" x14ac:dyDescent="0.25">
      <c r="D634" s="13"/>
      <c r="T634" s="8"/>
      <c r="U634" s="11"/>
    </row>
  </sheetData>
  <autoFilter ref="A1:AB633"/>
  <sortState ref="A2:AB633">
    <sortCondition ref="F2:F633"/>
    <sortCondition ref="Z2:Z633"/>
  </sortState>
  <conditionalFormatting sqref="A1:A1048576">
    <cfRule type="duplicateValues" dxfId="1" priority="2"/>
  </conditionalFormatting>
  <conditionalFormatting sqref="P1:P1048576">
    <cfRule type="cellIs" dxfId="0" priority="1" operator="greaterThan">
      <formula>0.3</formula>
    </cfRule>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7"/>
  <sheetViews>
    <sheetView tabSelected="1" topLeftCell="A49" workbookViewId="0">
      <selection activeCell="A65" sqref="A65"/>
    </sheetView>
  </sheetViews>
  <sheetFormatPr defaultRowHeight="15" x14ac:dyDescent="0.25"/>
  <cols>
    <col min="1" max="1" width="155.140625" bestFit="1" customWidth="1"/>
  </cols>
  <sheetData>
    <row r="1" spans="1:1" x14ac:dyDescent="0.25">
      <c r="A1" s="1" t="s">
        <v>1364</v>
      </c>
    </row>
    <row r="2" spans="1:1" x14ac:dyDescent="0.25">
      <c r="A2" t="s">
        <v>1365</v>
      </c>
    </row>
    <row r="4" spans="1:1" x14ac:dyDescent="0.25">
      <c r="A4" t="s">
        <v>1366</v>
      </c>
    </row>
    <row r="5" spans="1:1" x14ac:dyDescent="0.25">
      <c r="A5" t="s">
        <v>1367</v>
      </c>
    </row>
    <row r="6" spans="1:1" x14ac:dyDescent="0.25">
      <c r="A6" t="s">
        <v>1368</v>
      </c>
    </row>
    <row r="8" spans="1:1" x14ac:dyDescent="0.25">
      <c r="A8" t="s">
        <v>1369</v>
      </c>
    </row>
    <row r="9" spans="1:1" x14ac:dyDescent="0.25">
      <c r="A9" t="s">
        <v>1370</v>
      </c>
    </row>
    <row r="10" spans="1:1" x14ac:dyDescent="0.25">
      <c r="A10" t="s">
        <v>1371</v>
      </c>
    </row>
    <row r="11" spans="1:1" x14ac:dyDescent="0.25">
      <c r="A11" t="s">
        <v>1372</v>
      </c>
    </row>
    <row r="12" spans="1:1" x14ac:dyDescent="0.25">
      <c r="A12" s="15" t="s">
        <v>1373</v>
      </c>
    </row>
    <row r="13" spans="1:1" x14ac:dyDescent="0.25">
      <c r="A13" t="s">
        <v>1374</v>
      </c>
    </row>
    <row r="14" spans="1:1" x14ac:dyDescent="0.25">
      <c r="A14" t="s">
        <v>1375</v>
      </c>
    </row>
    <row r="15" spans="1:1" x14ac:dyDescent="0.25">
      <c r="A15" t="s">
        <v>1376</v>
      </c>
    </row>
    <row r="17" spans="1:1" x14ac:dyDescent="0.25">
      <c r="A17" t="s">
        <v>1377</v>
      </c>
    </row>
    <row r="18" spans="1:1" x14ac:dyDescent="0.25">
      <c r="A18" t="s">
        <v>1378</v>
      </c>
    </row>
    <row r="19" spans="1:1" x14ac:dyDescent="0.25">
      <c r="A19" t="s">
        <v>1379</v>
      </c>
    </row>
    <row r="20" spans="1:1" x14ac:dyDescent="0.25">
      <c r="A20" t="s">
        <v>1380</v>
      </c>
    </row>
    <row r="21" spans="1:1" x14ac:dyDescent="0.25">
      <c r="A21" t="s">
        <v>1381</v>
      </c>
    </row>
    <row r="23" spans="1:1" x14ac:dyDescent="0.25">
      <c r="A23" t="s">
        <v>1382</v>
      </c>
    </row>
    <row r="24" spans="1:1" x14ac:dyDescent="0.25">
      <c r="A24" t="s">
        <v>1383</v>
      </c>
    </row>
    <row r="25" spans="1:1" x14ac:dyDescent="0.25">
      <c r="A25" t="s">
        <v>1384</v>
      </c>
    </row>
    <row r="26" spans="1:1" x14ac:dyDescent="0.25">
      <c r="A26" t="s">
        <v>1385</v>
      </c>
    </row>
    <row r="27" spans="1:1" x14ac:dyDescent="0.25">
      <c r="A27" t="s">
        <v>1430</v>
      </c>
    </row>
    <row r="29" spans="1:1" x14ac:dyDescent="0.25">
      <c r="A29" t="s">
        <v>1386</v>
      </c>
    </row>
    <row r="30" spans="1:1" x14ac:dyDescent="0.25">
      <c r="A30" t="s">
        <v>1387</v>
      </c>
    </row>
    <row r="31" spans="1:1" x14ac:dyDescent="0.25">
      <c r="A31" t="s">
        <v>1388</v>
      </c>
    </row>
    <row r="32" spans="1:1" x14ac:dyDescent="0.25">
      <c r="A32" t="s">
        <v>1389</v>
      </c>
    </row>
    <row r="33" spans="1:1" x14ac:dyDescent="0.25">
      <c r="A33" t="s">
        <v>1390</v>
      </c>
    </row>
    <row r="34" spans="1:1" x14ac:dyDescent="0.25">
      <c r="A34" t="s">
        <v>1391</v>
      </c>
    </row>
    <row r="35" spans="1:1" x14ac:dyDescent="0.25">
      <c r="A35" t="s">
        <v>1446</v>
      </c>
    </row>
    <row r="36" spans="1:1" x14ac:dyDescent="0.25">
      <c r="A36" t="s">
        <v>1392</v>
      </c>
    </row>
    <row r="37" spans="1:1" x14ac:dyDescent="0.25">
      <c r="A37" t="s">
        <v>1393</v>
      </c>
    </row>
    <row r="38" spans="1:1" x14ac:dyDescent="0.25">
      <c r="A38" t="s">
        <v>1394</v>
      </c>
    </row>
    <row r="39" spans="1:1" x14ac:dyDescent="0.25">
      <c r="A39" t="s">
        <v>1395</v>
      </c>
    </row>
    <row r="40" spans="1:1" x14ac:dyDescent="0.25">
      <c r="A40" t="s">
        <v>1396</v>
      </c>
    </row>
    <row r="41" spans="1:1" x14ac:dyDescent="0.25">
      <c r="A41" t="s">
        <v>1454</v>
      </c>
    </row>
    <row r="43" spans="1:1" x14ac:dyDescent="0.25">
      <c r="A43" t="s">
        <v>1397</v>
      </c>
    </row>
    <row r="44" spans="1:1" x14ac:dyDescent="0.25">
      <c r="A44" t="s">
        <v>1398</v>
      </c>
    </row>
    <row r="45" spans="1:1" x14ac:dyDescent="0.25">
      <c r="A45" t="s">
        <v>1399</v>
      </c>
    </row>
    <row r="46" spans="1:1" x14ac:dyDescent="0.25">
      <c r="A46" t="s">
        <v>1400</v>
      </c>
    </row>
    <row r="47" spans="1:1" x14ac:dyDescent="0.25">
      <c r="A47" t="s">
        <v>1401</v>
      </c>
    </row>
    <row r="48" spans="1:1" x14ac:dyDescent="0.25">
      <c r="A48" t="s">
        <v>1402</v>
      </c>
    </row>
    <row r="50" spans="1:1" x14ac:dyDescent="0.25">
      <c r="A50" t="s">
        <v>1403</v>
      </c>
    </row>
    <row r="51" spans="1:1" x14ac:dyDescent="0.25">
      <c r="A51" t="s">
        <v>1404</v>
      </c>
    </row>
    <row r="52" spans="1:1" x14ac:dyDescent="0.25">
      <c r="A52" t="s">
        <v>1405</v>
      </c>
    </row>
    <row r="53" spans="1:1" x14ac:dyDescent="0.25">
      <c r="A53" t="s">
        <v>1406</v>
      </c>
    </row>
    <row r="54" spans="1:1" x14ac:dyDescent="0.25">
      <c r="A54" t="s">
        <v>1407</v>
      </c>
    </row>
    <row r="55" spans="1:1" x14ac:dyDescent="0.25">
      <c r="A55" t="s">
        <v>1408</v>
      </c>
    </row>
    <row r="56" spans="1:1" x14ac:dyDescent="0.25">
      <c r="A56" t="s">
        <v>1409</v>
      </c>
    </row>
    <row r="57" spans="1:1" x14ac:dyDescent="0.25">
      <c r="A57" t="s">
        <v>1410</v>
      </c>
    </row>
    <row r="58" spans="1:1" x14ac:dyDescent="0.25">
      <c r="A58" t="s">
        <v>1411</v>
      </c>
    </row>
    <row r="59" spans="1:1" x14ac:dyDescent="0.25">
      <c r="A59" t="s">
        <v>1412</v>
      </c>
    </row>
    <row r="61" spans="1:1" x14ac:dyDescent="0.25">
      <c r="A61" t="s">
        <v>1413</v>
      </c>
    </row>
    <row r="62" spans="1:1" x14ac:dyDescent="0.25">
      <c r="A62" t="s">
        <v>1414</v>
      </c>
    </row>
    <row r="64" spans="1:1" x14ac:dyDescent="0.25">
      <c r="A64" t="s">
        <v>1415</v>
      </c>
    </row>
    <row r="65" spans="1:1" x14ac:dyDescent="0.25">
      <c r="A65" t="s">
        <v>1416</v>
      </c>
    </row>
    <row r="66" spans="1:1" x14ac:dyDescent="0.25">
      <c r="A66" t="s">
        <v>1417</v>
      </c>
    </row>
    <row r="67" spans="1:1" x14ac:dyDescent="0.25">
      <c r="A67" t="s">
        <v>1418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Views>
    <sheetView workbookViewId="0">
      <selection activeCell="A7" sqref="A7"/>
    </sheetView>
  </sheetViews>
  <sheetFormatPr defaultRowHeight="15" x14ac:dyDescent="0.25"/>
  <cols>
    <col min="1" max="1" width="207.5703125" bestFit="1" customWidth="1"/>
  </cols>
  <sheetData>
    <row r="1" spans="1:1" x14ac:dyDescent="0.25">
      <c r="A1" t="s">
        <v>1509</v>
      </c>
    </row>
    <row r="2" spans="1:1" x14ac:dyDescent="0.25">
      <c r="A2" t="s">
        <v>1510</v>
      </c>
    </row>
    <row r="3" spans="1:1" x14ac:dyDescent="0.25">
      <c r="A3" t="s">
        <v>1511</v>
      </c>
    </row>
    <row r="4" spans="1:1" x14ac:dyDescent="0.25">
      <c r="A4" t="s">
        <v>1512</v>
      </c>
    </row>
    <row r="5" spans="1:1" x14ac:dyDescent="0.25">
      <c r="A5" t="s">
        <v>1513</v>
      </c>
    </row>
    <row r="6" spans="1:1" x14ac:dyDescent="0.25">
      <c r="A6" t="s">
        <v>1514</v>
      </c>
    </row>
    <row r="7" spans="1:1" x14ac:dyDescent="0.25">
      <c r="A7" t="s">
        <v>1515</v>
      </c>
    </row>
    <row r="8" spans="1:1" x14ac:dyDescent="0.25">
      <c r="A8" t="s">
        <v>1516</v>
      </c>
    </row>
    <row r="9" spans="1:1" x14ac:dyDescent="0.25">
      <c r="A9" t="s">
        <v>1517</v>
      </c>
    </row>
    <row r="10" spans="1:1" x14ac:dyDescent="0.25">
      <c r="A10" t="s">
        <v>1518</v>
      </c>
    </row>
    <row r="11" spans="1:1" x14ac:dyDescent="0.25">
      <c r="A11" t="s">
        <v>1519</v>
      </c>
    </row>
    <row r="12" spans="1:1" x14ac:dyDescent="0.25">
      <c r="A12" t="s">
        <v>1520</v>
      </c>
    </row>
    <row r="13" spans="1:1" x14ac:dyDescent="0.25">
      <c r="A13" t="s">
        <v>1521</v>
      </c>
    </row>
    <row r="14" spans="1:1" x14ac:dyDescent="0.25">
      <c r="A14" t="s">
        <v>1522</v>
      </c>
    </row>
    <row r="15" spans="1:1" x14ac:dyDescent="0.25">
      <c r="A15" t="s">
        <v>1523</v>
      </c>
    </row>
    <row r="16" spans="1:1" x14ac:dyDescent="0.25">
      <c r="A16" t="s">
        <v>1524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election activeCell="A14" sqref="A14"/>
    </sheetView>
  </sheetViews>
  <sheetFormatPr defaultRowHeight="15" x14ac:dyDescent="0.25"/>
  <cols>
    <col min="1" max="1" width="62.140625" bestFit="1" customWidth="1"/>
  </cols>
  <sheetData>
    <row r="1" spans="1:1" x14ac:dyDescent="0.25">
      <c r="A1" t="s">
        <v>1497</v>
      </c>
    </row>
    <row r="2" spans="1:1" x14ac:dyDescent="0.25">
      <c r="A2" t="s">
        <v>1500</v>
      </c>
    </row>
    <row r="3" spans="1:1" x14ac:dyDescent="0.25">
      <c r="A3" t="s">
        <v>1499</v>
      </c>
    </row>
    <row r="4" spans="1:1" x14ac:dyDescent="0.25">
      <c r="A4" t="s">
        <v>1498</v>
      </c>
    </row>
    <row r="5" spans="1:1" x14ac:dyDescent="0.25">
      <c r="A5" t="s">
        <v>1501</v>
      </c>
    </row>
    <row r="6" spans="1:1" x14ac:dyDescent="0.25">
      <c r="A6" t="s">
        <v>1502</v>
      </c>
    </row>
    <row r="7" spans="1:1" x14ac:dyDescent="0.25">
      <c r="A7" t="s">
        <v>1503</v>
      </c>
    </row>
    <row r="8" spans="1:1" x14ac:dyDescent="0.25">
      <c r="A8" t="s">
        <v>1504</v>
      </c>
    </row>
    <row r="9" spans="1:1" x14ac:dyDescent="0.25">
      <c r="A9" t="s">
        <v>1508</v>
      </c>
    </row>
    <row r="10" spans="1:1" x14ac:dyDescent="0.25">
      <c r="A10" t="s">
        <v>1507</v>
      </c>
    </row>
    <row r="11" spans="1:1" x14ac:dyDescent="0.25">
      <c r="A11" t="s">
        <v>1506</v>
      </c>
    </row>
    <row r="12" spans="1:1" x14ac:dyDescent="0.25">
      <c r="A12" t="s">
        <v>1505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6" workbookViewId="0">
      <selection activeCell="H24" sqref="H24:I27"/>
    </sheetView>
  </sheetViews>
  <sheetFormatPr defaultRowHeight="15" x14ac:dyDescent="0.25"/>
  <cols>
    <col min="1" max="16" width="9.140625" style="26"/>
    <col min="17" max="17" width="9.140625" style="26" customWidth="1"/>
    <col min="18" max="16384" width="9.140625" style="2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vt:lpstr>
      <vt:lpstr>CohortAnalysis</vt:lpstr>
      <vt:lpstr>ABC_Analysis</vt:lpstr>
      <vt:lpstr>SalesPersonProductivity</vt:lpstr>
      <vt:lpstr>ChannelMix</vt:lpstr>
      <vt:lpstr>ServiceLevelProxy</vt:lpstr>
      <vt:lpstr>PriceCompliance</vt:lpstr>
      <vt:lpstr>RevenueByMonth</vt:lpstr>
      <vt:lpstr>ProfitByChannel-Region</vt:lpstr>
      <vt:lpstr>Top10SKUs</vt:lpstr>
      <vt:lpstr>DiscountPct+Outliers</vt:lpstr>
      <vt:lpstr>StagingTable</vt:lpstr>
      <vt:lpstr>Brief</vt:lpstr>
      <vt:lpstr>ReadMe</vt:lpstr>
      <vt:lpstr>Insights</vt:lpstr>
      <vt:lpstr>Dashbord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user</cp:lastModifiedBy>
  <dcterms:created xsi:type="dcterms:W3CDTF">2025-09-28T10:49:35Z</dcterms:created>
  <dcterms:modified xsi:type="dcterms:W3CDTF">2026-06-20T18:09:46Z</dcterms:modified>
</cp:coreProperties>
</file>